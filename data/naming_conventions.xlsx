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vlokhan2_rockwellautomation_com/Documents/Python/tools_dashboard/dol_app_root/data/"/>
    </mc:Choice>
  </mc:AlternateContent>
  <xr:revisionPtr revIDLastSave="1" documentId="8_{8CB16D02-4185-4D43-A670-9E64F05ADBAC}" xr6:coauthVersionLast="47" xr6:coauthVersionMax="47" xr10:uidLastSave="{F67F3D73-702B-4D95-81CF-D69B68955664}"/>
  <bookViews>
    <workbookView xWindow="-120" yWindow="-120" windowWidth="29040" windowHeight="15720" tabRatio="686" activeTab="4" xr2:uid="{4E75438D-B485-4E16-AB13-6F883AC25FA2}"/>
  </bookViews>
  <sheets>
    <sheet name="Naming Tool" sheetId="1" r:id="rId1"/>
    <sheet name="Lookups" sheetId="2" r:id="rId2"/>
    <sheet name="Version Control Research" sheetId="4" r:id="rId3"/>
    <sheet name="Naming Convention Research" sheetId="3" r:id="rId4"/>
    <sheet name="AOI_Parameter_Naming" sheetId="6" r:id="rId5"/>
    <sheet name="Dat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3" i="1"/>
  <c r="F5" i="6"/>
  <c r="F7" i="6"/>
  <c r="D8" i="6"/>
  <c r="F8" i="6"/>
  <c r="D7" i="6"/>
  <c r="D6" i="6"/>
  <c r="F6" i="6"/>
  <c r="D9" i="6"/>
  <c r="D10" i="6"/>
  <c r="D11" i="6"/>
  <c r="D12" i="6"/>
  <c r="D13" i="6"/>
  <c r="D14" i="6"/>
  <c r="D15" i="6"/>
  <c r="D16" i="6"/>
  <c r="D17" i="6"/>
  <c r="D19" i="6"/>
  <c r="D20" i="6"/>
  <c r="D21" i="6"/>
  <c r="D22" i="6"/>
  <c r="D23" i="6"/>
  <c r="D24" i="6"/>
  <c r="D25" i="6"/>
  <c r="D5" i="6"/>
  <c r="J12" i="5"/>
  <c r="J11" i="5"/>
  <c r="J10" i="5"/>
  <c r="J9" i="5"/>
  <c r="J8" i="5"/>
  <c r="J7" i="5"/>
  <c r="J6" i="5"/>
  <c r="C26" i="1"/>
  <c r="C25" i="1"/>
  <c r="C17" i="1"/>
  <c r="C16" i="1"/>
  <c r="C14" i="1"/>
  <c r="B8" i="1"/>
  <c r="C24" i="1" l="1"/>
  <c r="C20" i="1"/>
  <c r="C18" i="1"/>
  <c r="C23" i="1"/>
  <c r="C21" i="1"/>
  <c r="C12" i="1"/>
  <c r="C22" i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tc={1791C158-1639-472A-ADDB-6AF183A6810D}</author>
    <author>tc={27AB0C1D-4E21-4725-8F69-366A28D377C9}</author>
  </authors>
  <commentList>
    <comment ref="C18" authorId="0" shapeId="0" xr:uid="{1791C158-1639-472A-ADDB-6AF183A681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@Thomas St.Onge  Since we are combining all devices into single file, naming needs to be changed. Instead of object name need to use object Library </t>
      </text>
    </comment>
    <comment ref="C20" authorId="1" shapeId="0" xr:uid="{27AB0C1D-4E21-4725-8F69-366A28D377C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formula to include "raC_Dvc" B6 &amp; B8 after sub category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tc={AC288E35-6BC2-4FCE-96E1-EB5F06A72317}</author>
  </authors>
  <commentList>
    <comment ref="D17" authorId="0" shapeId="0" xr:uid="{AC288E35-6BC2-4FCE-96E1-EB5F06A72317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we have this name in IO-Link
Msg_Sensor_Data
Reply:
    For new sensors change it to Ref_MsgData</t>
      </text>
    </comment>
  </commentList>
</comments>
</file>

<file path=xl/sharedStrings.xml><?xml version="1.0" encoding="utf-8"?>
<sst xmlns="http://schemas.openxmlformats.org/spreadsheetml/2006/main" count="16843" uniqueCount="16690">
  <si>
    <t>Fill out the following items</t>
  </si>
  <si>
    <t>Object Name:</t>
  </si>
  <si>
    <t>440R_ENETR</t>
  </si>
  <si>
    <t>Major Version (1 digit):</t>
  </si>
  <si>
    <t>Minor Version (2 digits):</t>
  </si>
  <si>
    <t>07</t>
  </si>
  <si>
    <t>Object Library:</t>
  </si>
  <si>
    <t>Safety</t>
  </si>
  <si>
    <t>Application Library:</t>
  </si>
  <si>
    <t>raC</t>
  </si>
  <si>
    <t>Object Type:</t>
  </si>
  <si>
    <t>Device</t>
  </si>
  <si>
    <t>Object Type (short):</t>
  </si>
  <si>
    <t>Object Sub-Category</t>
  </si>
  <si>
    <t>File Type</t>
  </si>
  <si>
    <t>Application</t>
  </si>
  <si>
    <t>File Name</t>
  </si>
  <si>
    <t>Extension</t>
  </si>
  <si>
    <t>Note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</si>
  <si>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</si>
  <si>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</si>
  <si>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</si>
  <si>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</si>
  <si>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</si>
  <si>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</si>
  <si>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</si>
  <si>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</si>
  <si>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</si>
  <si>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</si>
  <si>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</si>
  <si>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</si>
  <si>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</si>
  <si>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</si>
  <si>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</si>
  <si>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</si>
  <si>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</si>
  <si>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</si>
  <si>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</si>
  <si>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</si>
  <si>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</si>
  <si>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</si>
  <si>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</si>
  <si>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</si>
  <si>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</si>
  <si>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</si>
  <si>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</si>
  <si>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</si>
  <si>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</si>
  <si>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</si>
  <si>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</si>
  <si>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</si>
  <si>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</si>
  <si>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</si>
  <si>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</si>
  <si>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</si>
  <si>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</si>
  <si>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</si>
  <si>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</si>
  <si>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</si>
  <si>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</si>
  <si>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</si>
  <si>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</si>
  <si>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</si>
  <si>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</si>
  <si>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</si>
  <si>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</si>
  <si>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</si>
  <si>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</si>
  <si>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</si>
  <si>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</si>
  <si>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</si>
  <si>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</si>
  <si>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</si>
  <si>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</si>
  <si>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</si>
  <si>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</si>
  <si>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</si>
  <si>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</si>
  <si>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</si>
  <si>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</si>
  <si>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</si>
  <si>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</si>
  <si>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</si>
  <si>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</si>
  <si>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</si>
  <si>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</si>
  <si>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</si>
  <si>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</si>
  <si>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</si>
  <si>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</si>
  <si>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</si>
  <si>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</si>
  <si>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</si>
  <si>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</si>
  <si>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</si>
  <si>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</si>
  <si>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</si>
  <si>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</si>
  <si>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</si>
  <si>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</si>
  <si>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</si>
  <si>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</si>
  <si>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</si>
  <si>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</si>
  <si>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</si>
  <si>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</si>
  <si>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</si>
  <si>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</si>
  <si>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</si>
  <si>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</si>
  <si>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</si>
  <si>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</si>
  <si>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</si>
  <si>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</si>
  <si>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</si>
  <si>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</si>
  <si>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</si>
  <si>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</si>
  <si>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</si>
  <si>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</si>
  <si>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</si>
  <si>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</si>
  <si>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</si>
  <si>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</si>
  <si>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</si>
  <si>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</si>
  <si>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</si>
  <si>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</si>
  <si>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</si>
  <si>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</si>
  <si>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</si>
  <si>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</si>
  <si>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</si>
  <si>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</si>
  <si>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</si>
  <si>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</si>
  <si>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</si>
  <si>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</si>
  <si>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</si>
  <si>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</si>
  <si>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</si>
  <si>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</si>
  <si>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</si>
  <si>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</si>
  <si>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</si>
  <si>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</si>
  <si>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</si>
  <si>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</si>
  <si>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</si>
  <si>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</si>
  <si>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</si>
  <si>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</si>
  <si>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</si>
  <si>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</si>
  <si>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</si>
  <si>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</si>
  <si>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</si>
  <si>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</si>
  <si>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</si>
  <si>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</si>
  <si>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</si>
  <si>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</si>
  <si>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</si>
  <si>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</si>
  <si>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</si>
  <si>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</si>
  <si>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</si>
  <si>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</si>
  <si>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</si>
  <si>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</si>
  <si>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</si>
  <si>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</si>
  <si>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</si>
  <si>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</si>
  <si>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</si>
  <si>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</si>
  <si>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</si>
  <si>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</si>
  <si>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</si>
  <si>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</si>
  <si>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</si>
  <si>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</si>
  <si>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</si>
  <si>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</si>
  <si>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</si>
  <si>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</si>
  <si>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</si>
  <si>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</si>
  <si>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</si>
  <si>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</si>
  <si>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</si>
  <si>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</si>
  <si>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</si>
  <si>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</si>
  <si>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</si>
  <si>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</si>
  <si>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</si>
  <si>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</si>
  <si>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</si>
  <si>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</si>
  <si>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</si>
  <si>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</si>
  <si>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</si>
  <si>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</si>
  <si>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</si>
  <si>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</si>
  <si>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</si>
  <si>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</si>
  <si>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</si>
  <si>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</si>
  <si>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</si>
  <si>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</si>
  <si>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</si>
  <si>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</si>
  <si>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</si>
  <si>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</si>
  <si>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</si>
  <si>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</si>
  <si>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</si>
  <si>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</si>
  <si>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</si>
  <si>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</si>
  <si>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</si>
  <si>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</si>
  <si>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</si>
  <si>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</si>
  <si>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</si>
  <si>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</si>
  <si>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</si>
  <si>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</si>
  <si>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</si>
  <si>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</si>
  <si>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</si>
  <si>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</si>
  <si>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</si>
  <si>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</si>
  <si>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</si>
  <si>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</si>
  <si>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</si>
  <si>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</si>
  <si>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</si>
  <si>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</si>
  <si>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</si>
  <si>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</si>
  <si>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</si>
  <si>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</si>
  <si>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</si>
  <si>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</si>
  <si>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</si>
  <si>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</si>
  <si>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</si>
  <si>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</si>
  <si>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</si>
  <si>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</si>
  <si>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</si>
  <si>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</si>
  <si>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</si>
  <si>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</si>
  <si>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</si>
  <si>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</si>
  <si>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</si>
  <si>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</si>
  <si>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</si>
  <si>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</si>
  <si>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</si>
  <si>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</si>
  <si>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</si>
  <si>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</si>
  <si>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</si>
  <si>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</si>
  <si>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</si>
  <si>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</si>
  <si>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</si>
  <si>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</si>
  <si>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</si>
  <si>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</si>
  <si>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</si>
  <si>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</si>
  <si>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</si>
  <si>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</si>
  <si>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</si>
  <si>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</si>
  <si>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</si>
  <si>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</si>
  <si>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</si>
  <si>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</si>
  <si>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</si>
  <si>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</si>
  <si>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</si>
  <si>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</si>
  <si>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</si>
  <si>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</si>
  <si>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</si>
  <si>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</si>
  <si>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</si>
  <si>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</si>
  <si>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</si>
  <si>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</si>
  <si>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</si>
  <si>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</si>
  <si>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</si>
  <si>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</si>
  <si>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</si>
  <si>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</si>
  <si>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</si>
  <si>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</si>
  <si>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</si>
  <si>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</si>
  <si>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</si>
  <si>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</si>
  <si>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</si>
  <si>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</si>
  <si>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</si>
  <si>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</si>
  <si>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</si>
  <si>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</si>
  <si>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</si>
  <si>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</si>
  <si>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</si>
  <si>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</si>
  <si>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</si>
  <si>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</si>
  <si>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</si>
  <si>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</si>
  <si>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</si>
  <si>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</si>
  <si>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</si>
  <si>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</si>
  <si>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</si>
  <si>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</si>
  <si>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</si>
  <si>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</si>
  <si>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</si>
  <si>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</si>
  <si>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</si>
  <si>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</si>
  <si>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</si>
  <si>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</si>
  <si>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</si>
  <si>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</si>
  <si>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</si>
  <si>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</si>
  <si>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</si>
  <si>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</si>
  <si>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</si>
  <si>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</si>
  <si>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</si>
  <si>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</si>
  <si>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</si>
  <si>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</si>
  <si>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</si>
  <si>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</si>
  <si>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</si>
  <si>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</si>
  <si>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</si>
  <si>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</si>
  <si>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</si>
  <si>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</si>
  <si>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</si>
  <si>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</si>
  <si>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</si>
  <si>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</si>
  <si>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</si>
  <si>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</si>
  <si>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</si>
  <si>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</si>
  <si>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</si>
  <si>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</si>
  <si>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</si>
  <si>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</si>
  <si>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</si>
  <si>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</si>
  <si>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</si>
  <si>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</si>
  <si>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</si>
  <si>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</si>
  <si>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</si>
  <si>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</si>
  <si>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</si>
  <si>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</si>
  <si>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</si>
  <si>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</si>
  <si>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</si>
  <si>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</si>
  <si>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</si>
  <si>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</si>
  <si>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</si>
  <si>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</si>
  <si>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</si>
  <si>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</si>
  <si>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</si>
  <si>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</si>
  <si>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</si>
  <si>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</si>
  <si>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</si>
  <si>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</si>
  <si>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</si>
  <si>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</si>
  <si>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</si>
  <si>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</si>
  <si>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</si>
  <si>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</si>
  <si>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</si>
  <si>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</si>
  <si>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</si>
  <si>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</si>
  <si>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</si>
  <si>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</si>
  <si>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</si>
  <si>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</si>
  <si>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</si>
  <si>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</si>
  <si>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</si>
  <si>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</si>
  <si>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</si>
  <si>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</si>
  <si>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</si>
  <si>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</si>
  <si>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</si>
  <si>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</si>
  <si>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</si>
  <si>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</si>
  <si>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</si>
  <si>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</si>
  <si>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</si>
  <si>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</si>
  <si>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</si>
  <si>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</si>
  <si>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</si>
  <si>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</si>
  <si>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</si>
  <si>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</si>
  <si>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</si>
  <si>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</si>
  <si>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</si>
  <si>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</si>
  <si>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</si>
  <si>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</si>
  <si>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</si>
  <si>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</si>
  <si>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</si>
  <si>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</si>
  <si>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</si>
  <si>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</si>
  <si>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</si>
  <si>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</si>
  <si>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</si>
  <si>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</si>
  <si>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</si>
  <si>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</si>
  <si>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</si>
  <si>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</si>
  <si>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</si>
  <si>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</si>
  <si>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</si>
  <si>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</si>
  <si>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</si>
  <si>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</si>
  <si>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</si>
  <si>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</si>
  <si>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</si>
  <si>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</si>
  <si>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</si>
  <si>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</si>
  <si>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</si>
  <si>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</si>
  <si>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</si>
  <si>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</si>
  <si>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</si>
  <si>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</si>
  <si>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</si>
  <si>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</si>
  <si>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</si>
  <si>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</si>
  <si>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</si>
  <si>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</si>
  <si>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</si>
  <si>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</si>
  <si>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</si>
  <si>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</si>
  <si>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</si>
  <si>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</si>
  <si>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</si>
  <si>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</si>
  <si>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</si>
  <si>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</si>
  <si>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</si>
  <si>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</si>
  <si>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</si>
  <si>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</si>
  <si>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</si>
  <si>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</si>
  <si>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</si>
  <si>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</si>
  <si>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</si>
  <si>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</si>
  <si>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</si>
  <si>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</si>
  <si>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</si>
  <si>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</si>
  <si>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</si>
  <si>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</si>
  <si>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</si>
  <si>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</si>
  <si>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</si>
  <si>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</si>
  <si>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</si>
  <si>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</si>
  <si>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</si>
  <si>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</si>
  <si>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</si>
  <si>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</si>
  <si>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</si>
  <si>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</si>
  <si>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</si>
  <si>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</si>
  <si>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</si>
  <si>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</si>
  <si>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</si>
  <si>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</si>
  <si>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</si>
  <si>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</si>
  <si>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</si>
  <si>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</si>
  <si>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</si>
  <si>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</si>
  <si>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</si>
  <si>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</si>
  <si>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</si>
  <si>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</si>
  <si>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</si>
  <si>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</si>
  <si>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</si>
  <si>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</si>
  <si>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</si>
  <si>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</si>
  <si>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</si>
  <si>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</si>
  <si>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</si>
  <si>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</si>
  <si>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</si>
  <si>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</si>
  <si>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</si>
  <si>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</si>
  <si>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</si>
  <si>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</si>
  <si>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</si>
  <si>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</si>
  <si>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</si>
  <si>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</si>
  <si>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</si>
  <si>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</si>
  <si>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</si>
  <si>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</si>
  <si>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</si>
  <si>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</si>
  <si>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</si>
  <si>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</si>
  <si>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</si>
  <si>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</si>
  <si>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</si>
  <si>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</si>
  <si>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</si>
  <si>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</si>
  <si>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</si>
  <si>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</si>
  <si>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</si>
  <si>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</si>
  <si>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</si>
  <si>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</si>
  <si>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</si>
  <si>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</si>
  <si>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</si>
  <si>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</si>
  <si>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</si>
  <si>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</si>
  <si>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</si>
  <si>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</si>
  <si>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</si>
  <si>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</si>
  <si>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</si>
  <si>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</si>
  <si>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</si>
  <si>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</si>
  <si>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</si>
  <si>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</si>
  <si>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</si>
  <si>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</si>
  <si>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</si>
  <si>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</si>
  <si>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</si>
  <si>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</si>
  <si>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</si>
  <si>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</si>
  <si>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</si>
  <si>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</si>
  <si>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</si>
  <si>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</si>
  <si>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</si>
  <si>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</si>
  <si>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</si>
  <si>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</si>
  <si>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</si>
  <si>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</si>
  <si>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</si>
  <si>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</si>
  <si>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</si>
  <si>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</si>
  <si>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</si>
  <si>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</si>
  <si>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</si>
  <si>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</si>
  <si>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</si>
  <si>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</si>
  <si>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</si>
  <si>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</si>
  <si>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</si>
  <si>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</si>
  <si>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</si>
  <si>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</si>
  <si>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</si>
  <si>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</si>
  <si>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</si>
  <si>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</si>
  <si>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</si>
  <si>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</si>
  <si>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</si>
  <si>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</si>
  <si>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</si>
  <si>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</si>
  <si>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</si>
  <si>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</si>
  <si>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</si>
  <si>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</si>
  <si>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</si>
  <si>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</si>
  <si>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</si>
  <si>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</si>
  <si>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</si>
  <si>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</si>
  <si>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</si>
  <si>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</si>
  <si>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</si>
  <si>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</si>
  <si>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</si>
  <si>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</si>
  <si>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</si>
  <si>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</si>
  <si>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</si>
  <si>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</si>
  <si>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</si>
  <si>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</si>
  <si>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</si>
  <si>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</si>
  <si>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</si>
  <si>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</si>
  <si>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</si>
  <si>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</si>
  <si>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</si>
  <si>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</si>
  <si>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</si>
  <si>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</si>
  <si>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</si>
  <si>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</si>
  <si>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</si>
  <si>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</si>
  <si>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</si>
  <si>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</si>
  <si>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</si>
  <si>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</si>
  <si>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</si>
  <si>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</si>
  <si>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</si>
  <si>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</si>
  <si>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</si>
  <si>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</si>
  <si>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</si>
  <si>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</si>
  <si>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</si>
  <si>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</si>
  <si>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</si>
  <si>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</si>
  <si>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</si>
  <si>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</si>
  <si>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</si>
  <si>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</si>
  <si>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</si>
  <si>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</si>
  <si>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</si>
  <si>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</si>
  <si>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</si>
  <si>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</si>
  <si>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</si>
  <si>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</si>
  <si>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</si>
  <si>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</si>
  <si>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</si>
  <si>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</si>
  <si>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</si>
  <si>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</si>
  <si>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</si>
  <si>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</si>
  <si>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</si>
  <si>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</si>
  <si>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</si>
  <si>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</si>
  <si>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</si>
  <si>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</si>
  <si>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</si>
  <si>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</si>
  <si>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</si>
  <si>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</si>
  <si>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</si>
  <si>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</si>
  <si>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</si>
  <si>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</si>
  <si>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</si>
  <si>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</si>
  <si>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</si>
  <si>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</si>
  <si>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</si>
  <si>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</si>
  <si>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</si>
  <si>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</si>
  <si>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</si>
  <si>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</si>
  <si>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</si>
  <si>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</si>
  <si>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</si>
  <si>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</si>
  <si>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</si>
  <si>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</si>
  <si>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</si>
  <si>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</si>
  <si>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</si>
  <si>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</si>
  <si>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</si>
  <si>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</si>
  <si>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</si>
  <si>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</si>
  <si>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</si>
  <si>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</si>
  <si>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</si>
  <si>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</si>
  <si>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</si>
  <si>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</si>
  <si>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</si>
  <si>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</si>
  <si>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</si>
  <si>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</si>
  <si>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</si>
  <si>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</si>
  <si>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</si>
  <si>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</si>
  <si>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</si>
  <si>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</si>
  <si>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</si>
  <si>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</si>
  <si>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</si>
  <si>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</si>
  <si>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</si>
  <si>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</si>
  <si>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</si>
  <si>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</si>
  <si>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</si>
  <si>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</si>
  <si>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</si>
  <si>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</si>
  <si>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</si>
  <si>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</si>
  <si>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</si>
  <si>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</si>
  <si>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</si>
  <si>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</si>
  <si>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</si>
  <si>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</si>
  <si>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</si>
  <si>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</si>
  <si>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</si>
  <si>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</si>
  <si>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</si>
  <si>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</si>
  <si>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</si>
  <si>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</si>
  <si>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</si>
  <si>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</si>
  <si>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</si>
  <si>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</si>
  <si>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</si>
  <si>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</si>
  <si>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</si>
  <si>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</si>
  <si>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</si>
  <si>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</si>
  <si>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</si>
  <si>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</si>
  <si>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</si>
  <si>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</si>
  <si>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</si>
  <si>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</si>
  <si>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</si>
  <si>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</si>
  <si>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</si>
  <si>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</si>
  <si>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</si>
  <si>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</si>
  <si>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</si>
  <si>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</si>
  <si>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</si>
  <si>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</si>
  <si>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</si>
  <si>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</si>
  <si>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</si>
  <si>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</si>
  <si>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</si>
  <si>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</si>
  <si>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</si>
  <si>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</si>
  <si>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</si>
  <si>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</si>
  <si>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</si>
  <si>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</si>
  <si>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</si>
  <si>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</si>
  <si>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</si>
  <si>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</si>
  <si>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</si>
  <si>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</si>
  <si>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</si>
  <si>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</si>
  <si>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</si>
  <si>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</si>
  <si>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</si>
  <si>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</si>
  <si>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</si>
  <si>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</si>
  <si>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</si>
  <si>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</si>
  <si>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</si>
  <si>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</si>
  <si>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</si>
  <si>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</si>
  <si>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</si>
  <si>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</si>
  <si>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</si>
  <si>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</si>
  <si>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</si>
  <si>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</si>
  <si>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</si>
  <si>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</si>
  <si>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</si>
  <si>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</si>
  <si>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</si>
  <si>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</si>
  <si>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</si>
  <si>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</si>
  <si>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</si>
  <si>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</si>
  <si>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</si>
  <si>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</si>
  <si>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</si>
  <si>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</si>
  <si>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</si>
  <si>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</si>
  <si>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</si>
  <si>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</si>
  <si>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</si>
  <si>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</si>
  <si>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</si>
  <si>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</si>
  <si>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</si>
  <si>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</si>
  <si>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</si>
  <si>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</si>
  <si>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</si>
  <si>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</si>
  <si>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</si>
  <si>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</si>
  <si>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</si>
  <si>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</si>
  <si>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</si>
  <si>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</si>
  <si>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</si>
  <si>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</si>
  <si>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</si>
  <si>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</si>
  <si>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</si>
  <si>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</si>
  <si>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</si>
  <si>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</si>
  <si>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</si>
  <si>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</si>
  <si>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</si>
  <si>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</si>
  <si>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</si>
  <si>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</si>
  <si>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</si>
  <si>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</si>
  <si>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</si>
  <si>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</si>
  <si>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</si>
  <si>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</si>
  <si>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</si>
  <si>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</si>
  <si>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</si>
  <si>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</si>
  <si>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</si>
  <si>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</si>
  <si>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</si>
  <si>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</si>
  <si>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</si>
  <si>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</si>
  <si>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</si>
  <si>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</si>
  <si>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</si>
  <si>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</si>
  <si>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</si>
  <si>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</si>
  <si>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</si>
  <si>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</si>
  <si>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</si>
  <si>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</si>
  <si>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</si>
  <si>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</si>
  <si>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</si>
  <si>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</si>
  <si>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</si>
  <si>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</si>
  <si>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</si>
  <si>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</si>
  <si>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</si>
  <si>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</si>
  <si>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</si>
  <si>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</si>
  <si>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</si>
  <si>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</si>
  <si>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</si>
  <si>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</si>
  <si>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</si>
  <si>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</si>
  <si>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</si>
  <si>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</si>
  <si>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</si>
  <si>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</si>
  <si>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</si>
  <si>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</si>
  <si>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</si>
  <si>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</si>
  <si>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</si>
  <si>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</si>
  <si>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</si>
  <si>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</si>
  <si>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</si>
  <si>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</si>
  <si>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</si>
  <si>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</si>
  <si>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</si>
  <si>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</si>
  <si>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</si>
  <si>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</si>
  <si>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</si>
  <si>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</si>
  <si>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</si>
  <si>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</si>
  <si>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</si>
  <si>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</si>
  <si>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</si>
  <si>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</si>
  <si>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</si>
  <si>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</si>
  <si>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</si>
  <si>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</si>
  <si>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</si>
  <si>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</si>
  <si>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</si>
  <si>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</si>
  <si>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</si>
  <si>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</si>
  <si>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</si>
  <si>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</si>
  <si>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</si>
  <si>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</si>
  <si>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</si>
  <si>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</si>
  <si>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</si>
  <si>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</si>
  <si>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</si>
  <si>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</si>
  <si>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</si>
  <si>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</si>
  <si>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</si>
  <si>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</si>
  <si>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</si>
  <si>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</si>
  <si>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</si>
  <si>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</si>
  <si>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</si>
  <si>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</si>
  <si>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</si>
  <si>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</si>
  <si>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</si>
  <si>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</si>
  <si>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</si>
  <si>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</si>
  <si>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</si>
  <si>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</si>
  <si>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</si>
  <si>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</si>
  <si>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</si>
  <si>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</si>
  <si>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</si>
  <si>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</si>
  <si>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</si>
  <si>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</si>
  <si>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</si>
  <si>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</si>
  <si>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</si>
  <si>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</si>
  <si>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</si>
  <si>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</si>
  <si>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</si>
  <si>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</si>
  <si>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</si>
  <si>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</si>
  <si>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</si>
  <si>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</si>
  <si>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</si>
  <si>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</si>
  <si>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</si>
  <si>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</si>
  <si>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</si>
  <si>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</si>
  <si>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</si>
  <si>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</si>
  <si>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</si>
  <si>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</si>
  <si>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</si>
  <si>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</si>
  <si>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</si>
  <si>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</si>
  <si>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</si>
  <si>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</si>
  <si>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</si>
  <si>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</si>
  <si>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</si>
  <si>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</si>
  <si>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</si>
  <si>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</si>
  <si>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</si>
  <si>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</si>
  <si>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</si>
  <si>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</si>
  <si>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</si>
  <si>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</si>
  <si>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</si>
  <si>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</si>
  <si>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</si>
  <si>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</si>
  <si>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</si>
  <si>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</si>
  <si>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</si>
  <si>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</si>
  <si>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</si>
  <si>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</si>
  <si>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</si>
  <si>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</si>
  <si>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</si>
  <si>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</si>
  <si>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</si>
  <si>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</si>
  <si>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</si>
  <si>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</si>
  <si>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</si>
  <si>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</si>
  <si>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</si>
  <si>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</si>
  <si>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</si>
  <si>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</si>
  <si>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</si>
  <si>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</si>
  <si>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</si>
  <si>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</si>
  <si>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</si>
  <si>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</si>
  <si>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</si>
  <si>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</si>
  <si>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</si>
  <si>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</si>
  <si>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</si>
  <si>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</si>
  <si>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</si>
  <si>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</si>
  <si>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</si>
  <si>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</si>
  <si>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</si>
  <si>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</si>
  <si>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</si>
  <si>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</si>
  <si>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</si>
  <si>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</si>
  <si>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</si>
  <si>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</si>
  <si>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</si>
  <si>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</si>
  <si>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</si>
  <si>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</si>
  <si>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</si>
  <si>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</si>
  <si>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</si>
  <si>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</si>
  <si>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</si>
  <si>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</si>
  <si>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</si>
  <si>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</si>
  <si>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</si>
  <si>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</si>
  <si>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</si>
  <si>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</si>
  <si>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</si>
  <si>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</si>
  <si>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</si>
  <si>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</si>
  <si>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</si>
  <si>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</si>
  <si>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</si>
  <si>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</si>
  <si>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</si>
  <si>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</si>
  <si>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</si>
  <si>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</si>
  <si>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</si>
  <si>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</si>
  <si>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</si>
  <si>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</si>
  <si>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</si>
  <si>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</si>
  <si>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</si>
  <si>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</si>
  <si>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</si>
  <si>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</si>
  <si>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</si>
  <si>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</si>
  <si>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</si>
  <si>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</si>
  <si>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</si>
  <si>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</si>
  <si>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</si>
  <si>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</si>
  <si>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</si>
  <si>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</si>
  <si>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</si>
  <si>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</si>
  <si>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</si>
  <si>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</si>
  <si>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</si>
  <si>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</si>
  <si>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</si>
  <si>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</si>
  <si>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</si>
  <si>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</si>
  <si>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</si>
  <si>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</si>
  <si>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</si>
  <si>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</si>
  <si>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</si>
  <si>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</si>
  <si>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</si>
  <si>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</si>
  <si>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</si>
  <si>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</si>
  <si>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</si>
  <si>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</si>
  <si>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</si>
  <si>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</si>
  <si>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</si>
  <si>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</si>
  <si>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</si>
  <si>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</si>
  <si>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</si>
  <si>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</si>
  <si>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</si>
  <si>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</si>
  <si>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</si>
  <si>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</si>
  <si>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</si>
  <si>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</si>
  <si>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</si>
  <si>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</si>
  <si>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</si>
  <si>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</si>
  <si>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</si>
  <si>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</si>
  <si>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</si>
  <si>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</si>
  <si>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</si>
  <si>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</si>
  <si>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</si>
  <si>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</si>
  <si>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</si>
  <si>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</si>
  <si>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</si>
  <si>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</si>
  <si>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</si>
  <si>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</si>
  <si>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</si>
  <si>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</si>
  <si>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</si>
  <si>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</si>
  <si>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</si>
  <si>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</si>
  <si>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</si>
  <si>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</si>
  <si>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</si>
  <si>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</si>
  <si>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</si>
  <si>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</si>
  <si>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</si>
  <si>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</si>
  <si>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</si>
  <si>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</si>
  <si>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</si>
  <si>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</si>
  <si>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</si>
  <si>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</si>
  <si>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</si>
  <si>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</si>
  <si>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</si>
  <si>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</si>
  <si>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</si>
  <si>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</si>
  <si>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</si>
  <si>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</si>
  <si>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</si>
  <si>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</si>
  <si>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</si>
  <si>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</si>
  <si>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</si>
  <si>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</si>
  <si>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</si>
  <si>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</si>
  <si>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</si>
  <si>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</si>
  <si>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</si>
  <si>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</si>
  <si>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</si>
  <si>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</si>
  <si>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</si>
  <si>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</si>
  <si>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</si>
  <si>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</si>
  <si>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</si>
  <si>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</si>
  <si>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</si>
  <si>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</si>
  <si>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</si>
  <si>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</si>
  <si>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</si>
  <si>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</si>
  <si>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</si>
  <si>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</si>
  <si>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</si>
  <si>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</si>
  <si>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</si>
  <si>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</si>
  <si>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</si>
  <si>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</si>
  <si>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</si>
  <si>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</si>
  <si>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</si>
  <si>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</si>
  <si>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</si>
  <si>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</si>
  <si>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</si>
  <si>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</si>
  <si>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</si>
  <si>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</si>
  <si>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</si>
  <si>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</si>
  <si>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</si>
  <si>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</si>
  <si>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</si>
  <si>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</si>
  <si>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</si>
  <si>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</si>
  <si>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</si>
  <si>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</si>
  <si>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</si>
  <si>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</si>
  <si>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</si>
  <si>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</si>
  <si>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</si>
  <si>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</si>
  <si>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</si>
  <si>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</si>
  <si>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</si>
  <si>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</si>
  <si>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</si>
  <si>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</si>
  <si>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</si>
  <si>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</si>
  <si>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</si>
  <si>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</si>
  <si>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</si>
  <si>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</si>
  <si>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</si>
  <si>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</si>
  <si>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</si>
  <si>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</si>
  <si>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</si>
  <si>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</si>
  <si>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</si>
  <si>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</si>
  <si>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</si>
  <si>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</si>
  <si>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</si>
  <si>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</si>
  <si>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</si>
  <si>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</si>
  <si>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</si>
  <si>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</si>
  <si>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</si>
  <si>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</si>
  <si>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</si>
  <si>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</si>
  <si>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</si>
  <si>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</si>
  <si>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</si>
  <si>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</si>
  <si>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</si>
  <si>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</si>
  <si>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</si>
  <si>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</si>
  <si>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</si>
  <si>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</si>
  <si>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</si>
  <si>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</si>
  <si>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</si>
  <si>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</si>
  <si>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</si>
  <si>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</si>
  <si>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</si>
  <si>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</si>
  <si>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</si>
  <si>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</si>
  <si>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</si>
  <si>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</si>
  <si>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</si>
  <si>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</si>
  <si>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</si>
  <si>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</si>
  <si>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</si>
  <si>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</si>
  <si>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</si>
  <si>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</si>
  <si>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</si>
  <si>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</si>
  <si>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</si>
  <si>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</si>
  <si>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</si>
  <si>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</si>
  <si>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</si>
  <si>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</si>
  <si>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</si>
  <si>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</si>
  <si>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</si>
  <si>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</si>
  <si>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</si>
  <si>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</si>
  <si>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</si>
  <si>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</si>
  <si>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</si>
  <si>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</si>
  <si>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</si>
  <si>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</si>
  <si>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</si>
  <si>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</si>
  <si>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</si>
  <si>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</si>
  <si>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</si>
  <si>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</si>
  <si>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</si>
  <si>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</si>
  <si>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</si>
  <si>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</si>
  <si>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</si>
  <si>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</si>
  <si>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</si>
  <si>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</si>
  <si>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</si>
  <si>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</si>
  <si>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</si>
  <si>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</si>
  <si>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</si>
  <si>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</si>
  <si>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</si>
  <si>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</si>
  <si>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</si>
  <si>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</si>
  <si>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</si>
  <si>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</si>
  <si>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</si>
  <si>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</si>
  <si>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</si>
  <si>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</si>
  <si>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</si>
  <si>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</si>
  <si>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</si>
  <si>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</si>
  <si>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</si>
  <si>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</si>
  <si>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</si>
  <si>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</si>
  <si>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</si>
  <si>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</si>
  <si>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</si>
  <si>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</si>
  <si>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</si>
  <si>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</si>
  <si>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</si>
  <si>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</si>
  <si>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</si>
  <si>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</si>
  <si>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</si>
  <si>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</si>
  <si>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</si>
  <si>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</si>
  <si>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</si>
  <si>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</si>
  <si>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</si>
  <si>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</si>
  <si>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</si>
  <si>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</si>
  <si>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</si>
  <si>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</si>
  <si>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</si>
  <si>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</si>
  <si>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</si>
  <si>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</si>
  <si>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</si>
  <si>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</si>
  <si>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</si>
  <si>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</si>
  <si>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</si>
  <si>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</si>
  <si>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</si>
  <si>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</si>
  <si>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</si>
  <si>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</si>
  <si>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</si>
  <si>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</si>
  <si>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</si>
  <si>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</si>
  <si>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</si>
  <si>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</si>
  <si>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</si>
  <si>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</si>
  <si>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</si>
  <si>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</si>
  <si>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</si>
  <si>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</si>
  <si>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</si>
  <si>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</si>
  <si>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</si>
  <si>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</si>
  <si>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</si>
  <si>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</si>
  <si>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</si>
  <si>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</si>
  <si>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</si>
  <si>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</si>
  <si>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</si>
  <si>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</si>
  <si>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</si>
  <si>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</si>
  <si>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</si>
  <si>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</si>
  <si>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</si>
  <si>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</si>
  <si>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</si>
  <si>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</si>
  <si>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</si>
  <si>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</si>
  <si>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</si>
  <si>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</si>
  <si>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</si>
  <si>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</si>
  <si>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</si>
  <si>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</si>
  <si>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</si>
  <si>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</si>
  <si>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</si>
  <si>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</si>
  <si>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</si>
  <si>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</si>
  <si>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</si>
  <si>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</si>
  <si>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</si>
  <si>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</si>
  <si>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</si>
  <si>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</si>
  <si>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</si>
  <si>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</si>
  <si>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</si>
  <si>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</si>
  <si>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</si>
  <si>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</si>
  <si>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</si>
  <si>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</si>
  <si>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</si>
  <si>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</si>
  <si>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</si>
  <si>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</si>
  <si>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</si>
  <si>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</si>
  <si>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</si>
  <si>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</si>
  <si>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</si>
  <si>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</si>
  <si>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</si>
  <si>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</si>
  <si>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</si>
  <si>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</si>
  <si>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</si>
  <si>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</si>
  <si>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</si>
  <si>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</si>
  <si>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</si>
  <si>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</si>
  <si>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</si>
  <si>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</si>
  <si>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</si>
  <si>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</si>
  <si>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</si>
  <si>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</si>
  <si>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</si>
  <si>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</si>
  <si>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</si>
  <si>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</si>
  <si>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</si>
  <si>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</si>
  <si>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</si>
  <si>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</si>
  <si>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</si>
  <si>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</si>
  <si>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</si>
  <si>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</si>
  <si>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</si>
  <si>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</si>
  <si>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</si>
  <si>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</si>
  <si>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</si>
  <si>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</si>
  <si>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</si>
  <si>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</si>
  <si>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</si>
  <si>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</si>
  <si>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</si>
  <si>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</si>
  <si>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</si>
  <si>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</si>
  <si>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</si>
  <si>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</si>
  <si>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</si>
  <si>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</si>
  <si>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</si>
  <si>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</si>
  <si>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</si>
  <si>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</si>
  <si>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</si>
  <si>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</si>
  <si>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</si>
  <si>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</si>
  <si>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</si>
  <si>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</si>
  <si>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</si>
  <si>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</si>
  <si>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</si>
  <si>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</si>
  <si>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</si>
  <si>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</si>
  <si>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</si>
  <si>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</si>
  <si>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</si>
  <si>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</si>
  <si>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</si>
  <si>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</si>
  <si>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</si>
  <si>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</si>
  <si>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</si>
  <si>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</si>
  <si>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</si>
  <si>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</si>
  <si>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</si>
  <si>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</si>
  <si>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</si>
  <si>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</si>
  <si>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</si>
  <si>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</si>
  <si>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</si>
  <si>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</si>
  <si>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</si>
  <si>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</si>
  <si>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</si>
  <si>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</si>
  <si>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</si>
  <si>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</si>
  <si>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</si>
  <si>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</si>
  <si>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</si>
  <si>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</si>
  <si>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</si>
  <si>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</si>
  <si>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</si>
  <si>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</si>
  <si>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</si>
  <si>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</si>
  <si>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</si>
  <si>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</si>
  <si>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</si>
  <si>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</si>
  <si>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</si>
  <si>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</si>
  <si>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</si>
  <si>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</si>
  <si>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</si>
  <si>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</si>
  <si>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</si>
  <si>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</si>
  <si>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</si>
  <si>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</si>
  <si>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</si>
  <si>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</si>
  <si>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</si>
  <si>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</si>
  <si>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</si>
  <si>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</si>
  <si>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</si>
  <si>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</si>
  <si>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</si>
  <si>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</si>
  <si>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</si>
  <si>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</si>
  <si>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</si>
  <si>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</si>
  <si>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</si>
  <si>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</si>
  <si>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</si>
  <si>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</si>
  <si>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</si>
  <si>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</si>
  <si>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</si>
  <si>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</si>
  <si>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</si>
  <si>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</si>
  <si>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</si>
  <si>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</si>
  <si>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</si>
  <si>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</si>
  <si>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</si>
  <si>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</si>
  <si>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</si>
  <si>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</si>
  <si>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</si>
  <si>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</si>
  <si>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</si>
  <si>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</si>
  <si>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</si>
  <si>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</si>
  <si>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</si>
  <si>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</si>
  <si>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</si>
  <si>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</si>
  <si>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</si>
  <si>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</si>
  <si>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</si>
  <si>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</si>
  <si>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</si>
  <si>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</si>
  <si>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</si>
  <si>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</si>
  <si>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</si>
  <si>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</si>
  <si>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</si>
  <si>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</si>
  <si>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</si>
  <si>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</si>
  <si>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</si>
  <si>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</si>
  <si>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</si>
  <si>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</si>
  <si>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</si>
  <si>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</si>
  <si>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</si>
  <si>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</si>
  <si>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</si>
  <si>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</si>
  <si>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</si>
  <si>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</si>
  <si>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</si>
  <si>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</si>
  <si>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</si>
  <si>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</si>
  <si>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</si>
  <si>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</si>
  <si>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</si>
  <si>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</si>
  <si>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</si>
  <si>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</si>
  <si>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</si>
  <si>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</si>
  <si>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</si>
  <si>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</si>
  <si>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</si>
  <si>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</si>
  <si>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</si>
  <si>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</si>
  <si>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</si>
  <si>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</si>
  <si>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</si>
  <si>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</si>
  <si>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</si>
  <si>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</si>
  <si>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</si>
  <si>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</si>
  <si>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</si>
  <si>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</si>
  <si>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</si>
  <si>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</si>
  <si>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</si>
  <si>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</si>
  <si>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</si>
  <si>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</si>
  <si>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</si>
  <si>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</si>
  <si>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</si>
  <si>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</si>
  <si>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</si>
  <si>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</si>
  <si>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</si>
  <si>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</si>
  <si>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</si>
  <si>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</si>
  <si>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</si>
  <si>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</si>
  <si>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</si>
  <si>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</si>
  <si>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</si>
  <si>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</si>
  <si>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</si>
  <si>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</si>
  <si>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</si>
  <si>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</si>
  <si>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</si>
  <si>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</si>
  <si>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</si>
  <si>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</si>
  <si>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</si>
  <si>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</si>
  <si>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</si>
  <si>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</si>
  <si>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</si>
  <si>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</si>
  <si>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</si>
  <si>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</si>
  <si>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</si>
  <si>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</si>
  <si>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</si>
  <si>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</si>
  <si>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</si>
  <si>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</si>
  <si>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</si>
  <si>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</si>
  <si>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</si>
  <si>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</si>
  <si>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</si>
  <si>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</si>
  <si>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</si>
  <si>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</si>
  <si>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</si>
  <si>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</si>
  <si>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</si>
  <si>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</si>
  <si>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</si>
  <si>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</si>
  <si>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</si>
  <si>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</si>
  <si>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</si>
  <si>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</si>
  <si>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</si>
  <si>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</si>
  <si>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</si>
  <si>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</si>
  <si>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</si>
  <si>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</si>
  <si>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</si>
  <si>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</si>
  <si>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</si>
  <si>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</si>
  <si>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</si>
  <si>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</si>
  <si>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</si>
  <si>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</si>
  <si>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</si>
  <si>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</si>
  <si>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</si>
  <si>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</si>
  <si>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</si>
  <si>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</si>
  <si>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</si>
  <si>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</si>
  <si>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</si>
  <si>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</si>
  <si>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</si>
  <si>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</si>
  <si>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</si>
  <si>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</si>
  <si>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</si>
  <si>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</si>
  <si>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</si>
  <si>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</si>
  <si>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</si>
  <si>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</si>
  <si>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</si>
  <si>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</si>
  <si>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</si>
  <si>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</si>
  <si>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</si>
  <si>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</si>
  <si>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</si>
  <si>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</si>
  <si>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</si>
  <si>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</si>
  <si>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</si>
  <si>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</si>
  <si>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</si>
  <si>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</si>
  <si>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</si>
  <si>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</si>
  <si>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</si>
  <si>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</si>
  <si>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</si>
  <si>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</si>
  <si>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</si>
  <si>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</si>
  <si>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</si>
  <si>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</si>
  <si>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</si>
  <si>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</si>
  <si>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</si>
  <si>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</si>
  <si>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</si>
  <si>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</si>
  <si>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</si>
  <si>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</si>
  <si>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</si>
  <si>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</si>
  <si>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</si>
  <si>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</si>
  <si>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</si>
  <si>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</si>
  <si>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</si>
  <si>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</si>
  <si>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</si>
  <si>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</si>
  <si>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</si>
  <si>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</si>
  <si>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</si>
  <si>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</si>
  <si>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</si>
  <si>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</si>
  <si>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</si>
  <si>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</si>
  <si>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</si>
  <si>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</si>
  <si>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</si>
  <si>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</si>
  <si>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</si>
  <si>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</si>
  <si>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</si>
  <si>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</si>
  <si>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</si>
  <si>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</si>
  <si>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</si>
  <si>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</si>
  <si>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</si>
  <si>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</si>
  <si>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</si>
  <si>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</si>
  <si>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</si>
  <si>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</si>
  <si>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</si>
  <si>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</si>
  <si>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</si>
  <si>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</si>
  <si>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</si>
  <si>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</si>
  <si>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</si>
  <si>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</si>
  <si>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</si>
  <si>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</si>
  <si>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</si>
  <si>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</si>
  <si>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</si>
  <si>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</si>
  <si>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</si>
  <si>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</si>
  <si>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</si>
  <si>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</si>
  <si>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</si>
  <si>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</si>
  <si>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</si>
  <si>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</si>
  <si>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</si>
  <si>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</si>
  <si>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</si>
  <si>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</si>
  <si>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</si>
  <si>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</si>
  <si>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</si>
  <si>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</si>
  <si>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</si>
  <si>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</si>
  <si>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</si>
  <si>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</si>
  <si>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</si>
  <si>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</si>
  <si>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</si>
  <si>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</si>
  <si>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</si>
  <si>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</si>
  <si>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</si>
  <si>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</si>
  <si>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</si>
  <si>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</si>
  <si>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</si>
  <si>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</si>
  <si>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</si>
  <si>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</si>
  <si>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</si>
  <si>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</si>
  <si>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</si>
  <si>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</si>
  <si>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</si>
  <si>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</si>
  <si>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</si>
  <si>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</si>
  <si>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</si>
  <si>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</si>
  <si>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</si>
  <si>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</si>
  <si>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</si>
  <si>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</si>
  <si>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</si>
  <si>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</si>
  <si>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</si>
  <si>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</si>
  <si>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</si>
  <si>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</si>
  <si>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</si>
  <si>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</si>
  <si>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</si>
  <si>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</si>
  <si>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</si>
  <si>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</si>
  <si>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</si>
  <si>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</si>
  <si>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</si>
  <si>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</si>
  <si>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</si>
  <si>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</si>
  <si>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</si>
  <si>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</si>
  <si>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</si>
  <si>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</si>
  <si>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</si>
  <si>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</si>
  <si>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</si>
  <si>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</si>
  <si>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</si>
  <si>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</si>
  <si>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</si>
  <si>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</si>
  <si>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</si>
  <si>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</si>
  <si>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</si>
  <si>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</si>
  <si>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</si>
  <si>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</si>
  <si>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</si>
  <si>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</si>
  <si>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</si>
  <si>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</si>
  <si>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</si>
  <si>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</si>
  <si>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</si>
  <si>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</si>
  <si>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</si>
  <si>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</si>
  <si>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</si>
  <si>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</si>
  <si>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</si>
  <si>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</si>
  <si>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</si>
  <si>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</si>
  <si>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</si>
  <si>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</si>
  <si>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</si>
  <si>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</si>
  <si>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</si>
  <si>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</si>
  <si>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</si>
  <si>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</si>
  <si>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</si>
  <si>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</si>
  <si>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</si>
  <si>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</si>
  <si>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</si>
  <si>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</si>
  <si>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</si>
  <si>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</si>
  <si>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</si>
  <si>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</si>
  <si>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</si>
  <si>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</si>
  <si>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</si>
  <si>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</si>
  <si>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</si>
  <si>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</si>
  <si>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</si>
  <si>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</si>
  <si>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</si>
  <si>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</si>
  <si>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</si>
  <si>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</si>
  <si>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</si>
  <si>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</si>
  <si>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</si>
  <si>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</si>
  <si>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</si>
  <si>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</si>
  <si>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</si>
  <si>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</si>
  <si>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</si>
  <si>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</si>
  <si>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</si>
  <si>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</si>
  <si>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</si>
  <si>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</si>
  <si>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</si>
  <si>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</si>
  <si>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</si>
  <si>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</si>
  <si>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</si>
  <si>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</si>
  <si>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</si>
  <si>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</si>
  <si>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</si>
  <si>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</si>
  <si>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</si>
  <si>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</si>
  <si>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</si>
  <si>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</si>
  <si>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</si>
  <si>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</si>
  <si>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</si>
  <si>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</si>
  <si>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</si>
  <si>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</si>
  <si>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</si>
  <si>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</si>
  <si>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</si>
  <si>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</si>
  <si>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</si>
  <si>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</si>
  <si>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</si>
  <si>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</si>
  <si>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</si>
  <si>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</si>
  <si>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</si>
  <si>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</si>
  <si>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</si>
  <si>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</si>
  <si>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</si>
  <si>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</si>
  <si>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</si>
  <si>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</si>
  <si>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</si>
  <si>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</si>
  <si>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</si>
  <si>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</si>
  <si>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</si>
  <si>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</si>
  <si>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</si>
  <si>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</si>
  <si>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</si>
  <si>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</si>
  <si>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</si>
  <si>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</si>
  <si>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</si>
  <si>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</si>
  <si>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</si>
  <si>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</si>
  <si>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</si>
  <si>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</si>
  <si>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</si>
  <si>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</si>
  <si>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</si>
  <si>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</si>
  <si>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</si>
  <si>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</si>
  <si>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</si>
  <si>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</si>
  <si>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</si>
  <si>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</si>
  <si>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</si>
  <si>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</si>
  <si>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</si>
  <si>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</si>
  <si>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</si>
  <si>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</si>
  <si>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</si>
  <si>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</si>
  <si>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</si>
  <si>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</si>
  <si>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</si>
  <si>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</si>
  <si>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</si>
  <si>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</si>
  <si>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</si>
  <si>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</si>
  <si>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</si>
  <si>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</si>
  <si>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</si>
  <si>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</si>
  <si>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</si>
  <si>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</si>
  <si>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</si>
  <si>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</si>
  <si>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</si>
  <si>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</si>
  <si>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</si>
  <si>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</si>
  <si>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</si>
  <si>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</si>
  <si>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</si>
  <si>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</si>
  <si>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</si>
  <si>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</si>
  <si>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</si>
  <si>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</si>
  <si>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</si>
  <si>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</si>
  <si>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</si>
  <si>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</si>
  <si>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</si>
  <si>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</si>
  <si>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</si>
  <si>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</si>
  <si>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</si>
  <si>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</si>
  <si>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</si>
  <si>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</si>
  <si>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</si>
  <si>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</si>
  <si>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</si>
  <si>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</si>
  <si>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</si>
  <si>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</si>
  <si>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</si>
  <si>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</si>
  <si>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</si>
  <si>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</si>
  <si>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</si>
  <si>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</si>
  <si>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</si>
  <si>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</si>
  <si>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</si>
  <si>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</si>
  <si>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</si>
  <si>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</si>
  <si>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</si>
  <si>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</si>
  <si>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</si>
  <si>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</si>
  <si>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</si>
  <si>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</si>
  <si>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</si>
  <si>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</si>
  <si>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</si>
  <si>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</si>
  <si>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</si>
  <si>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</si>
  <si>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</si>
  <si>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</si>
  <si>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</si>
  <si>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</si>
  <si>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</si>
  <si>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</si>
  <si>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</si>
  <si>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</si>
  <si>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</si>
  <si>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</si>
  <si>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</si>
  <si>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</si>
  <si>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</si>
  <si>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</si>
  <si>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</si>
  <si>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</si>
  <si>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</si>
  <si>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</si>
  <si>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</si>
  <si>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</si>
  <si>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</si>
  <si>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</si>
  <si>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</si>
  <si>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</si>
  <si>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</si>
  <si>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</si>
  <si>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</si>
  <si>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</si>
  <si>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</si>
  <si>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</si>
  <si>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</si>
  <si>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</si>
  <si>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</si>
  <si>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</si>
  <si>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</si>
  <si>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</si>
  <si>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</si>
  <si>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</si>
  <si>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</si>
  <si>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</si>
  <si>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</si>
  <si>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</si>
  <si>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</si>
  <si>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</si>
  <si>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</si>
  <si>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</si>
  <si>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</si>
  <si>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</si>
  <si>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</si>
  <si>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</si>
  <si>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</si>
  <si>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</si>
  <si>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</si>
  <si>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</si>
  <si>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</si>
  <si>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</si>
  <si>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</si>
  <si>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</si>
  <si>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</si>
  <si>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</si>
  <si>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</si>
  <si>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</si>
  <si>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</si>
  <si>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</si>
  <si>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</si>
  <si>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</si>
  <si>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</si>
  <si>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</si>
  <si>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</si>
  <si>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</si>
  <si>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</si>
  <si>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</si>
  <si>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</si>
  <si>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</si>
  <si>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</si>
  <si>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</si>
  <si>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</si>
  <si>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</si>
  <si>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</si>
  <si>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</si>
  <si>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</si>
  <si>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</si>
  <si>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</si>
  <si>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</si>
  <si>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</si>
  <si>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</si>
  <si>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</si>
  <si>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</si>
  <si>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</si>
  <si>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</si>
  <si>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</si>
  <si>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</si>
  <si>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</si>
  <si>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</si>
  <si>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</si>
  <si>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</si>
  <si>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</si>
  <si>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</si>
  <si>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</si>
  <si>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</si>
  <si>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</si>
  <si>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</si>
  <si>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</si>
  <si>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</si>
  <si>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</si>
  <si>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</si>
  <si>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</si>
  <si>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</si>
  <si>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</si>
  <si>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</si>
  <si>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</si>
  <si>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</si>
  <si>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</si>
  <si>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</si>
  <si>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</si>
  <si>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</si>
  <si>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</si>
  <si>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</si>
  <si>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</si>
  <si>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</si>
  <si>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</si>
  <si>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</si>
  <si>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</si>
  <si>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</si>
  <si>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</si>
  <si>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</si>
  <si>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</si>
  <si>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</si>
  <si>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</si>
  <si>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</si>
  <si>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</si>
  <si>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</si>
  <si>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</si>
  <si>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</si>
  <si>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</si>
  <si>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</si>
  <si>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</si>
  <si>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</si>
  <si>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</si>
  <si>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</si>
  <si>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</si>
  <si>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</si>
  <si>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</si>
  <si>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</si>
  <si>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</si>
  <si>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</si>
  <si>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</si>
  <si>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</si>
  <si>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</si>
  <si>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</si>
  <si>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</si>
  <si>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</si>
  <si>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</si>
  <si>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</si>
  <si>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</si>
  <si>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</si>
  <si>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</si>
  <si>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</si>
  <si>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</si>
  <si>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</si>
  <si>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</si>
  <si>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</si>
  <si>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</si>
  <si>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</si>
  <si>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</si>
  <si>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</si>
  <si>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</si>
  <si>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</si>
  <si>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</si>
  <si>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</si>
  <si>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</si>
  <si>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</si>
  <si>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</si>
  <si>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</si>
  <si>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</si>
  <si>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</si>
  <si>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</si>
  <si>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</si>
  <si>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</si>
  <si>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</si>
  <si>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</si>
  <si>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</si>
  <si>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</si>
  <si>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</si>
  <si>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</si>
  <si>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</si>
  <si>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</si>
  <si>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</si>
  <si>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</si>
  <si>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</si>
  <si>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</si>
  <si>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</si>
  <si>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</si>
  <si>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</si>
  <si>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</si>
  <si>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</si>
  <si>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</si>
  <si>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</si>
  <si>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</si>
  <si>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</si>
  <si>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</si>
  <si>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</si>
  <si>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</si>
  <si>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</si>
  <si>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</si>
  <si>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</si>
  <si>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</si>
  <si>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</si>
  <si>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</si>
  <si>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</si>
  <si>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</si>
  <si>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</si>
  <si>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</si>
  <si>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</si>
  <si>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</si>
  <si>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</si>
  <si>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</si>
  <si>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</si>
  <si>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</si>
  <si>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</si>
  <si>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</si>
  <si>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</si>
  <si>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</si>
  <si>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</si>
  <si>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</si>
  <si>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</si>
  <si>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</si>
  <si>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</si>
  <si>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</si>
  <si>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</si>
  <si>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</si>
  <si>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</si>
  <si>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</si>
  <si>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</si>
  <si>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</si>
  <si>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</si>
  <si>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</si>
  <si>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</si>
  <si>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</si>
  <si>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</si>
  <si>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</si>
  <si>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</si>
  <si>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</si>
  <si>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</si>
  <si>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</si>
  <si>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</si>
  <si>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</si>
  <si>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</si>
  <si>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</si>
  <si>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</si>
  <si>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</si>
  <si>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</si>
  <si>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</si>
  <si>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</si>
  <si>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</si>
  <si>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</si>
  <si>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</si>
  <si>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</si>
  <si>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</si>
  <si>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</si>
  <si>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</si>
  <si>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</si>
  <si>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</si>
  <si>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</si>
  <si>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</si>
  <si>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</si>
  <si>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</si>
  <si>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</si>
  <si>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</si>
  <si>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</si>
  <si>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</si>
  <si>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</si>
  <si>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</si>
  <si>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</si>
  <si>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</si>
  <si>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</si>
  <si>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</si>
  <si>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</si>
  <si>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</si>
  <si>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</si>
  <si>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</si>
  <si>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</si>
  <si>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</si>
  <si>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</si>
  <si>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</si>
  <si>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</si>
  <si>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</si>
  <si>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</si>
  <si>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</si>
  <si>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</si>
  <si>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</si>
  <si>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</si>
  <si>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</si>
  <si>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</si>
  <si>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</si>
  <si>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</si>
  <si>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</si>
  <si>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</si>
  <si>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</si>
  <si>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</si>
  <si>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</si>
  <si>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</si>
  <si>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</si>
  <si>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</si>
  <si>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</si>
  <si>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</si>
  <si>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</si>
  <si>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</si>
  <si>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</si>
  <si>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</si>
  <si>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</si>
  <si>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</si>
  <si>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</si>
  <si>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</si>
  <si>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</si>
  <si>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</si>
  <si>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</si>
  <si>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</si>
  <si>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</si>
  <si>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</si>
  <si>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</si>
  <si>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</si>
  <si>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</si>
  <si>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</si>
  <si>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</si>
  <si>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</si>
  <si>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</si>
  <si>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</si>
  <si>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</si>
  <si>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</si>
  <si>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</si>
  <si>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</si>
  <si>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</si>
  <si>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</si>
  <si>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</si>
  <si>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</si>
  <si>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</si>
  <si>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</si>
  <si>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</si>
  <si>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</si>
  <si>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</si>
  <si>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</si>
  <si>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</si>
  <si>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</si>
  <si>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</si>
  <si>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</si>
  <si>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</si>
  <si>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</si>
  <si>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</si>
  <si>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</si>
  <si>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</si>
  <si>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</si>
  <si>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</si>
  <si>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</si>
  <si>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</si>
  <si>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</si>
  <si>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</si>
  <si>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</si>
  <si>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</si>
  <si>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</si>
  <si>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</si>
  <si>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</si>
  <si>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</si>
  <si>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</si>
  <si>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</si>
  <si>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</si>
  <si>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</si>
  <si>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</si>
  <si>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</si>
  <si>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</si>
  <si>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</si>
  <si>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</si>
  <si>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</si>
  <si>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</si>
  <si>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</si>
  <si>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</si>
  <si>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</si>
  <si>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</si>
  <si>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</si>
  <si>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</si>
  <si>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</si>
  <si>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</si>
  <si>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</si>
  <si>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</si>
  <si>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</si>
  <si>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</si>
  <si>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</si>
  <si>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</si>
  <si>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</si>
  <si>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</si>
  <si>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</si>
  <si>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</si>
  <si>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</si>
  <si>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</si>
  <si>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</si>
  <si>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</si>
  <si>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</si>
  <si>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</si>
  <si>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</si>
  <si>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</si>
  <si>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</si>
  <si>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</si>
  <si>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</si>
  <si>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</si>
  <si>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</si>
  <si>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</si>
  <si>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</si>
  <si>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</si>
  <si>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</si>
  <si>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</si>
  <si>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</si>
  <si>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</si>
  <si>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</si>
  <si>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</si>
  <si>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</si>
  <si>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</si>
  <si>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</si>
  <si>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</si>
  <si>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</si>
  <si>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</si>
  <si>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</si>
  <si>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</si>
  <si>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</si>
  <si>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</si>
  <si>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</si>
  <si>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</si>
  <si>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</si>
  <si>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</si>
  <si>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</si>
  <si>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</si>
  <si>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</si>
  <si>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</si>
  <si>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</si>
  <si>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</si>
  <si>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</si>
  <si>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</si>
  <si>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</si>
  <si>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</si>
  <si>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</si>
  <si>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</si>
  <si>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</si>
  <si>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</si>
  <si>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</si>
  <si>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</si>
  <si>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</si>
  <si>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</si>
  <si>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</si>
  <si>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</si>
  <si>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</si>
  <si>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</si>
  <si>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</si>
  <si>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</si>
  <si>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</si>
  <si>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</si>
  <si>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</si>
  <si>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</si>
  <si>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</si>
  <si>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</si>
  <si>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</si>
  <si>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</si>
  <si>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</si>
  <si>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</si>
  <si>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</si>
  <si>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</si>
  <si>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</si>
  <si>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</si>
  <si>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</si>
  <si>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</si>
  <si>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</si>
  <si>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</si>
  <si>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</si>
  <si>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</si>
  <si>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</si>
  <si>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</si>
  <si>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</si>
  <si>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</si>
  <si>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</si>
  <si>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</si>
  <si>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</si>
  <si>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</si>
  <si>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</si>
  <si>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</si>
  <si>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</si>
  <si>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</si>
  <si>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</si>
  <si>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</si>
  <si>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</si>
  <si>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</si>
  <si>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</si>
  <si>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</si>
  <si>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</si>
  <si>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</si>
  <si>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</si>
  <si>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</si>
  <si>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</si>
  <si>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</si>
  <si>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</si>
  <si>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</si>
  <si>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</si>
  <si>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</si>
  <si>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</si>
  <si>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</si>
  <si>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</si>
  <si>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</si>
  <si>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</si>
  <si>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</si>
  <si>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</si>
  <si>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</si>
  <si>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</si>
  <si>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</si>
  <si>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</si>
  <si>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</si>
  <si>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</si>
  <si>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</si>
  <si>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</si>
  <si>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</si>
  <si>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</si>
  <si>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</si>
  <si>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</si>
  <si>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</si>
  <si>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</si>
  <si>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</si>
  <si>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</si>
  <si>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</si>
  <si>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</si>
  <si>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</si>
  <si>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</si>
  <si>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</si>
  <si>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</si>
  <si>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</si>
  <si>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</si>
  <si>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</si>
  <si>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</si>
  <si>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</si>
  <si>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</si>
  <si>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</si>
  <si>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</si>
  <si>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</si>
  <si>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</si>
  <si>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</si>
  <si>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</si>
  <si>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</si>
  <si>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</si>
  <si>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</si>
  <si>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</si>
  <si>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</si>
  <si>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</si>
  <si>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</si>
  <si>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</si>
  <si>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</si>
  <si>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</si>
  <si>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</si>
  <si>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</si>
  <si>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</si>
  <si>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</si>
  <si>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</si>
  <si>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</si>
  <si>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</si>
  <si>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</si>
  <si>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</si>
  <si>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</si>
  <si>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</si>
  <si>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</si>
  <si>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</si>
  <si>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</si>
  <si>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</si>
  <si>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</si>
  <si>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</si>
  <si>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</si>
  <si>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</si>
  <si>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</si>
  <si>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</si>
  <si>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</si>
  <si>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</si>
  <si>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</si>
  <si>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</si>
  <si>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</si>
  <si>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</si>
  <si>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</si>
  <si>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</si>
  <si>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</si>
  <si>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</si>
  <si>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</si>
  <si>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</si>
  <si>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</si>
  <si>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</si>
  <si>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</si>
  <si>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</si>
  <si>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</si>
  <si>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</si>
  <si>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</si>
  <si>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</si>
  <si>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</si>
  <si>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</si>
  <si>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</si>
  <si>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</si>
  <si>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</si>
  <si>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</si>
  <si>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</si>
  <si>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</si>
  <si>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</si>
  <si>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</si>
  <si>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</si>
  <si>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</si>
  <si>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</si>
  <si>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</si>
  <si>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</si>
  <si>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</si>
  <si>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</si>
  <si>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</si>
  <si>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</si>
  <si>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</si>
  <si>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</si>
  <si>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</si>
  <si>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</si>
  <si>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</si>
  <si>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</si>
  <si>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</si>
  <si>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</si>
  <si>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</si>
  <si>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</si>
  <si>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</si>
  <si>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</si>
  <si>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</si>
  <si>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</si>
  <si>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</si>
  <si>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</si>
  <si>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</si>
  <si>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</si>
  <si>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</si>
  <si>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</si>
  <si>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</si>
  <si>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</si>
  <si>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</si>
  <si>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</si>
  <si>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</si>
  <si>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</si>
  <si>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</si>
  <si>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</si>
  <si>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</si>
  <si>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</si>
  <si>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</si>
  <si>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</si>
  <si>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</si>
  <si>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</si>
  <si>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</si>
  <si>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</si>
  <si>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</si>
  <si>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</si>
  <si>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</si>
  <si>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</si>
  <si>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</si>
  <si>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</si>
  <si>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</si>
  <si>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</si>
  <si>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</si>
  <si>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</si>
  <si>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</si>
  <si>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</si>
  <si>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</si>
  <si>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</si>
  <si>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</si>
  <si>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</si>
  <si>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</si>
  <si>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</si>
  <si>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</si>
  <si>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</si>
  <si>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</si>
  <si>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</si>
  <si>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</si>
  <si>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</si>
  <si>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</si>
  <si>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</si>
  <si>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</si>
  <si>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</si>
  <si>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</si>
  <si>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</si>
  <si>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</si>
  <si>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</si>
  <si>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</si>
  <si>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</si>
  <si>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</si>
  <si>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</si>
  <si>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</si>
  <si>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</si>
  <si>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</si>
  <si>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</si>
  <si>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</si>
  <si>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</si>
  <si>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</si>
  <si>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</si>
  <si>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</si>
  <si>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</si>
  <si>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</si>
  <si>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</si>
  <si>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</si>
  <si>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</si>
  <si>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</si>
  <si>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</si>
  <si>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</si>
  <si>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</si>
  <si>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</si>
  <si>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</si>
  <si>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</si>
  <si>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</si>
  <si>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</si>
  <si>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</si>
  <si>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</si>
  <si>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</si>
  <si>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</si>
  <si>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</si>
  <si>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</si>
  <si>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</si>
  <si>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</si>
  <si>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</si>
  <si>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</si>
  <si>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</si>
  <si>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</si>
  <si>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</si>
  <si>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</si>
  <si>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</si>
  <si>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</si>
  <si>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</si>
  <si>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</si>
  <si>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</si>
  <si>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</si>
  <si>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</si>
  <si>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</si>
  <si>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</si>
  <si>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</si>
  <si>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</si>
  <si>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</si>
  <si>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</si>
  <si>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</si>
  <si>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</si>
  <si>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</si>
  <si>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</si>
  <si>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</si>
  <si>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</si>
  <si>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</si>
  <si>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</si>
  <si>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</si>
  <si>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</si>
  <si>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</si>
  <si>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</si>
  <si>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</si>
  <si>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</si>
  <si>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</si>
  <si>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</si>
  <si>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</si>
  <si>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</si>
  <si>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</si>
  <si>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</si>
  <si>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</si>
  <si>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</si>
  <si>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</si>
  <si>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</si>
  <si>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</si>
  <si>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</si>
  <si>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</si>
  <si>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</si>
  <si>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</si>
  <si>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</si>
  <si>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</si>
  <si>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</si>
  <si>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</si>
  <si>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</si>
  <si>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</si>
  <si>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</si>
  <si>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</si>
  <si>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</si>
  <si>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</si>
  <si>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</si>
  <si>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</si>
  <si>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</si>
  <si>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</si>
  <si>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</si>
  <si>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</si>
  <si>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</si>
  <si>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</si>
  <si>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</si>
  <si>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</si>
  <si>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</si>
  <si>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</si>
  <si>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</si>
  <si>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</si>
  <si>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</si>
  <si>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</si>
  <si>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</si>
  <si>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</si>
  <si>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</si>
  <si>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</si>
  <si>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</si>
  <si>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</si>
  <si>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</si>
  <si>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</si>
  <si>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</si>
  <si>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</si>
  <si>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</si>
  <si>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</si>
  <si>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</si>
  <si>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</si>
  <si>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</si>
  <si>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</si>
  <si>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</si>
  <si>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</si>
  <si>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</si>
  <si>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</si>
  <si>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</si>
  <si>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</si>
  <si>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</si>
  <si>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</si>
  <si>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</si>
  <si>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</si>
  <si>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</si>
  <si>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</si>
  <si>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</si>
  <si>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</si>
  <si>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</si>
  <si>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</si>
  <si>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</si>
  <si>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</si>
  <si>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</si>
  <si>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</si>
  <si>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</si>
  <si>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</si>
  <si>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</si>
  <si>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</si>
  <si>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</si>
  <si>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</si>
  <si>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</si>
  <si>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</si>
  <si>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</si>
  <si>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</si>
  <si>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</si>
  <si>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</si>
  <si>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</si>
  <si>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</si>
  <si>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</si>
  <si>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</si>
  <si>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</si>
  <si>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</si>
  <si>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</si>
  <si>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</si>
  <si>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</si>
  <si>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</si>
  <si>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</si>
  <si>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</si>
  <si>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</si>
  <si>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</si>
  <si>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</si>
  <si>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</si>
  <si>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</si>
  <si>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</si>
  <si>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</si>
  <si>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</si>
  <si>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</si>
  <si>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</si>
  <si>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</si>
  <si>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</si>
  <si>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</si>
  <si>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</si>
  <si>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</si>
  <si>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</si>
  <si>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</si>
  <si>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</si>
  <si>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</si>
  <si>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</si>
  <si>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</si>
  <si>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</si>
  <si>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</si>
  <si>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</si>
  <si>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</si>
  <si>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</si>
  <si>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</si>
  <si>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</si>
  <si>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</si>
  <si>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</si>
  <si>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</si>
  <si>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</si>
  <si>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</si>
  <si>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</si>
  <si>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</si>
  <si>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</si>
  <si>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</si>
  <si>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</si>
  <si>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</si>
  <si>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</si>
  <si>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</si>
  <si>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</si>
  <si>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</si>
  <si>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</si>
  <si>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</si>
  <si>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</si>
  <si>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</si>
  <si>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</si>
  <si>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</si>
  <si>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</si>
  <si>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</si>
  <si>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</si>
  <si>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</si>
  <si>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</si>
  <si>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</si>
  <si>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</si>
  <si>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</si>
  <si>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</si>
  <si>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</si>
  <si>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</si>
  <si>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</si>
  <si>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</si>
  <si>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</si>
  <si>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</si>
  <si>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</si>
  <si>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</si>
  <si>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</si>
  <si>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</si>
  <si>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</si>
  <si>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</si>
  <si>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</si>
  <si>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</si>
  <si>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</si>
  <si>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</si>
  <si>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</si>
  <si>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</si>
  <si>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</si>
  <si>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</si>
  <si>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</si>
  <si>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</si>
  <si>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</si>
  <si>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</si>
  <si>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</si>
  <si>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</si>
  <si>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</si>
  <si>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</si>
  <si>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</si>
  <si>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</si>
  <si>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</si>
  <si>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</si>
  <si>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</si>
  <si>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</si>
  <si>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</si>
  <si>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</si>
  <si>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</si>
  <si>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</si>
  <si>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</si>
  <si>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</si>
  <si>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</si>
  <si>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</si>
  <si>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</si>
  <si>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</si>
  <si>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</si>
  <si>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</si>
  <si>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</si>
  <si>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</si>
  <si>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</si>
  <si>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</si>
  <si>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</si>
  <si>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</si>
  <si>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</si>
  <si>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</si>
  <si>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</si>
  <si>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</si>
  <si>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</si>
  <si>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</si>
  <si>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</si>
  <si>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</si>
  <si>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</si>
  <si>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</si>
  <si>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</si>
  <si>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</si>
  <si>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</si>
  <si>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</si>
  <si>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</si>
  <si>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</si>
  <si>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</si>
  <si>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</si>
  <si>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</si>
  <si>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</si>
  <si>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</si>
  <si>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</si>
  <si>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</si>
  <si>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</si>
  <si>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</si>
  <si>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</si>
  <si>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</si>
  <si>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</si>
  <si>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</si>
  <si>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</si>
  <si>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</si>
  <si>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</si>
  <si>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</si>
  <si>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</si>
  <si>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</si>
  <si>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</si>
  <si>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</si>
  <si>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</si>
  <si>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</si>
  <si>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</si>
  <si>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</si>
  <si>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</si>
  <si>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</si>
  <si>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</si>
  <si>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</si>
  <si>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</si>
  <si>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</si>
  <si>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</si>
  <si>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</si>
  <si>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</si>
  <si>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</si>
  <si>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</si>
  <si>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</si>
  <si>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</si>
  <si>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</si>
  <si>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</si>
  <si>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</si>
  <si>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</si>
  <si>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</si>
  <si>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</si>
  <si>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</si>
  <si>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</si>
  <si>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</si>
  <si>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</si>
  <si>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</si>
  <si>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</si>
  <si>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</si>
  <si>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</si>
  <si>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</si>
  <si>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</si>
  <si>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</si>
  <si>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</si>
  <si>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</si>
  <si>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</si>
  <si>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</si>
  <si>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</si>
  <si>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</si>
  <si>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</si>
  <si>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</si>
  <si>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</si>
  <si>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</si>
  <si>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</si>
  <si>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</si>
  <si>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</si>
  <si>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</si>
  <si>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</si>
  <si>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</si>
  <si>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</si>
  <si>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</si>
  <si>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</si>
  <si>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</si>
  <si>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</si>
  <si>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</si>
  <si>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</si>
  <si>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</si>
  <si>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</si>
  <si>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</si>
  <si>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</si>
  <si>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</si>
  <si>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</si>
  <si>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</si>
  <si>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</si>
  <si>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</si>
  <si>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</si>
  <si>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</si>
  <si>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</si>
  <si>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</si>
  <si>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</si>
  <si>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</si>
  <si>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</si>
  <si>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</si>
  <si>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</si>
  <si>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</si>
  <si>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</si>
  <si>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</si>
  <si>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</si>
  <si>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</si>
  <si>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</si>
  <si>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</si>
  <si>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</si>
  <si>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</si>
  <si>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</si>
  <si>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</si>
  <si>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</si>
  <si>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</si>
  <si>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</si>
  <si>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</si>
  <si>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</si>
  <si>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</si>
  <si>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</si>
  <si>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</si>
  <si>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</si>
  <si>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</si>
  <si>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</si>
  <si>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</si>
  <si>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</si>
  <si>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</si>
  <si>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</si>
  <si>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</si>
  <si>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</si>
  <si>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</si>
  <si>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</si>
  <si>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</si>
  <si>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</si>
  <si>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</si>
  <si>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</si>
  <si>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</si>
  <si>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</si>
  <si>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</si>
  <si>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</si>
  <si>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</si>
  <si>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</si>
  <si>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</si>
  <si>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</si>
  <si>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</si>
  <si>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</si>
  <si>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</si>
  <si>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</si>
  <si>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</si>
  <si>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</si>
  <si>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</si>
  <si>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</si>
  <si>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</si>
  <si>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</si>
  <si>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</si>
  <si>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</si>
  <si>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</si>
  <si>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</si>
  <si>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</si>
  <si>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</si>
  <si>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</si>
  <si>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</si>
  <si>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</si>
  <si>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</si>
  <si>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</si>
  <si>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</si>
  <si>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</si>
  <si>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</si>
  <si>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</si>
  <si>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</si>
  <si>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</si>
  <si>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</si>
  <si>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</si>
  <si>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</si>
  <si>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</si>
  <si>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</si>
  <si>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</si>
  <si>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</si>
  <si>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</si>
  <si>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</si>
  <si>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</si>
  <si>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</si>
  <si>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</si>
  <si>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</si>
  <si>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</si>
  <si>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</si>
  <si>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</si>
  <si>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</si>
  <si>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</si>
  <si>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</si>
  <si>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</si>
  <si>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</si>
  <si>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</si>
  <si>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</si>
  <si>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</si>
  <si>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</si>
  <si>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</si>
  <si>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</si>
  <si>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</si>
  <si>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</si>
  <si>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</si>
  <si>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</si>
  <si>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</si>
  <si>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</si>
  <si>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</si>
  <si>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</si>
  <si>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</si>
  <si>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</si>
  <si>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</si>
  <si>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</si>
  <si>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</si>
  <si>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</si>
  <si>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</si>
  <si>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</si>
  <si>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</si>
  <si>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</si>
  <si>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</si>
  <si>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</si>
  <si>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</si>
  <si>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</si>
  <si>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</si>
  <si>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</si>
  <si>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</si>
  <si>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</si>
  <si>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</si>
  <si>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</si>
  <si>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</si>
  <si>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</si>
  <si>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</si>
  <si>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</si>
  <si>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</si>
  <si>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</si>
  <si>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</si>
  <si>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</si>
  <si>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</si>
  <si>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</si>
  <si>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</si>
  <si>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</si>
  <si>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</si>
  <si>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</si>
  <si>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</si>
  <si>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</si>
  <si>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</si>
  <si>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</si>
  <si>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</si>
  <si>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</si>
  <si>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</si>
  <si>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</si>
  <si>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</si>
  <si>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</si>
  <si>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</si>
  <si>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</si>
  <si>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</si>
  <si>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</si>
  <si>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</si>
  <si>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</si>
  <si>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</si>
  <si>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</si>
  <si>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</si>
  <si>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</si>
  <si>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</si>
  <si>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</si>
  <si>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</si>
  <si>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</si>
  <si>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</si>
  <si>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</si>
  <si>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</si>
  <si>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</si>
  <si>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</si>
  <si>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</si>
  <si>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</si>
  <si>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</si>
  <si>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</si>
  <si>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</si>
  <si>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</si>
  <si>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</si>
  <si>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</si>
  <si>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</si>
  <si>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</si>
  <si>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</si>
  <si>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</si>
  <si>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</si>
  <si>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</si>
  <si>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</si>
  <si>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</si>
  <si>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</si>
  <si>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</si>
  <si>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</si>
  <si>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</si>
  <si>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</si>
  <si>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</si>
  <si>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</si>
  <si>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</si>
  <si>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</si>
  <si>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</si>
  <si>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</si>
  <si>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</si>
  <si>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</si>
  <si>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</si>
  <si>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</si>
  <si>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</si>
  <si>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</si>
  <si>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</si>
  <si>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</si>
  <si>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</si>
  <si>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</si>
  <si>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</si>
  <si>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</si>
  <si>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</si>
  <si>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</si>
  <si>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</si>
  <si>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</si>
  <si>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</si>
  <si>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</si>
  <si>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</si>
  <si>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</si>
  <si>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</si>
  <si>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</si>
  <si>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</si>
  <si>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</si>
  <si>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</si>
  <si>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</si>
  <si>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</si>
  <si>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</si>
  <si>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</si>
  <si>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</si>
  <si>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</si>
  <si>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</si>
  <si>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</si>
  <si>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</si>
  <si>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</si>
  <si>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</si>
  <si>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</si>
  <si>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</si>
  <si>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</si>
  <si>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</si>
  <si>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</si>
  <si>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</si>
  <si>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</si>
  <si>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</si>
  <si>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</si>
  <si>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</si>
  <si>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</si>
  <si>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</si>
  <si>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</si>
  <si>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</si>
  <si>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</si>
  <si>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</si>
  <si>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</si>
  <si>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</si>
  <si>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</si>
  <si>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</si>
  <si>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</si>
  <si>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</si>
  <si>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</si>
  <si>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</si>
  <si>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</si>
  <si>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</si>
  <si>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</si>
  <si>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</si>
  <si>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</si>
  <si>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</si>
  <si>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</si>
  <si>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</si>
  <si>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</si>
  <si>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</si>
  <si>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</si>
  <si>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</si>
  <si>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</si>
  <si>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</si>
  <si>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</si>
  <si>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</si>
  <si>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</si>
  <si>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</si>
  <si>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</si>
  <si>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</si>
  <si>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</si>
  <si>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</si>
  <si>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</si>
  <si>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</si>
  <si>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</si>
  <si>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</si>
  <si>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</si>
  <si>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</si>
  <si>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</si>
  <si>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</si>
  <si>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</si>
  <si>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</si>
  <si>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</si>
  <si>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</si>
  <si>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</si>
  <si>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</si>
  <si>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</si>
  <si>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</si>
  <si>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</si>
  <si>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</si>
  <si>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</si>
  <si>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</si>
  <si>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</si>
  <si>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</si>
  <si>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</si>
  <si>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</si>
  <si>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</si>
  <si>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</si>
  <si>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</si>
  <si>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</si>
  <si>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</si>
  <si>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</si>
  <si>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</si>
  <si>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</si>
  <si>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</si>
  <si>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</si>
  <si>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</si>
  <si>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</si>
  <si>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</si>
  <si>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</si>
  <si>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</si>
  <si>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</si>
  <si>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</si>
  <si>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</si>
  <si>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</si>
  <si>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</si>
  <si>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</si>
  <si>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</si>
  <si>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</si>
  <si>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</si>
  <si>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</si>
  <si>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</si>
  <si>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</si>
  <si>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</si>
  <si>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</si>
  <si>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</si>
  <si>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</si>
  <si>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</si>
  <si>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</si>
  <si>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</si>
  <si>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</si>
  <si>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</si>
  <si>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</si>
  <si>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</si>
  <si>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</si>
  <si>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</si>
  <si>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</si>
  <si>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</si>
  <si>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</si>
  <si>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</si>
  <si>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</si>
  <si>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</si>
  <si>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</si>
  <si>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</si>
  <si>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</si>
  <si>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</si>
  <si>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</si>
  <si>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</si>
  <si>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</si>
  <si>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</si>
  <si>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</si>
  <si>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</si>
  <si>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</si>
  <si>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</si>
  <si>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</si>
  <si>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</si>
  <si>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</si>
  <si>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</si>
  <si>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</si>
  <si>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</si>
  <si>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</si>
  <si>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</si>
  <si>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</si>
  <si>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</si>
  <si>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</si>
  <si>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</si>
  <si>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</si>
  <si>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</si>
  <si>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</si>
  <si>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</si>
  <si>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</si>
  <si>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</si>
  <si>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</si>
  <si>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</si>
  <si>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</si>
  <si>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</si>
  <si>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</si>
  <si>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</si>
  <si>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</si>
  <si>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</si>
  <si>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</si>
  <si>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</si>
  <si>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</si>
  <si>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</si>
  <si>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</si>
  <si>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</si>
  <si>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</si>
  <si>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</si>
  <si>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</si>
  <si>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</si>
  <si>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</si>
  <si>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</si>
  <si>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</si>
  <si>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</si>
  <si>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</si>
  <si>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</si>
  <si>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</si>
  <si>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</si>
  <si>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</si>
  <si>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</si>
  <si>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</si>
  <si>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</si>
  <si>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</si>
  <si>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</si>
  <si>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</si>
  <si>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</si>
  <si>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</si>
  <si>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</si>
  <si>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</si>
  <si>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</si>
  <si>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</si>
  <si>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</si>
  <si>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</si>
  <si>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</si>
  <si>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</si>
  <si>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</si>
  <si>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</si>
  <si>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</si>
  <si>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</si>
  <si>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</si>
  <si>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</si>
  <si>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</si>
  <si>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</si>
  <si>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</si>
  <si>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</si>
  <si>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</si>
  <si>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</si>
  <si>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</si>
  <si>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</si>
  <si>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</si>
  <si>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</si>
  <si>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</si>
  <si>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</si>
  <si>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</si>
  <si>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</si>
  <si>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</si>
  <si>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</si>
  <si>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</si>
  <si>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</si>
  <si>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</si>
  <si>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</si>
  <si>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</si>
  <si>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</si>
  <si>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</si>
  <si>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</si>
  <si>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</si>
  <si>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</si>
  <si>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</si>
  <si>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</si>
  <si>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</si>
  <si>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</si>
  <si>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</si>
  <si>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</si>
  <si>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</si>
  <si>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</si>
  <si>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</si>
  <si>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</si>
  <si>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</si>
  <si>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</si>
  <si>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</si>
  <si>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</si>
  <si>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</si>
  <si>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</si>
  <si>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</si>
  <si>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</si>
  <si>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</si>
  <si>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</si>
  <si>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</si>
  <si>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</si>
  <si>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</si>
  <si>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</si>
  <si>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</si>
  <si>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</si>
  <si>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</si>
  <si>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</si>
  <si>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</si>
  <si>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</si>
  <si>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</si>
  <si>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</si>
  <si>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</si>
  <si>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</si>
  <si>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</si>
  <si>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</si>
  <si>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</si>
  <si>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</si>
  <si>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</si>
  <si>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</si>
  <si>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</si>
  <si>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</si>
  <si>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</si>
  <si>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</si>
  <si>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</si>
  <si>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</si>
  <si>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</si>
  <si>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</si>
  <si>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</si>
  <si>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</si>
  <si>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</si>
  <si>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</si>
  <si>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</si>
  <si>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</si>
  <si>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</si>
  <si>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</si>
  <si>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</si>
  <si>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</si>
  <si>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</si>
  <si>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</si>
  <si>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</si>
  <si>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</si>
  <si>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</si>
  <si>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</si>
  <si>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</si>
  <si>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</si>
  <si>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</si>
  <si>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</si>
  <si>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</si>
  <si>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</si>
  <si>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</si>
  <si>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</si>
  <si>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</si>
  <si>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</si>
  <si>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</si>
  <si>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</si>
  <si>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</si>
  <si>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</si>
  <si>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</si>
  <si>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</si>
  <si>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</si>
  <si>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</si>
  <si>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</si>
  <si>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</si>
  <si>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</si>
  <si>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</si>
  <si>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</si>
  <si>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</si>
  <si>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</si>
  <si>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</si>
  <si>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</si>
  <si>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</si>
  <si>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</si>
  <si>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</si>
  <si>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</si>
  <si>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</si>
  <si>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</si>
  <si>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</si>
  <si>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</si>
  <si>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</si>
  <si>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</si>
  <si>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</si>
  <si>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</si>
  <si>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</si>
  <si>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</si>
  <si>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</si>
  <si>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</si>
  <si>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</si>
  <si>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</si>
  <si>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</si>
  <si>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</si>
  <si>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</si>
  <si>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</si>
  <si>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</si>
  <si>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</si>
  <si>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</si>
  <si>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</si>
  <si>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</si>
  <si>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</si>
  <si>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</si>
  <si>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</si>
  <si>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</si>
  <si>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</si>
  <si>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</si>
  <si>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</si>
  <si>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</si>
  <si>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</si>
  <si>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</si>
  <si>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</si>
  <si>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</si>
  <si>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</si>
  <si>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</si>
  <si>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</si>
  <si>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</si>
  <si>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</si>
  <si>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</si>
  <si>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</si>
  <si>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</si>
  <si>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</si>
  <si>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</si>
  <si>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</si>
  <si>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</si>
  <si>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</si>
  <si>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</si>
  <si>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</si>
  <si>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</si>
  <si>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</si>
  <si>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</si>
  <si>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</si>
  <si>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</si>
  <si>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</si>
  <si>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</si>
  <si>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</si>
  <si>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</si>
  <si>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</si>
  <si>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</si>
  <si>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</si>
  <si>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</si>
  <si>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</si>
  <si>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</si>
  <si>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</si>
  <si>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</si>
  <si>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</si>
  <si>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</si>
  <si>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</si>
  <si>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</si>
  <si>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</si>
  <si>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</si>
  <si>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</si>
  <si>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</si>
  <si>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</si>
  <si>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</si>
  <si>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</si>
  <si>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</si>
  <si>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</si>
  <si>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</si>
  <si>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</si>
  <si>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</si>
  <si>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</si>
  <si>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</si>
  <si>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</si>
  <si>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</si>
  <si>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</si>
  <si>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</si>
  <si>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</si>
  <si>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</si>
  <si>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</si>
  <si>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</si>
  <si>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</si>
  <si>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</si>
  <si>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</si>
  <si>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</si>
  <si>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</si>
  <si>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</si>
  <si>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</si>
  <si>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</si>
  <si>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</si>
  <si>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</si>
  <si>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</si>
  <si>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</si>
  <si>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</si>
  <si>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</si>
  <si>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</si>
  <si>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</si>
  <si>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</si>
  <si>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</si>
  <si>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</si>
  <si>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</si>
  <si>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</si>
  <si>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</si>
  <si>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</si>
  <si>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</si>
  <si>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</si>
  <si>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</si>
  <si>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</si>
  <si>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</si>
  <si>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</si>
  <si>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</si>
  <si>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</si>
  <si>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</si>
  <si>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</si>
  <si>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</si>
  <si>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</si>
  <si>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</si>
  <si>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</si>
  <si>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</si>
  <si>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</si>
  <si>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</si>
  <si>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</si>
  <si>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</si>
  <si>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</si>
  <si>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</si>
  <si>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</si>
  <si>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</si>
  <si>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</si>
  <si>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</si>
  <si>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</si>
  <si>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</si>
  <si>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</si>
  <si>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</si>
  <si>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</si>
  <si>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</si>
  <si>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</si>
  <si>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</si>
  <si>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</si>
  <si>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</si>
  <si>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</si>
  <si>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</si>
  <si>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</si>
  <si>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</si>
  <si>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</si>
  <si>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</si>
  <si>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</si>
  <si>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</si>
  <si>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</si>
  <si>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</si>
  <si>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</si>
  <si>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</si>
  <si>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</si>
  <si>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</si>
  <si>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</si>
  <si>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</si>
  <si>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</si>
  <si>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</si>
  <si>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</si>
  <si>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</si>
  <si>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</si>
  <si>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</si>
  <si>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</si>
  <si>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</si>
  <si>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</si>
  <si>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</si>
  <si>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</si>
  <si>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</si>
  <si>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</si>
  <si>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</si>
  <si>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</si>
  <si>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</si>
  <si>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</si>
  <si>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</si>
  <si>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</si>
  <si>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</si>
  <si>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</si>
  <si>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</si>
  <si>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</si>
  <si>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</si>
  <si>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</si>
  <si>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</si>
  <si>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</si>
  <si>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</si>
  <si>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</si>
  <si>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</si>
  <si>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</si>
  <si>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</si>
  <si>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</si>
  <si>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</si>
  <si>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</si>
  <si>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</si>
  <si>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</si>
  <si>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</si>
  <si>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</si>
  <si>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</si>
  <si>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</si>
  <si>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</si>
  <si>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</si>
  <si>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</si>
  <si>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</si>
  <si>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</si>
  <si>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</si>
  <si>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</si>
  <si>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</si>
  <si>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</si>
  <si>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</si>
  <si>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</si>
  <si>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</si>
  <si>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</si>
  <si>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</si>
  <si>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</si>
  <si>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</si>
  <si>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</si>
  <si>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</si>
  <si>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</si>
  <si>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</si>
  <si>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</si>
  <si>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</si>
  <si>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</si>
  <si>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</si>
  <si>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</si>
  <si>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</si>
  <si>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</si>
  <si>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</si>
  <si>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</si>
  <si>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</si>
  <si>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</si>
  <si>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</si>
  <si>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</si>
  <si>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</si>
  <si>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</si>
  <si>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</si>
  <si>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</si>
  <si>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</si>
  <si>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</si>
  <si>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</si>
  <si>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</si>
  <si>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</si>
  <si>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</si>
  <si>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</si>
  <si>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</si>
  <si>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</si>
  <si>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</si>
  <si>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</si>
  <si>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</si>
  <si>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</si>
  <si>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</si>
  <si>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</si>
  <si>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</si>
  <si>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</si>
  <si>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</si>
  <si>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</si>
  <si>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</si>
  <si>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</si>
  <si>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</si>
  <si>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</si>
  <si>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</si>
  <si>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</si>
  <si>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</si>
  <si>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</si>
  <si>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</si>
  <si>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</si>
  <si>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</si>
  <si>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</si>
  <si>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</si>
  <si>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</si>
  <si>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</si>
  <si>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</si>
  <si>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</si>
  <si>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</si>
  <si>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</si>
  <si>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</si>
  <si>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</si>
  <si>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</si>
  <si>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</si>
  <si>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</si>
  <si>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</si>
  <si>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</si>
  <si>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</si>
  <si>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</si>
  <si>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</si>
  <si>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</si>
  <si>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</si>
  <si>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</si>
  <si>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</si>
  <si>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</si>
  <si>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</si>
  <si>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</si>
  <si>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</si>
  <si>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</si>
  <si>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</si>
  <si>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</si>
  <si>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</si>
  <si>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</si>
  <si>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</si>
  <si>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</si>
  <si>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</si>
  <si>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</si>
  <si>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</si>
  <si>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</si>
  <si>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</si>
  <si>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</si>
  <si>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</si>
  <si>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</si>
  <si>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</si>
  <si>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</si>
  <si>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</si>
  <si>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</si>
  <si>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</si>
  <si>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</si>
  <si>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</si>
  <si>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</si>
  <si>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</si>
  <si>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</si>
  <si>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</si>
  <si>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</si>
  <si>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</si>
  <si>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</si>
  <si>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</si>
  <si>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</si>
  <si>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</si>
  <si>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</si>
  <si>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</si>
  <si>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</si>
  <si>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</si>
  <si>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</si>
  <si>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</si>
  <si>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</si>
  <si>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</si>
  <si>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</si>
  <si>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</si>
  <si>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</si>
  <si>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</si>
  <si>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</si>
  <si>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</si>
  <si>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</si>
  <si>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</si>
  <si>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</si>
  <si>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</si>
  <si>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</si>
  <si>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</si>
  <si>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</si>
  <si>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</si>
  <si>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</si>
  <si>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</si>
  <si>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</si>
  <si>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</si>
  <si>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</si>
  <si>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</si>
  <si>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</si>
  <si>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</si>
  <si>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</si>
  <si>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</si>
  <si>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</si>
  <si>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</si>
  <si>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</si>
  <si>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</si>
  <si>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</si>
  <si>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</si>
  <si>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</si>
  <si>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</si>
  <si>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</si>
  <si>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</si>
  <si>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</si>
  <si>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</si>
  <si>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</si>
  <si>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</si>
  <si>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</si>
  <si>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</si>
  <si>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</si>
  <si>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</si>
  <si>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</si>
  <si>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</si>
  <si>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</si>
  <si>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</si>
  <si>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</si>
  <si>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</si>
  <si>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</si>
  <si>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</si>
  <si>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</si>
  <si>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</si>
  <si>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</si>
  <si>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</si>
  <si>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</si>
  <si>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</si>
  <si>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</si>
  <si>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</si>
  <si>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</si>
  <si>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</si>
  <si>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</si>
  <si>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</si>
  <si>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</si>
  <si>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</si>
  <si>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</si>
  <si>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</si>
  <si>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</si>
  <si>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</si>
  <si>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</si>
  <si>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</si>
  <si>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</si>
  <si>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</si>
  <si>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</si>
  <si>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</si>
  <si>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</si>
  <si>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</si>
  <si>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</si>
  <si>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</si>
  <si>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</si>
  <si>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</si>
  <si>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</si>
  <si>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</si>
  <si>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</si>
  <si>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</si>
  <si>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</si>
  <si>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</si>
  <si>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</si>
  <si>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</si>
  <si>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</si>
  <si>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</si>
  <si>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</si>
  <si>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</si>
  <si>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</si>
  <si>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</si>
  <si>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</si>
  <si>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</si>
  <si>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</si>
  <si>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</si>
  <si>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</si>
  <si>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</si>
  <si>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</si>
  <si>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</si>
  <si>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</si>
  <si>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</si>
  <si>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</si>
  <si>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</si>
  <si>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</si>
  <si>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</si>
  <si>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</si>
  <si>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</si>
  <si>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</si>
  <si>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</si>
  <si>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</si>
  <si>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</si>
  <si>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</si>
  <si>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</si>
  <si>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</si>
  <si>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</si>
  <si>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</si>
  <si>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</si>
  <si>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</si>
  <si>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</si>
  <si>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</si>
  <si>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</si>
  <si>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</si>
  <si>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</si>
  <si>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</si>
  <si>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</si>
  <si>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</si>
  <si>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</si>
  <si>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</si>
  <si>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</si>
  <si>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</si>
  <si>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</si>
  <si>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</si>
  <si>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</si>
  <si>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</si>
  <si>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</si>
  <si>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</si>
  <si>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</si>
  <si>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</si>
  <si>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</si>
  <si>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</si>
  <si>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</si>
  <si>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</si>
  <si>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</si>
  <si>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</si>
  <si>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</si>
  <si>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</si>
  <si>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</si>
  <si>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</si>
  <si>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</si>
  <si>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</si>
  <si>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</si>
  <si>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</si>
  <si>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</si>
  <si>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</si>
  <si>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</si>
  <si>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</si>
  <si>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</si>
  <si>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</si>
  <si>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</si>
  <si>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</si>
  <si>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</si>
  <si>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</si>
  <si>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</si>
  <si>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</si>
  <si>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</si>
  <si>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</si>
  <si>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</si>
  <si>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</si>
  <si>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</si>
  <si>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</si>
  <si>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</si>
  <si>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</si>
  <si>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</si>
  <si>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</si>
  <si>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</si>
  <si>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</si>
  <si>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</si>
  <si>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</si>
  <si>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</si>
  <si>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</si>
  <si>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</si>
  <si>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</si>
  <si>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</si>
  <si>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</si>
  <si>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</si>
  <si>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</si>
  <si>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</si>
  <si>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</si>
  <si>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</si>
  <si>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</si>
  <si>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</si>
  <si>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</si>
  <si>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</si>
  <si>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</si>
  <si>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</si>
  <si>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</si>
  <si>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</si>
  <si>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</si>
  <si>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</si>
  <si>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</si>
  <si>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</si>
  <si>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</si>
  <si>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</si>
  <si>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</si>
  <si>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</si>
  <si>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</si>
  <si>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</si>
  <si>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</si>
  <si>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</si>
  <si>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</si>
  <si>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</si>
  <si>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</si>
  <si>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</si>
  <si>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</si>
  <si>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</si>
  <si>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</si>
  <si>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</si>
  <si>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</si>
  <si>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</si>
  <si>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</si>
  <si>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</si>
  <si>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</si>
  <si>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</si>
  <si>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</si>
  <si>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</si>
  <si>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</si>
  <si>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</si>
  <si>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</si>
  <si>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</si>
  <si>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</si>
  <si>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</si>
  <si>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</si>
  <si>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</si>
  <si>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</si>
  <si>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</si>
  <si>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</si>
  <si>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</si>
  <si>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</si>
  <si>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</si>
  <si>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</si>
  <si>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</si>
  <si>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</si>
  <si>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</si>
  <si>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</si>
  <si>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</si>
  <si>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</si>
  <si>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</si>
  <si>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</si>
  <si>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</si>
  <si>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</si>
  <si>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</si>
  <si>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</si>
  <si>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</si>
  <si>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</si>
  <si>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</si>
  <si>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</si>
  <si>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</si>
  <si>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</si>
  <si>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</si>
  <si>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</si>
  <si>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</si>
  <si>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</si>
  <si>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</si>
  <si>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</si>
  <si>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</si>
  <si>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</si>
  <si>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</si>
  <si>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</si>
  <si>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</si>
  <si>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</si>
  <si>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</si>
  <si>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</si>
  <si>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</si>
  <si>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</si>
  <si>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</si>
  <si>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</si>
  <si>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</si>
  <si>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</si>
  <si>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</si>
  <si>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</si>
  <si>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</si>
  <si>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</si>
  <si>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</si>
  <si>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</si>
  <si>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</si>
  <si>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</si>
  <si>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</si>
  <si>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</si>
  <si>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</si>
  <si>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</si>
  <si>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</si>
  <si>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</si>
  <si>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</si>
  <si>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</si>
  <si>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</si>
  <si>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</si>
  <si>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</si>
  <si>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</si>
  <si>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</si>
  <si>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</si>
  <si>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</si>
  <si>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</si>
  <si>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</si>
  <si>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</si>
  <si>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</si>
  <si>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</si>
  <si>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</si>
  <si>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</si>
  <si>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</si>
  <si>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</si>
  <si>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</si>
  <si>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</si>
  <si>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</si>
  <si>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</si>
  <si>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</si>
  <si>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</si>
  <si>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</si>
  <si>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</si>
  <si>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</si>
  <si>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</si>
  <si>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</si>
  <si>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</si>
  <si>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</si>
  <si>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</si>
  <si>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</si>
  <si>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</si>
  <si>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</si>
  <si>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</si>
  <si>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</si>
  <si>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</si>
  <si>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</si>
  <si>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</si>
  <si>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</si>
  <si>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</si>
  <si>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</si>
  <si>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</si>
  <si>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</si>
  <si>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</si>
  <si>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</si>
  <si>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</si>
  <si>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</si>
  <si>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</si>
  <si>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</si>
  <si>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</si>
  <si>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</si>
  <si>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</si>
  <si>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</si>
  <si>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</si>
  <si>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</si>
  <si>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</si>
  <si>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</si>
  <si>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</si>
  <si>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</si>
  <si>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</si>
  <si>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</si>
  <si>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</si>
  <si>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</si>
  <si>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</si>
  <si>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</si>
  <si>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</si>
  <si>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</si>
  <si>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</si>
  <si>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</si>
  <si>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</si>
  <si>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</si>
  <si>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</si>
  <si>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</si>
  <si>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</si>
  <si>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</si>
  <si>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</si>
  <si>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</si>
  <si>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</si>
  <si>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</si>
  <si>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</si>
  <si>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</si>
  <si>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</si>
  <si>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</si>
  <si>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</si>
  <si>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</si>
  <si>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</si>
  <si>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</si>
  <si>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</si>
  <si>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</si>
  <si>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</si>
  <si>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</si>
  <si>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</si>
  <si>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</si>
  <si>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</si>
  <si>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</si>
  <si>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</si>
  <si>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</si>
  <si>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</si>
  <si>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</si>
  <si>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</si>
  <si>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</si>
  <si>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</si>
  <si>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</si>
  <si>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</si>
  <si>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</si>
  <si>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</si>
  <si>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</si>
  <si>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</si>
  <si>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</si>
  <si>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</si>
  <si>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</si>
  <si>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</si>
  <si>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</si>
  <si>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</si>
  <si>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</si>
  <si>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</si>
  <si>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</si>
  <si>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</si>
  <si>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</si>
  <si>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</si>
  <si>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</si>
  <si>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</si>
  <si>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</si>
  <si>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</si>
  <si>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</si>
  <si>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</si>
  <si>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</si>
  <si>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</si>
  <si>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</si>
  <si>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</si>
  <si>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</si>
  <si>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</si>
  <si>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</si>
  <si>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</si>
  <si>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</si>
  <si>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</si>
  <si>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</si>
  <si>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</si>
  <si>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</si>
  <si>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</si>
  <si>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</si>
  <si>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</si>
  <si>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</si>
  <si>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</si>
  <si>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</si>
  <si>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</si>
  <si>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</si>
  <si>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</si>
  <si>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</si>
  <si>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</si>
  <si>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</si>
  <si>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</si>
  <si>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</si>
  <si>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</si>
  <si>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</si>
  <si>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</si>
  <si>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</si>
  <si>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</si>
  <si>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</si>
  <si>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</si>
  <si>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</si>
  <si>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</si>
  <si>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</si>
  <si>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</si>
  <si>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</si>
  <si>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</si>
  <si>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</si>
  <si>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</si>
  <si>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</si>
  <si>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</si>
  <si>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</si>
  <si>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</si>
  <si>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</si>
  <si>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</si>
  <si>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</si>
  <si>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</si>
  <si>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</si>
  <si>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</si>
  <si>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</si>
  <si>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</si>
  <si>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</si>
  <si>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</si>
  <si>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</si>
  <si>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</si>
  <si>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</si>
  <si>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</si>
  <si>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</si>
  <si>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</si>
  <si>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</si>
  <si>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</si>
  <si>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</si>
  <si>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</si>
  <si>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</si>
  <si>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</si>
  <si>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</si>
  <si>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</si>
  <si>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</si>
  <si>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</si>
  <si>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</si>
  <si>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</si>
  <si>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</si>
  <si>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</si>
  <si>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</si>
  <si>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</si>
  <si>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</si>
  <si>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</si>
  <si>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</si>
  <si>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</si>
  <si>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</si>
  <si>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</si>
  <si>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</si>
  <si>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</si>
  <si>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</si>
  <si>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</si>
  <si>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</si>
  <si>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</si>
  <si>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</si>
  <si>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</si>
  <si>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</si>
  <si>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</si>
  <si>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</si>
  <si>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</si>
  <si>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</si>
  <si>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</si>
  <si>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</si>
  <si>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</si>
  <si>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</si>
  <si>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</si>
  <si>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</si>
  <si>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</si>
  <si>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</si>
  <si>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</si>
  <si>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</si>
  <si>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</si>
  <si>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</si>
  <si>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</si>
  <si>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</si>
  <si>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</si>
  <si>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</si>
  <si>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</si>
  <si>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</si>
  <si>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</si>
  <si>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</si>
  <si>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</si>
  <si>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</si>
  <si>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</si>
  <si>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</si>
  <si>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</si>
  <si>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</si>
  <si>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</si>
  <si>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</si>
  <si>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</si>
  <si>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</si>
  <si>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</si>
  <si>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</si>
  <si>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</si>
  <si>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</si>
  <si>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</si>
  <si>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</si>
  <si>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</si>
  <si>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</si>
  <si>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</si>
  <si>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</si>
  <si>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</si>
  <si>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</si>
  <si>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</si>
  <si>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</si>
  <si>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</si>
  <si>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</si>
  <si>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</si>
  <si>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</si>
  <si>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</si>
  <si>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</si>
  <si>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</si>
  <si>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</si>
  <si>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</si>
  <si>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</si>
  <si>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</si>
  <si>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</si>
  <si>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</si>
  <si>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</si>
  <si>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</si>
  <si>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</si>
  <si>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</si>
  <si>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</si>
  <si>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</si>
  <si>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</si>
  <si>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</si>
  <si>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</si>
  <si>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</si>
  <si>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</si>
  <si>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</si>
  <si>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</si>
  <si>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</si>
  <si>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</si>
  <si>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</si>
  <si>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</si>
  <si>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</si>
  <si>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</si>
  <si>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</si>
  <si>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</si>
  <si>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</si>
  <si>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</si>
  <si>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</si>
  <si>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</si>
  <si>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</si>
  <si>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</si>
  <si>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</si>
  <si>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</si>
  <si>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</si>
  <si>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</si>
  <si>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</si>
  <si>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</si>
  <si>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</si>
  <si>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</si>
  <si>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</si>
  <si>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</si>
  <si>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</si>
  <si>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</si>
  <si>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</si>
  <si>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</si>
  <si>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</si>
  <si>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</si>
  <si>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</si>
  <si>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</si>
  <si>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</si>
  <si>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</si>
  <si>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</si>
  <si>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</si>
  <si>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</si>
  <si>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</si>
  <si>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</si>
  <si>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</si>
  <si>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</si>
  <si>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</si>
  <si>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</si>
  <si>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</si>
  <si>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</si>
  <si>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</si>
  <si>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</si>
  <si>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</si>
  <si>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</si>
  <si>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</si>
  <si>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</si>
  <si>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</si>
  <si>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</si>
  <si>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</si>
  <si>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</si>
  <si>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</si>
  <si>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</si>
  <si>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</si>
  <si>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</si>
  <si>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</si>
  <si>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</si>
  <si>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</si>
  <si>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</si>
  <si>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</si>
  <si>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</si>
  <si>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</si>
  <si>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</si>
  <si>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</si>
  <si>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</si>
  <si>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</si>
  <si>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</si>
  <si>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</si>
  <si>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</si>
  <si>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</si>
  <si>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</si>
  <si>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</si>
  <si>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</si>
  <si>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</si>
  <si>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</si>
  <si>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</si>
  <si>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</si>
  <si>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</si>
  <si>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</si>
  <si>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</si>
  <si>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</si>
  <si>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</si>
  <si>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</si>
  <si>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</si>
  <si>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</si>
  <si>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</si>
  <si>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</si>
  <si>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</si>
  <si>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</si>
  <si>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</si>
  <si>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</si>
  <si>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</si>
  <si>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</si>
  <si>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</si>
  <si>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</si>
  <si>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</si>
  <si>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</si>
  <si>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</si>
  <si>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</si>
  <si>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</si>
  <si>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</si>
  <si>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</si>
  <si>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</si>
  <si>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</si>
  <si>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</si>
  <si>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</si>
  <si>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</si>
  <si>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</si>
  <si>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</si>
  <si>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</si>
  <si>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</si>
  <si>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</si>
  <si>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</si>
  <si>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</si>
  <si>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</si>
  <si>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</si>
  <si>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</si>
  <si>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</si>
  <si>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</si>
  <si>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</si>
  <si>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</si>
  <si>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</si>
  <si>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</si>
  <si>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</si>
  <si>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</si>
  <si>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</si>
  <si>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</si>
  <si>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</si>
  <si>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</si>
  <si>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</si>
  <si>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</si>
  <si>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</si>
  <si>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</si>
  <si>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</si>
  <si>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</si>
  <si>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</si>
  <si>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</si>
  <si>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</si>
  <si>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</si>
  <si>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</si>
  <si>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</si>
  <si>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</si>
  <si>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</si>
  <si>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</si>
  <si>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</si>
  <si>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</si>
  <si>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</si>
  <si>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</si>
  <si>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</si>
  <si>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</si>
  <si>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</si>
  <si>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</si>
  <si>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</si>
  <si>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</si>
  <si>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</si>
  <si>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</si>
  <si>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</si>
  <si>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</si>
  <si>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</si>
  <si>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</si>
  <si>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</si>
  <si>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</si>
  <si>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</si>
  <si>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</si>
  <si>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</si>
  <si>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</si>
  <si>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</si>
  <si>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</si>
  <si>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</si>
  <si>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</si>
  <si>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</si>
  <si>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</si>
  <si>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</si>
  <si>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</si>
  <si>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</si>
  <si>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</si>
  <si>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</si>
  <si>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</si>
  <si>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</si>
  <si>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</si>
  <si>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</si>
  <si>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</si>
  <si>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</si>
  <si>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</si>
  <si>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</si>
  <si>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</si>
  <si>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</si>
  <si>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</si>
  <si>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</si>
  <si>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</si>
  <si>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</si>
  <si>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</si>
  <si>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</si>
  <si>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</si>
  <si>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</si>
  <si>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</si>
  <si>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</si>
  <si>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</si>
  <si>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</si>
  <si>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</si>
  <si>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</si>
  <si>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</si>
  <si>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</si>
  <si>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</si>
  <si>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</si>
  <si>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</si>
  <si>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</si>
  <si>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</si>
  <si>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</si>
  <si>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</si>
  <si>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</si>
  <si>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</si>
  <si>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</si>
  <si>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</si>
  <si>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</si>
  <si>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</si>
  <si>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</si>
  <si>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</si>
  <si>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</si>
  <si>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</si>
  <si>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</si>
  <si>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</si>
  <si>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</si>
  <si>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</si>
  <si>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</si>
  <si>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</si>
  <si>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</si>
  <si>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</si>
  <si>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</si>
  <si>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</si>
  <si>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</si>
  <si>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</si>
  <si>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</si>
  <si>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</si>
  <si>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</si>
  <si>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</si>
  <si>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</si>
  <si>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</si>
  <si>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</si>
  <si>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</si>
  <si>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</si>
  <si>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</si>
  <si>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</si>
  <si>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</si>
  <si>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</si>
  <si>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</si>
  <si>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</si>
  <si>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</si>
  <si>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</si>
  <si>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</si>
  <si>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</si>
  <si>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</si>
  <si>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</si>
  <si>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</si>
  <si>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</si>
  <si>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</si>
  <si>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</si>
  <si>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</si>
  <si>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</si>
  <si>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</si>
  <si>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</si>
  <si>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</si>
  <si>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</si>
  <si>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</si>
  <si>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</si>
  <si>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</si>
  <si>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</si>
  <si>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</si>
  <si>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</si>
  <si>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</si>
  <si>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</si>
  <si>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</si>
  <si>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</si>
  <si>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</si>
  <si>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</si>
  <si>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</si>
  <si>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</si>
  <si>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</si>
  <si>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</si>
  <si>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</si>
  <si>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</si>
  <si>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</si>
  <si>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</si>
  <si>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</si>
  <si>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</si>
  <si>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</si>
  <si>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</si>
  <si>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</si>
  <si>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</si>
  <si>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</si>
  <si>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</si>
  <si>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</si>
  <si>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</si>
  <si>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</si>
  <si>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</si>
  <si>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</si>
  <si>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</si>
  <si>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</si>
  <si>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</si>
  <si>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</si>
  <si>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</si>
  <si>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</si>
  <si>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</si>
  <si>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</si>
  <si>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</si>
  <si>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</si>
  <si>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</si>
  <si>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</si>
  <si>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</si>
  <si>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</si>
  <si>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</si>
  <si>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</si>
  <si>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</si>
  <si>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</si>
  <si>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</si>
  <si>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</si>
  <si>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</si>
  <si>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</si>
  <si>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</si>
  <si>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</si>
  <si>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</si>
  <si>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</si>
  <si>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</si>
  <si>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</si>
  <si>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</si>
  <si>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</si>
  <si>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</si>
  <si>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</si>
  <si>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</si>
  <si>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</si>
  <si>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</si>
  <si>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</si>
  <si>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</si>
  <si>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</si>
  <si>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</si>
  <si>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</si>
  <si>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</si>
  <si>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</si>
  <si>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</si>
  <si>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</si>
  <si>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</si>
  <si>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</si>
  <si>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</si>
  <si>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</si>
  <si>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</si>
  <si>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</si>
  <si>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</si>
  <si>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</si>
  <si>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</si>
  <si>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</si>
  <si>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</si>
  <si>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</si>
  <si>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</si>
  <si>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</si>
  <si>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</si>
  <si>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</si>
  <si>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</si>
  <si>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</si>
  <si>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</si>
  <si>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</si>
  <si>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</si>
  <si>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</si>
  <si>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</si>
  <si>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</si>
  <si>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</si>
  <si>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</si>
  <si>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</si>
  <si>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</si>
  <si>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</si>
  <si>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</si>
  <si>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</si>
  <si>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</si>
  <si>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</si>
  <si>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</si>
  <si>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</si>
  <si>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</si>
  <si>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</si>
  <si>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</si>
  <si>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</si>
  <si>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</si>
  <si>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</si>
  <si>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</si>
  <si>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</si>
  <si>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</si>
  <si>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</si>
  <si>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</si>
  <si>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</si>
  <si>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</si>
  <si>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</si>
  <si>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</si>
  <si>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</si>
  <si>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</si>
  <si>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</si>
  <si>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</si>
  <si>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</si>
  <si>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</si>
  <si>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</si>
  <si>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</si>
  <si>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</si>
  <si>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</si>
  <si>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</si>
  <si>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</si>
  <si>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</si>
  <si>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</si>
  <si>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</si>
  <si>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</si>
  <si>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</si>
  <si>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</si>
  <si>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</si>
  <si>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</si>
  <si>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</si>
  <si>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</si>
  <si>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</si>
  <si>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</si>
  <si>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</si>
  <si>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</si>
  <si>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</si>
  <si>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</si>
  <si>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</si>
  <si>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</si>
  <si>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</si>
  <si>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</si>
  <si>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</si>
  <si>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</si>
  <si>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</si>
  <si>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</si>
  <si>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</si>
  <si>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</si>
  <si>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</si>
  <si>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</si>
  <si>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</si>
  <si>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</si>
  <si>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</si>
  <si>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</si>
  <si>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</si>
  <si>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</si>
  <si>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</si>
  <si>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</si>
  <si>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</si>
  <si>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</si>
  <si>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</si>
  <si>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</si>
  <si>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</si>
  <si>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</si>
  <si>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</si>
  <si>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</si>
  <si>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</si>
  <si>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</si>
  <si>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</si>
  <si>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</si>
  <si>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</si>
  <si>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</si>
  <si>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</si>
  <si>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</si>
  <si>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</si>
  <si>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</si>
  <si>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</si>
  <si>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</si>
  <si>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</si>
  <si>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</si>
  <si>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</si>
  <si>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</si>
  <si>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</si>
  <si>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</si>
  <si>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</si>
  <si>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</si>
  <si>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</si>
  <si>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</si>
  <si>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</si>
  <si>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</si>
  <si>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</si>
  <si>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</si>
  <si>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</si>
  <si>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</si>
  <si>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</si>
  <si>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</si>
  <si>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</si>
  <si>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</si>
  <si>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</si>
  <si>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</si>
  <si>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</si>
  <si>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</si>
  <si>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</si>
  <si>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</si>
  <si>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</si>
  <si>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</si>
  <si>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</si>
  <si>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</si>
  <si>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</si>
  <si>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</si>
  <si>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</si>
  <si>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</si>
  <si>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</si>
  <si>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</si>
  <si>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</si>
  <si>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</si>
  <si>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</si>
  <si>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</si>
  <si>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</si>
  <si>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</si>
  <si>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</si>
  <si>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</si>
  <si>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</si>
  <si>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</si>
  <si>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</si>
  <si>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</si>
  <si>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</si>
  <si>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</si>
  <si>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</si>
  <si>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</si>
  <si>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</si>
  <si>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</si>
  <si>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</si>
  <si>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</si>
  <si>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</si>
  <si>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</si>
  <si>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</si>
  <si>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</si>
  <si>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</si>
  <si>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</si>
  <si>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</si>
  <si>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</si>
  <si>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</si>
  <si>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</si>
  <si>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</si>
  <si>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</si>
  <si>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</si>
  <si>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</si>
  <si>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</si>
  <si>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</si>
  <si>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</si>
  <si>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</si>
  <si>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</si>
  <si>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</si>
  <si>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</si>
  <si>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</si>
  <si>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</si>
  <si>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</si>
  <si>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</si>
  <si>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</si>
  <si>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</si>
  <si>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</si>
  <si>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</si>
  <si>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</si>
  <si>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</si>
  <si>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</si>
  <si>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</si>
  <si>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</si>
  <si>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</si>
  <si>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</si>
  <si>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</si>
  <si>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</si>
  <si>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</si>
  <si>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</si>
  <si>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</si>
  <si>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</si>
  <si>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</si>
  <si>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</si>
  <si>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</si>
  <si>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</si>
  <si>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</si>
  <si>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</si>
  <si>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</si>
  <si>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</si>
  <si>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</si>
  <si>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</si>
  <si>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</si>
  <si>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</si>
  <si>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</si>
  <si>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</si>
  <si>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</si>
  <si>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</si>
  <si>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</si>
  <si>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</si>
  <si>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</si>
  <si>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</si>
  <si>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</si>
  <si>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</si>
  <si>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</si>
  <si>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</si>
  <si>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</si>
  <si>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</si>
  <si>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</si>
  <si>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</si>
  <si>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</si>
  <si>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</si>
  <si>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</si>
  <si>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</si>
  <si>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</si>
  <si>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</si>
  <si>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</si>
  <si>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</si>
  <si>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</si>
  <si>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</si>
  <si>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</si>
  <si>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</si>
  <si>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</si>
  <si>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</si>
  <si>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</si>
  <si>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</si>
  <si>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</si>
  <si>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</si>
  <si>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</si>
  <si>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</si>
  <si>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</si>
  <si>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</si>
  <si>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</si>
  <si>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</si>
  <si>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</si>
  <si>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</si>
  <si>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</si>
  <si>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</si>
  <si>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</si>
  <si>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</si>
  <si>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</si>
  <si>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</si>
  <si>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</si>
  <si>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</si>
  <si>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</si>
  <si>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</si>
  <si>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</si>
  <si>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</si>
  <si>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</si>
  <si>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</si>
  <si>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</si>
  <si>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</si>
  <si>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</si>
  <si>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</si>
  <si>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</si>
  <si>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</si>
  <si>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</si>
  <si>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</si>
  <si>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</si>
  <si>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</si>
  <si>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</si>
  <si>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</si>
  <si>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</si>
  <si>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</si>
  <si>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</si>
  <si>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</si>
  <si>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</si>
  <si>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</si>
  <si>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</si>
  <si>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</si>
  <si>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</si>
  <si>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</si>
  <si>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</si>
  <si>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</si>
  <si>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</si>
  <si>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</si>
  <si>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</si>
  <si>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</si>
  <si>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</si>
  <si>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</si>
  <si>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</si>
  <si>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</si>
  <si>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</si>
  <si>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</si>
  <si>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</si>
  <si>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</si>
  <si>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</si>
  <si>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</si>
  <si>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</si>
  <si>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</si>
  <si>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</si>
  <si>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</si>
  <si>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</si>
  <si>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</si>
  <si>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</si>
  <si>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</si>
  <si>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</si>
  <si>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</si>
  <si>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</si>
  <si>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</si>
  <si>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</si>
  <si>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</si>
  <si>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</si>
  <si>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</si>
  <si>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</si>
  <si>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</si>
  <si>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</si>
  <si>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</si>
  <si>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</si>
  <si>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</si>
  <si>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</si>
  <si>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</si>
  <si>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</si>
  <si>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</si>
  <si>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</si>
  <si>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</si>
  <si>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</si>
  <si>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</si>
  <si>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</si>
  <si>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</si>
  <si>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</si>
  <si>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</si>
  <si>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</si>
  <si>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</si>
  <si>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</si>
  <si>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</si>
  <si>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</si>
  <si>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</si>
  <si>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</si>
  <si>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</si>
  <si>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</si>
  <si>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</si>
  <si>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</si>
  <si>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</si>
  <si>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</si>
  <si>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</si>
  <si>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</si>
  <si>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</si>
  <si>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</si>
  <si>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</si>
  <si>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</si>
  <si>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</si>
  <si>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</si>
  <si>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</si>
  <si>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</si>
  <si>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</si>
  <si>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</si>
  <si>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</si>
  <si>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</si>
  <si>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</si>
  <si>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</si>
  <si>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</si>
  <si>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</si>
  <si>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</si>
  <si>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</si>
  <si>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</si>
  <si>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</si>
  <si>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</si>
  <si>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</si>
  <si>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</si>
  <si>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</si>
  <si>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</si>
  <si>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</si>
  <si>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</si>
  <si>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</si>
  <si>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</si>
  <si>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</si>
  <si>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</si>
  <si>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</si>
  <si>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</si>
  <si>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</si>
  <si>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</si>
  <si>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</si>
  <si>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</si>
  <si>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</si>
  <si>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</si>
  <si>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</si>
  <si>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</si>
  <si>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</si>
  <si>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</si>
  <si>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</si>
  <si>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</si>
  <si>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</si>
  <si>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</si>
  <si>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</si>
  <si>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</si>
  <si>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</si>
  <si>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</si>
  <si>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</si>
  <si>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</si>
  <si>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</si>
  <si>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</si>
  <si>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</si>
  <si>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</si>
  <si>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</si>
  <si>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</si>
  <si>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</si>
  <si>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</si>
  <si>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</si>
  <si>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</si>
  <si>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</si>
  <si>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</si>
  <si>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</si>
  <si>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</si>
  <si>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</si>
  <si>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</si>
  <si>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</si>
  <si>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</si>
  <si>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</si>
  <si>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</si>
  <si>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</si>
  <si>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</si>
  <si>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</si>
  <si>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</si>
  <si>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</si>
  <si>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</si>
  <si>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</si>
  <si>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</si>
  <si>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</si>
  <si>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</si>
  <si>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</si>
  <si>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</si>
  <si>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</si>
  <si>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</si>
  <si>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</si>
  <si>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</si>
  <si>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</si>
  <si>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</si>
  <si>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</si>
  <si>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</si>
  <si>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</si>
  <si>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</si>
  <si>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</si>
  <si>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</si>
  <si>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</si>
  <si>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</si>
  <si>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</si>
  <si>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</si>
  <si>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</si>
  <si>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</si>
  <si>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</si>
  <si>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</si>
  <si>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</si>
  <si>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</si>
  <si>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</si>
  <si>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</si>
  <si>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</si>
  <si>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</si>
  <si>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</si>
  <si>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</si>
  <si>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</si>
  <si>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</si>
  <si>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</si>
  <si>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</si>
  <si>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</si>
  <si>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</si>
  <si>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</si>
  <si>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</si>
  <si>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</si>
  <si>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</si>
  <si>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</si>
  <si>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</si>
  <si>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</si>
  <si>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</si>
  <si>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</si>
  <si>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</si>
  <si>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</si>
  <si>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</si>
  <si>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</si>
  <si>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</si>
  <si>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</si>
  <si>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</si>
  <si>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</si>
  <si>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</si>
  <si>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</si>
  <si>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</si>
  <si>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</si>
  <si>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</si>
  <si>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</si>
  <si>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</si>
  <si>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</si>
  <si>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</si>
  <si>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</si>
  <si>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</si>
  <si>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</si>
  <si>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</si>
  <si>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</si>
  <si>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</si>
  <si>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</si>
  <si>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</si>
  <si>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</si>
  <si>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</si>
  <si>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</si>
  <si>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</si>
  <si>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</si>
  <si>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</si>
  <si>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</si>
  <si>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</si>
  <si>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</si>
  <si>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</si>
  <si>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</si>
  <si>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</si>
  <si>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</si>
  <si>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</si>
  <si>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</si>
  <si>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</si>
  <si>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</si>
  <si>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</si>
  <si>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</si>
  <si>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</si>
  <si>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</si>
  <si>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</si>
  <si>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</si>
  <si>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</si>
  <si>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</si>
  <si>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</si>
  <si>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</si>
  <si>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</si>
  <si>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</si>
  <si>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</si>
  <si>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</si>
  <si>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</si>
  <si>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</si>
  <si>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</si>
  <si>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</si>
  <si>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</si>
  <si>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</si>
  <si>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</si>
  <si>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</si>
  <si>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</si>
  <si>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</si>
  <si>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</si>
  <si>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</si>
  <si>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</si>
  <si>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</si>
  <si>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</si>
  <si>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</si>
  <si>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</si>
  <si>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</si>
  <si>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</si>
  <si>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</si>
  <si>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</si>
  <si>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</si>
  <si>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</si>
  <si>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</si>
  <si>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</si>
  <si>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</si>
  <si>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</si>
  <si>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</si>
  <si>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</si>
  <si>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</si>
  <si>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</si>
  <si>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</si>
  <si>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</si>
  <si>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</si>
  <si>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</si>
  <si>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</si>
  <si>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</si>
  <si>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</si>
  <si>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</si>
  <si>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</si>
  <si>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</si>
  <si>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</si>
  <si>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</si>
  <si>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</si>
  <si>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</si>
  <si>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</si>
  <si>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</si>
  <si>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</si>
  <si>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</si>
  <si>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</si>
  <si>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</si>
  <si>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</si>
  <si>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</si>
  <si>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</si>
  <si>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</si>
  <si>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</si>
  <si>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</si>
  <si>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</si>
  <si>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</si>
  <si>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</si>
  <si>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</si>
  <si>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</si>
  <si>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</si>
  <si>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</si>
  <si>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</si>
  <si>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</si>
  <si>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</si>
  <si>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</si>
  <si>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</si>
  <si>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</si>
  <si>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</si>
  <si>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</si>
  <si>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</si>
  <si>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</si>
  <si>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</si>
  <si>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</si>
  <si>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</si>
  <si>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</si>
  <si>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</si>
  <si>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</si>
  <si>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</si>
  <si>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</si>
  <si>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</si>
  <si>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</si>
  <si>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</si>
  <si>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</si>
  <si>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</si>
  <si>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</si>
  <si>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</si>
  <si>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</si>
  <si>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</si>
  <si>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</si>
  <si>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</si>
  <si>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</si>
  <si>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</si>
  <si>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</si>
  <si>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</si>
  <si>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</si>
  <si>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</si>
  <si>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</si>
  <si>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</si>
  <si>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</si>
  <si>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</si>
  <si>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</si>
  <si>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</si>
  <si>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</si>
  <si>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</si>
  <si>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</si>
  <si>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</si>
  <si>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</si>
  <si>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</si>
  <si>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</si>
  <si>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</si>
  <si>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</si>
  <si>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</si>
  <si>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</si>
  <si>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</si>
  <si>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</si>
  <si>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</si>
  <si>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</si>
  <si>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</si>
  <si>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</si>
  <si>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</si>
  <si>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</si>
  <si>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</si>
  <si>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</si>
  <si>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</si>
  <si>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</si>
  <si>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</si>
  <si>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</si>
  <si>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</si>
  <si>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</si>
  <si>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</si>
  <si>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</si>
  <si>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</si>
  <si>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</si>
  <si>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</si>
  <si>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</si>
  <si>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</si>
  <si>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</si>
  <si>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</si>
  <si>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</si>
  <si>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</si>
  <si>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</si>
  <si>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</si>
  <si>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</si>
  <si>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</si>
  <si>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</si>
  <si>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</si>
  <si>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</si>
  <si>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</si>
  <si>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</si>
  <si>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</si>
  <si>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</si>
  <si>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</si>
  <si>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</si>
  <si>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</si>
  <si>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</si>
  <si>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</si>
  <si>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</si>
  <si>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</si>
  <si>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</si>
  <si>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</si>
  <si>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</si>
  <si>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</si>
  <si>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</si>
  <si>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</si>
  <si>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</si>
  <si>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</si>
  <si>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</si>
  <si>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</si>
  <si>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</si>
  <si>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</si>
  <si>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</si>
  <si>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</si>
  <si>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</si>
  <si>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</si>
  <si>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</si>
  <si>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</si>
  <si>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</si>
  <si>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</si>
  <si>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</si>
  <si>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</si>
  <si>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</si>
  <si>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</si>
  <si>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</si>
  <si>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</si>
  <si>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</si>
  <si>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</si>
  <si>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</si>
  <si>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</si>
  <si>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</si>
  <si>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</si>
  <si>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</si>
  <si>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</si>
  <si>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</si>
  <si>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</si>
  <si>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</si>
  <si>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</si>
  <si>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</si>
  <si>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</si>
  <si>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</si>
  <si>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</si>
  <si>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</si>
  <si>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</si>
  <si>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</si>
  <si>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</si>
  <si>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</si>
  <si>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</si>
  <si>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</si>
  <si>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</si>
  <si>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</si>
  <si>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</si>
  <si>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</si>
  <si>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</si>
  <si>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</si>
  <si>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</si>
  <si>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</si>
  <si>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</si>
  <si>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</si>
  <si>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</si>
  <si>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</si>
  <si>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</si>
  <si>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</si>
  <si>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</si>
  <si>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</si>
  <si>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</si>
  <si>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</si>
  <si>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</si>
  <si>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</si>
  <si>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</si>
  <si>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</si>
  <si>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</si>
  <si>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</si>
  <si>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</si>
  <si>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</si>
  <si>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</si>
  <si>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</si>
  <si>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</si>
  <si>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</si>
  <si>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</si>
  <si>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</si>
  <si>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</si>
  <si>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</si>
  <si>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</si>
  <si>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</si>
  <si>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</si>
  <si>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</si>
  <si>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</si>
  <si>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</si>
  <si>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</si>
  <si>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</si>
  <si>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</si>
  <si>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</si>
  <si>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</si>
  <si>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</si>
  <si>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</si>
  <si>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</si>
  <si>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</si>
  <si>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</si>
  <si>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</si>
  <si>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</si>
  <si>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</si>
  <si>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</si>
  <si>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</si>
  <si>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</si>
  <si>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</si>
  <si>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</si>
  <si>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</si>
  <si>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</si>
  <si>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</si>
  <si>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</si>
  <si>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</si>
  <si>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</si>
  <si>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</si>
  <si>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</si>
  <si>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</si>
  <si>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</si>
  <si>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</si>
  <si>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</si>
  <si>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</si>
  <si>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</si>
  <si>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</si>
  <si>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</si>
  <si>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</si>
  <si>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</si>
  <si>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</si>
  <si>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</si>
  <si>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</si>
  <si>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</si>
  <si>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</si>
  <si>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</si>
  <si>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</si>
  <si>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</si>
  <si>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</si>
  <si>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</si>
  <si>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</si>
  <si>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</si>
  <si>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</si>
  <si>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</si>
  <si>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</si>
  <si>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</si>
  <si>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</si>
  <si>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</si>
  <si>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</si>
  <si>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</si>
  <si>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</si>
  <si>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</si>
  <si>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</si>
  <si>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</si>
  <si>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</si>
  <si>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</si>
  <si>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</si>
  <si>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</si>
  <si>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</si>
  <si>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</si>
  <si>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</si>
  <si>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</si>
  <si>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</si>
  <si>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</si>
  <si>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</si>
  <si>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</si>
  <si>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</si>
  <si>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</si>
  <si>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</si>
  <si>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</si>
  <si>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</si>
  <si>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</si>
  <si>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</si>
  <si>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</si>
  <si>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</si>
  <si>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</si>
  <si>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</si>
  <si>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</si>
  <si>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</si>
  <si>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</si>
  <si>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</si>
  <si>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</si>
  <si>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</si>
  <si>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</si>
  <si>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</si>
  <si>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</si>
  <si>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</si>
  <si>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</si>
  <si>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</si>
  <si>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</si>
  <si>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</si>
  <si>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</si>
  <si>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</si>
  <si>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</si>
  <si>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</si>
  <si>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</si>
  <si>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</si>
  <si>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</si>
  <si>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</si>
  <si>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</si>
  <si>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</si>
  <si>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</si>
  <si>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</si>
  <si>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</si>
  <si>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</si>
  <si>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</si>
  <si>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</si>
  <si>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</si>
  <si>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</si>
  <si>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</si>
  <si>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</si>
  <si>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</si>
  <si>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</si>
  <si>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</si>
  <si>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</si>
  <si>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</si>
  <si>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</si>
  <si>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</si>
  <si>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</si>
  <si>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</si>
  <si>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</si>
  <si>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</si>
  <si>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</si>
  <si>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</si>
  <si>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</si>
  <si>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</si>
  <si>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</si>
  <si>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</si>
  <si>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</si>
  <si>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</si>
  <si>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</si>
  <si>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</si>
  <si>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</si>
  <si>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</si>
  <si>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</si>
  <si>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</si>
  <si>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</si>
  <si>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</si>
  <si>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</si>
  <si>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</si>
  <si>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</si>
  <si>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</si>
  <si>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</si>
  <si>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</si>
  <si>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</si>
  <si>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</si>
  <si>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</si>
  <si>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</si>
  <si>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</si>
  <si>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</si>
  <si>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</si>
  <si>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</si>
  <si>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</si>
  <si>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</si>
  <si>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</si>
  <si>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</si>
  <si>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</si>
  <si>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</si>
  <si>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</si>
  <si>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</si>
  <si>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</si>
  <si>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</si>
  <si>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</si>
  <si>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</si>
  <si>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</si>
  <si>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</si>
  <si>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</si>
  <si>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</si>
  <si>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</si>
  <si>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</si>
  <si>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</si>
  <si>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</si>
  <si>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</si>
  <si>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</si>
  <si>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</si>
  <si>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</si>
  <si>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</si>
  <si>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</si>
  <si>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</si>
  <si>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</si>
  <si>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</si>
  <si>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</si>
  <si>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</si>
  <si>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</si>
  <si>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</si>
  <si>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</si>
  <si>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</si>
  <si>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</si>
  <si>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</si>
  <si>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</si>
  <si>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</si>
  <si>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</si>
  <si>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</si>
  <si>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</si>
  <si>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</si>
  <si>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</si>
  <si>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</si>
  <si>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</si>
  <si>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</si>
  <si>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</si>
  <si>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</si>
  <si>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</si>
  <si>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</si>
  <si>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</si>
  <si>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</si>
  <si>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</si>
  <si>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</si>
  <si>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</si>
  <si>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</si>
  <si>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</si>
  <si>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</si>
  <si>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</si>
  <si>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</si>
  <si>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</si>
  <si>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</si>
  <si>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</si>
  <si>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</si>
  <si>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</si>
  <si>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</si>
  <si>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</si>
  <si>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</si>
  <si>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</si>
  <si>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</si>
  <si>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</si>
  <si>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</si>
  <si>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</si>
  <si>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</si>
  <si>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</si>
  <si>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</si>
  <si>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</si>
  <si>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</si>
  <si>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</si>
  <si>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</si>
  <si>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</si>
  <si>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</si>
  <si>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</si>
  <si>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</si>
  <si>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</si>
  <si>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</si>
  <si>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</si>
  <si>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</si>
  <si>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</si>
  <si>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</si>
  <si>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</si>
  <si>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</si>
  <si>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</si>
  <si>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</si>
  <si>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</si>
  <si>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</si>
  <si>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</si>
  <si>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</si>
  <si>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</si>
  <si>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</si>
  <si>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</si>
  <si>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</si>
  <si>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</si>
  <si>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</si>
  <si>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</si>
  <si>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</si>
  <si>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</si>
  <si>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</si>
  <si>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</si>
  <si>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</si>
  <si>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</si>
  <si>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</si>
  <si>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</si>
  <si>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</si>
  <si>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</si>
  <si>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</si>
  <si>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</si>
  <si>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</si>
  <si>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</si>
  <si>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</si>
  <si>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</si>
  <si>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</si>
  <si>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</si>
  <si>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</si>
  <si>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</si>
  <si>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</si>
  <si>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</si>
  <si>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</si>
  <si>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</si>
  <si>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</si>
  <si>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</si>
  <si>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</si>
  <si>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</si>
  <si>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</si>
  <si>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</si>
  <si>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</si>
  <si>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</si>
  <si>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</si>
  <si>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</si>
  <si>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</si>
  <si>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</si>
  <si>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</si>
  <si>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</si>
  <si>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</si>
  <si>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</si>
  <si>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</si>
  <si>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</si>
  <si>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</si>
  <si>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</si>
  <si>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</si>
  <si>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</si>
  <si>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</si>
  <si>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</si>
  <si>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</si>
  <si>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</si>
  <si>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</si>
  <si>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</si>
  <si>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</si>
  <si>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</si>
  <si>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</si>
  <si>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</si>
  <si>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</si>
  <si>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</si>
  <si>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</si>
  <si>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</si>
  <si>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</si>
  <si>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</si>
  <si>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</si>
  <si>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</si>
  <si>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</si>
  <si>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</si>
  <si>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</si>
  <si>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</si>
  <si>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</si>
  <si>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</si>
  <si>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</si>
  <si>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</si>
  <si>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</si>
  <si>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</si>
  <si>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</si>
  <si>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</si>
  <si>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</si>
  <si>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</si>
  <si>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</si>
  <si>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</si>
  <si>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</si>
  <si>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</si>
  <si>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</si>
  <si>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</si>
  <si>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</si>
  <si>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</si>
  <si>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</si>
  <si>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</si>
  <si>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</si>
  <si>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</si>
  <si>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</si>
  <si>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</si>
  <si>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</si>
  <si>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</si>
  <si>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</si>
  <si>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</si>
  <si>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</si>
  <si>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</si>
  <si>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</si>
  <si>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</si>
  <si>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</si>
  <si>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</si>
  <si>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</si>
  <si>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</si>
  <si>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</si>
  <si>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</si>
  <si>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</si>
  <si>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</si>
  <si>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</si>
  <si>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</si>
  <si>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</si>
  <si>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</si>
  <si>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</si>
  <si>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</si>
  <si>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</si>
  <si>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</si>
  <si>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</si>
  <si>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</si>
  <si>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</si>
  <si>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</si>
  <si>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</si>
  <si>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</si>
  <si>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</si>
  <si>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</si>
  <si>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</si>
  <si>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</si>
  <si>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</si>
  <si>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</si>
  <si>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</si>
  <si>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</si>
  <si>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</si>
  <si>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</si>
  <si>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</si>
  <si>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</si>
  <si>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</si>
  <si>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</si>
  <si>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</si>
  <si>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</si>
  <si>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</si>
  <si>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</si>
  <si>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</si>
  <si>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</si>
  <si>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</si>
  <si>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</si>
  <si>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</si>
  <si>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</si>
  <si>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</si>
  <si>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</si>
  <si>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</si>
  <si>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</si>
  <si>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</si>
  <si>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</si>
  <si>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</si>
  <si>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</si>
  <si>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</si>
  <si>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</si>
  <si>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</si>
  <si>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</si>
  <si>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</si>
  <si>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</si>
  <si>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</si>
  <si>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</si>
  <si>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</si>
  <si>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</si>
  <si>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</si>
  <si>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</si>
  <si>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</si>
  <si>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</si>
  <si>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</si>
  <si>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</si>
  <si>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</si>
  <si>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</si>
  <si>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</si>
  <si>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</si>
  <si>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</si>
  <si>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</si>
  <si>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</si>
  <si>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</si>
  <si>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</si>
  <si>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</si>
  <si>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</si>
  <si>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</si>
  <si>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</si>
  <si>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</si>
  <si>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</si>
  <si>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</si>
  <si>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</si>
  <si>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</si>
  <si>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</si>
  <si>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</si>
  <si>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</si>
  <si>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</si>
  <si>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</si>
  <si>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</si>
  <si>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</si>
  <si>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</si>
  <si>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</si>
  <si>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</si>
  <si>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</si>
  <si>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</si>
  <si>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</si>
  <si>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</si>
  <si>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</si>
  <si>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</si>
  <si>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</si>
  <si>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</si>
  <si>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</si>
  <si>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</si>
  <si>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</si>
  <si>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</si>
  <si>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</si>
  <si>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</si>
  <si>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</si>
  <si>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</si>
  <si>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</si>
  <si>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</si>
  <si>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</si>
  <si>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</si>
  <si>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</si>
  <si>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</si>
  <si>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</si>
  <si>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</si>
  <si>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</si>
  <si>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</si>
  <si>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</si>
  <si>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</si>
  <si>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</si>
  <si>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</si>
  <si>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</si>
  <si>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</si>
  <si>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</si>
  <si>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</si>
  <si>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</si>
  <si>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</si>
  <si>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</si>
  <si>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</si>
  <si>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</si>
  <si>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</si>
  <si>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</si>
  <si>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</si>
  <si>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</si>
  <si>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</si>
  <si>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</si>
  <si>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</si>
  <si>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</si>
  <si>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</si>
  <si>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</si>
  <si>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</si>
  <si>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</si>
  <si>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</si>
  <si>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</si>
  <si>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</si>
  <si>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</si>
  <si>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</si>
  <si>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</si>
  <si>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</si>
  <si>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</si>
  <si>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</si>
  <si>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</si>
  <si>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</si>
  <si>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</si>
  <si>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</si>
  <si>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</si>
  <si>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</si>
  <si>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</si>
  <si>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</si>
  <si>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</si>
  <si>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</si>
  <si>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</si>
  <si>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</si>
  <si>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</si>
  <si>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</si>
  <si>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</si>
  <si>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</si>
  <si>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</si>
  <si>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</si>
  <si>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</si>
  <si>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</si>
  <si>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</si>
  <si>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</si>
  <si>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</si>
  <si>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</si>
  <si>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</si>
  <si>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</si>
  <si>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</si>
  <si>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</si>
  <si>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</si>
  <si>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</si>
  <si>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</si>
  <si>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</si>
  <si>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</si>
  <si>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</si>
  <si>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</si>
  <si>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</si>
  <si>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</si>
  <si>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</si>
  <si>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</si>
  <si>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</si>
  <si>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</si>
  <si>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</si>
  <si>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</si>
  <si>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</si>
  <si>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</si>
  <si>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</si>
  <si>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</si>
  <si>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</si>
  <si>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</si>
  <si>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</si>
  <si>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</si>
  <si>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</si>
  <si>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</si>
  <si>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</si>
  <si>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</si>
  <si>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</si>
  <si>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</si>
  <si>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</si>
  <si>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</si>
  <si>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</si>
  <si>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</si>
  <si>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</si>
  <si>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</si>
  <si>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</si>
  <si>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</si>
  <si>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</si>
  <si>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</si>
  <si>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</si>
  <si>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</si>
  <si>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</si>
  <si>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</si>
  <si>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</si>
  <si>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</si>
  <si>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</si>
  <si>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</si>
  <si>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</si>
  <si>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</si>
  <si>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</si>
  <si>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</si>
  <si>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</si>
  <si>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</si>
  <si>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</si>
  <si>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</si>
  <si>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</si>
  <si>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</si>
  <si>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</si>
  <si>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</si>
  <si>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</si>
  <si>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</si>
  <si>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</si>
  <si>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</si>
  <si>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</si>
  <si>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</si>
  <si>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</si>
  <si>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</si>
  <si>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</si>
  <si>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</si>
  <si>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</si>
  <si>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</si>
  <si>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</si>
  <si>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</si>
  <si>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</si>
  <si>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</si>
  <si>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</si>
  <si>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</si>
  <si>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</si>
  <si>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</si>
  <si>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</si>
  <si>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</si>
  <si>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</si>
  <si>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</si>
  <si>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</si>
  <si>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</si>
  <si>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</si>
  <si>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</si>
  <si>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</si>
  <si>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</si>
  <si>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</si>
  <si>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</si>
  <si>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</si>
  <si>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</si>
  <si>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</si>
  <si>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</si>
  <si>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</si>
  <si>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</si>
  <si>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</si>
  <si>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</si>
  <si>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</si>
  <si>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</si>
  <si>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</si>
  <si>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</si>
  <si>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</si>
  <si>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</si>
  <si>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</si>
  <si>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</si>
  <si>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</si>
  <si>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</si>
  <si>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</si>
  <si>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</si>
  <si>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</si>
  <si>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</si>
  <si>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</si>
  <si>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</si>
  <si>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</si>
  <si>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</si>
  <si>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</si>
  <si>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</si>
  <si>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</si>
  <si>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</si>
  <si>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</si>
  <si>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</si>
  <si>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</si>
  <si>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</si>
  <si>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</si>
  <si>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</si>
  <si>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</si>
  <si>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</si>
  <si>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</si>
  <si>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</si>
  <si>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</si>
  <si>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</si>
  <si>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</si>
  <si>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</si>
  <si>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</si>
  <si>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</si>
  <si>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</si>
  <si>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</si>
  <si>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</si>
  <si>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</si>
  <si>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</si>
  <si>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</si>
  <si>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</si>
  <si>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</si>
  <si>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</si>
  <si>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</si>
  <si>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</si>
  <si>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</si>
  <si>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</si>
  <si>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</si>
  <si>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</si>
  <si>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</si>
  <si>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</si>
  <si>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</si>
  <si>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</si>
  <si>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</si>
  <si>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</si>
  <si>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</si>
  <si>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</si>
  <si>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</si>
  <si>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</si>
  <si>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</si>
  <si>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</si>
  <si>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</si>
  <si>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</si>
  <si>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</si>
  <si>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</si>
  <si>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</si>
  <si>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</si>
  <si>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</si>
  <si>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</si>
  <si>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</si>
  <si>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</si>
  <si>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</si>
  <si>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</si>
  <si>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</si>
  <si>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</si>
  <si>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</si>
  <si>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</si>
  <si>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</si>
  <si>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</si>
  <si>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</si>
  <si>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</si>
  <si>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</si>
  <si>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</si>
  <si>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</si>
  <si>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</si>
  <si>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</si>
  <si>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</si>
  <si>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</si>
  <si>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</si>
  <si>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</si>
  <si>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</si>
  <si>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</si>
  <si>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</si>
  <si>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</si>
  <si>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</si>
  <si>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</si>
  <si>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</si>
  <si>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</si>
  <si>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</si>
  <si>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</si>
  <si>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</si>
  <si>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</si>
  <si>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</si>
  <si>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</si>
  <si>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</si>
  <si>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</si>
  <si>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</si>
  <si>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</si>
  <si>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</si>
  <si>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</si>
  <si>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</si>
  <si>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</si>
  <si>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</si>
  <si>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</si>
  <si>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</si>
  <si>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</si>
  <si>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</si>
  <si>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</si>
  <si>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</si>
  <si>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</si>
  <si>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</si>
  <si>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</si>
  <si>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</si>
  <si>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</si>
  <si>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</si>
  <si>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</si>
  <si>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</si>
  <si>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</si>
  <si>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</si>
  <si>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</si>
  <si>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</si>
  <si>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</si>
  <si>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</si>
  <si>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</si>
  <si>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</si>
  <si>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</si>
  <si>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</si>
  <si>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</si>
  <si>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</si>
  <si>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</si>
  <si>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</si>
  <si>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</si>
  <si>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</si>
  <si>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</si>
  <si>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</si>
  <si>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</si>
  <si>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</si>
  <si>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</si>
  <si>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</si>
  <si>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</si>
  <si>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</si>
  <si>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</si>
  <si>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</si>
  <si>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</si>
  <si>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</si>
  <si>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</si>
  <si>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</si>
  <si>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</si>
  <si>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</si>
  <si>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</si>
  <si>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</si>
  <si>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</si>
  <si>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</si>
  <si>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</si>
  <si>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</si>
  <si>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</si>
  <si>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</si>
  <si>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</si>
  <si>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</si>
  <si>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</si>
  <si>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</si>
  <si>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</si>
  <si>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</si>
  <si>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</si>
  <si>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</si>
  <si>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</si>
  <si>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</si>
  <si>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</si>
  <si>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</si>
  <si>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</si>
  <si>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</si>
  <si>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</si>
  <si>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</si>
  <si>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</si>
  <si>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</si>
  <si>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</si>
  <si>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</si>
  <si>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</si>
  <si>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</si>
  <si>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</si>
  <si>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</si>
  <si>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</si>
  <si>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</si>
  <si>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</si>
  <si>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</si>
  <si>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</si>
  <si>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</si>
  <si>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</si>
  <si>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</si>
  <si>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</si>
  <si>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</si>
  <si>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</si>
  <si>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</si>
  <si>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</si>
  <si>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</si>
  <si>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</si>
  <si>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</si>
  <si>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</si>
  <si>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</si>
  <si>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</si>
  <si>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</si>
  <si>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</si>
  <si>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</si>
  <si>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</si>
  <si>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</si>
  <si>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</si>
  <si>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</si>
  <si>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</si>
  <si>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</si>
  <si>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</si>
  <si>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</si>
  <si>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</si>
  <si>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</si>
  <si>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</si>
  <si>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</si>
  <si>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</si>
  <si>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</si>
  <si>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</si>
  <si>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</si>
  <si>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</si>
  <si>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</si>
  <si>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</si>
  <si>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</si>
  <si>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</si>
  <si>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</si>
  <si>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</si>
  <si>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</si>
  <si>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</si>
  <si>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</si>
  <si>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</si>
  <si>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</si>
  <si>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</si>
  <si>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</si>
  <si>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</si>
  <si>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</si>
  <si>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</si>
  <si>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</si>
  <si>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</si>
  <si>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</si>
  <si>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</si>
  <si>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</si>
  <si>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</si>
  <si>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</si>
  <si>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</si>
  <si>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</si>
  <si>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</si>
  <si>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</si>
  <si>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</si>
  <si>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</si>
  <si>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</si>
  <si>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</si>
  <si>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</si>
  <si>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</si>
  <si>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</si>
  <si>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</si>
  <si>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</si>
  <si>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</si>
  <si>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</si>
  <si>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</si>
  <si>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</si>
  <si>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</si>
  <si>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</si>
  <si>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</si>
  <si>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</si>
  <si>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</si>
  <si>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</si>
  <si>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</si>
  <si>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</si>
  <si>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</si>
  <si>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</si>
  <si>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</si>
  <si>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</si>
  <si>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</si>
  <si>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</si>
  <si>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</si>
  <si>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</si>
  <si>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</si>
  <si>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</si>
  <si>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</si>
  <si>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</si>
  <si>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</si>
  <si>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</si>
  <si>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</si>
  <si>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</si>
  <si>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</si>
  <si>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</si>
  <si>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</si>
  <si>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</si>
  <si>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</si>
  <si>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</si>
  <si>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</si>
  <si>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</si>
  <si>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</si>
  <si>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</si>
  <si>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</si>
  <si>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</si>
  <si>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</si>
  <si>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</si>
  <si>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</si>
  <si>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</si>
  <si>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</si>
  <si>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</si>
  <si>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</si>
  <si>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</si>
  <si>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</si>
  <si>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</si>
  <si>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</si>
  <si>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</si>
  <si>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</si>
  <si>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</si>
  <si>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</si>
  <si>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</si>
  <si>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</si>
  <si>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</si>
  <si>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</si>
  <si>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</si>
  <si>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</si>
  <si>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</si>
  <si>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</si>
  <si>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</si>
  <si>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</si>
  <si>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</si>
  <si>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</si>
  <si>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</si>
  <si>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</si>
  <si>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</si>
  <si>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</si>
  <si>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</si>
  <si>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</si>
  <si>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</si>
  <si>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</si>
  <si>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</si>
  <si>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</si>
  <si>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</si>
  <si>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</si>
  <si>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</si>
  <si>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</si>
  <si>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</si>
  <si>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</si>
  <si>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</si>
  <si>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</si>
  <si>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</si>
  <si>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</si>
  <si>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</si>
  <si>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</si>
  <si>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</si>
  <si>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</si>
  <si>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</si>
  <si>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</si>
  <si>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</si>
  <si>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</si>
  <si>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</si>
  <si>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</si>
  <si>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</si>
  <si>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</si>
  <si>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</si>
  <si>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</si>
  <si>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</si>
  <si>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</si>
  <si>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</si>
  <si>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</si>
  <si>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</si>
  <si>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</si>
  <si>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</si>
  <si>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</si>
  <si>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</si>
  <si>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</si>
  <si>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</si>
  <si>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</si>
  <si>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</si>
  <si>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</si>
  <si>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</si>
  <si>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</si>
  <si>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</si>
  <si>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</si>
  <si>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</si>
  <si>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</si>
  <si>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</si>
  <si>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</si>
  <si>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</si>
  <si>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</si>
  <si>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</si>
  <si>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</si>
  <si>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</si>
  <si>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</si>
  <si>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</si>
  <si>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</si>
  <si>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</si>
  <si>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</si>
  <si>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</si>
  <si>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</si>
  <si>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</si>
  <si>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</si>
  <si>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</si>
  <si>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</si>
  <si>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</si>
  <si>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</si>
  <si>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</si>
  <si>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</si>
  <si>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</si>
  <si>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</si>
  <si>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</si>
  <si>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</si>
  <si>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</si>
  <si>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</si>
  <si>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</si>
  <si>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</si>
  <si>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</si>
  <si>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</si>
  <si>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</si>
  <si>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</si>
  <si>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</si>
  <si>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</si>
  <si>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</si>
  <si>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</si>
  <si>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</si>
  <si>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</si>
  <si>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</si>
  <si>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</si>
  <si>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</si>
  <si>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</si>
  <si>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</si>
  <si>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</si>
  <si>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</si>
  <si>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</si>
  <si>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</si>
  <si>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</si>
  <si>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</si>
  <si>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</si>
  <si>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</si>
  <si>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</si>
  <si>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</si>
  <si>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</si>
  <si>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</si>
  <si>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</si>
  <si>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</si>
  <si>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</si>
  <si>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</si>
  <si>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</si>
  <si>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</si>
  <si>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</si>
  <si>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</si>
  <si>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</si>
  <si>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</si>
  <si>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</si>
  <si>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</si>
  <si>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</si>
  <si>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</si>
  <si>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</si>
  <si>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</si>
  <si>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</si>
  <si>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</si>
  <si>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</si>
  <si>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</si>
  <si>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</si>
  <si>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</si>
  <si>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</si>
  <si>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</si>
  <si>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</si>
  <si>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</si>
  <si>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</si>
  <si>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</si>
  <si>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</si>
  <si>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</si>
  <si>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</si>
  <si>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</si>
  <si>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</si>
  <si>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</si>
  <si>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</si>
  <si>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</si>
  <si>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</si>
  <si>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</si>
  <si>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</si>
  <si>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</si>
  <si>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</si>
  <si>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</si>
  <si>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</si>
  <si>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</si>
  <si>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</si>
  <si>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</si>
  <si>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</si>
  <si>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</si>
  <si>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</si>
  <si>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</si>
  <si>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</si>
  <si>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</si>
  <si>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</si>
  <si>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</si>
  <si>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</si>
  <si>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</si>
  <si>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</si>
  <si>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</si>
  <si>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</si>
  <si>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</si>
  <si>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</si>
  <si>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</si>
  <si>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</si>
  <si>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</si>
  <si>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</si>
  <si>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</si>
  <si>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</si>
  <si>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</si>
  <si>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</si>
  <si>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</si>
  <si>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</si>
  <si>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</si>
  <si>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</si>
  <si>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</si>
  <si>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</si>
  <si>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</si>
  <si>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</si>
  <si>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</si>
  <si>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</si>
  <si>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</si>
  <si>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</si>
  <si>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</si>
  <si>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</si>
  <si>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</si>
  <si>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</si>
  <si>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</si>
  <si>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</si>
  <si>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</si>
  <si>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</si>
  <si>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</si>
  <si>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</si>
  <si>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</si>
  <si>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</si>
  <si>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</si>
  <si>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</si>
  <si>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</si>
  <si>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</si>
  <si>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</si>
  <si>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</si>
  <si>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</si>
  <si>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</si>
  <si>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</si>
  <si>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</si>
  <si>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</si>
  <si>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</si>
  <si>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</si>
  <si>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</si>
  <si>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</si>
  <si>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</si>
  <si>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</si>
  <si>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</si>
  <si>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</si>
  <si>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</si>
  <si>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</si>
  <si>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</si>
  <si>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</si>
  <si>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</si>
  <si>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</si>
  <si>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</si>
  <si>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</si>
  <si>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</si>
  <si>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</si>
  <si>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</si>
  <si>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</si>
  <si>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</si>
  <si>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</si>
  <si>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</si>
  <si>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</si>
  <si>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</si>
  <si>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</si>
  <si>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</si>
  <si>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</si>
  <si>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</si>
  <si>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</si>
  <si>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</si>
  <si>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</si>
  <si>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</si>
  <si>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</si>
  <si>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</si>
  <si>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</si>
  <si>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</si>
  <si>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</si>
  <si>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</si>
  <si>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</si>
  <si>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</si>
  <si>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</si>
  <si>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</si>
  <si>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</si>
  <si>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</si>
  <si>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</si>
  <si>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</si>
  <si>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</si>
  <si>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</si>
  <si>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</si>
  <si>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</si>
  <si>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</si>
  <si>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</si>
  <si>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</si>
  <si>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</si>
  <si>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</si>
  <si>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</si>
  <si>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</si>
  <si>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</si>
  <si>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</si>
  <si>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</si>
  <si>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</si>
  <si>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</si>
  <si>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</si>
  <si>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</si>
  <si>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</si>
  <si>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</si>
  <si>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</si>
  <si>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</si>
  <si>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</si>
  <si>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</si>
  <si>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</si>
  <si>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</si>
  <si>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</si>
  <si>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</si>
  <si>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</si>
  <si>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</si>
  <si>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</si>
  <si>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</si>
  <si>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</si>
  <si>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</si>
  <si>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</si>
  <si>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</si>
  <si>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</si>
  <si>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</si>
  <si>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</si>
  <si>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</si>
  <si>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</si>
  <si>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</si>
  <si>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</si>
  <si>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</si>
  <si>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</si>
  <si>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</si>
  <si>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</si>
  <si>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</si>
  <si>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</si>
  <si>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</si>
  <si>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</si>
  <si>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</si>
  <si>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</si>
  <si>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</si>
  <si>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</si>
  <si>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</si>
  <si>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</si>
  <si>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</si>
  <si>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</si>
  <si>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</si>
  <si>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</si>
  <si>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</si>
  <si>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</si>
  <si>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</si>
  <si>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</si>
  <si>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</si>
  <si>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</si>
  <si>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</si>
  <si>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</si>
  <si>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</si>
  <si>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</si>
  <si>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</si>
  <si>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</si>
  <si>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</si>
  <si>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</si>
  <si>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</si>
  <si>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</si>
  <si>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</si>
  <si>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</si>
  <si>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</si>
  <si>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</si>
  <si>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</si>
  <si>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</si>
  <si>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</si>
  <si>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</si>
  <si>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</si>
  <si>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</si>
  <si>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</si>
  <si>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</si>
  <si>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</si>
  <si>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</si>
  <si>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</si>
  <si>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</si>
  <si>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</si>
  <si>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</si>
  <si>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</si>
  <si>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</si>
  <si>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</si>
  <si>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</si>
  <si>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</si>
  <si>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</si>
  <si>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</si>
  <si>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</si>
  <si>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</si>
  <si>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</si>
  <si>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</si>
  <si>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</si>
  <si>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</si>
  <si>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</si>
  <si>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</si>
  <si>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</si>
  <si>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</si>
  <si>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</si>
  <si>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</si>
  <si>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</si>
  <si>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</si>
  <si>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</si>
  <si>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</si>
  <si>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</si>
  <si>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</si>
  <si>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</si>
  <si>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</si>
  <si>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</si>
  <si>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</si>
  <si>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</si>
  <si>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</si>
  <si>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</si>
  <si>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</si>
  <si>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</si>
  <si>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</si>
  <si>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</si>
  <si>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</si>
  <si>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</si>
  <si>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</si>
  <si>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</si>
  <si>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</si>
  <si>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</si>
  <si>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</si>
  <si>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</si>
  <si>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</si>
  <si>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</si>
  <si>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</si>
  <si>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</si>
  <si>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</si>
  <si>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</si>
  <si>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</si>
  <si>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</si>
  <si>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</si>
  <si>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</si>
  <si>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</si>
  <si>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</si>
  <si>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</si>
  <si>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</si>
  <si>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</si>
  <si>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</si>
  <si>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</si>
  <si>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</si>
  <si>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</si>
  <si>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</si>
  <si>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</si>
  <si>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</si>
  <si>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</si>
  <si>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</si>
  <si>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</si>
  <si>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</si>
  <si>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</si>
  <si>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</si>
  <si>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</si>
  <si>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</si>
  <si>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</si>
  <si>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</si>
  <si>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</si>
  <si>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</si>
  <si>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</si>
  <si>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</si>
  <si>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</si>
  <si>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</si>
  <si>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</si>
  <si>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</si>
  <si>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</si>
  <si>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</si>
  <si>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</si>
  <si>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</si>
  <si>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</si>
  <si>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</si>
  <si>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</si>
  <si>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</si>
  <si>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</si>
  <si>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</si>
  <si>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</si>
  <si>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</si>
  <si>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</si>
  <si>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</si>
  <si>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</si>
  <si>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</si>
  <si>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</si>
  <si>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</si>
  <si>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</si>
  <si>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</si>
  <si>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</si>
  <si>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</si>
  <si>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</si>
  <si>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</si>
  <si>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</si>
  <si>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</si>
  <si>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</si>
  <si>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</si>
  <si>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</si>
  <si>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</si>
  <si>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</si>
  <si>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</si>
  <si>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</si>
  <si>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</si>
  <si>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</si>
  <si>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</si>
  <si>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</si>
  <si>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</si>
  <si>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</si>
  <si>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</si>
  <si>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</si>
  <si>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</si>
  <si>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</si>
  <si>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</si>
  <si>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</si>
  <si>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</si>
  <si>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</si>
  <si>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</si>
  <si>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</si>
  <si>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</si>
  <si>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</si>
  <si>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</si>
  <si>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</si>
  <si>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</si>
  <si>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</si>
  <si>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</si>
  <si>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</si>
  <si>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</si>
  <si>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</si>
  <si>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</si>
  <si>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</si>
  <si>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</si>
  <si>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</si>
  <si>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</si>
  <si>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</si>
  <si>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</si>
  <si>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</si>
  <si>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</si>
  <si>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</si>
  <si>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</si>
  <si>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</si>
  <si>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</si>
  <si>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</si>
  <si>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</si>
  <si>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</si>
  <si>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</si>
  <si>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</si>
  <si>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</si>
  <si>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</si>
  <si>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</si>
  <si>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</si>
  <si>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</si>
  <si>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</si>
  <si>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</si>
  <si>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</si>
  <si>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</si>
  <si>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</si>
  <si>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</si>
  <si>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</si>
  <si>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</si>
  <si>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</si>
  <si>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</si>
  <si>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</si>
  <si>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</si>
  <si>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</si>
  <si>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</si>
  <si>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</si>
  <si>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</si>
  <si>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</si>
  <si>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</si>
  <si>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</si>
  <si>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</si>
  <si>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</si>
  <si>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</si>
  <si>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</si>
  <si>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</si>
  <si>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</si>
  <si>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</si>
  <si>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</si>
  <si>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</si>
  <si>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</si>
  <si>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</si>
  <si>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</si>
  <si>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</si>
  <si>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</si>
  <si>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</si>
  <si>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</si>
  <si>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</si>
  <si>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</si>
  <si>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</si>
  <si>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</si>
  <si>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</si>
  <si>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</si>
  <si>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</si>
  <si>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</si>
  <si>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</si>
  <si>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</si>
  <si>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</si>
  <si>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</si>
  <si>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</si>
  <si>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</si>
  <si>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</si>
  <si>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</si>
  <si>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</si>
  <si>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</si>
  <si>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</si>
  <si>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</si>
  <si>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</si>
  <si>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</si>
  <si>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</si>
  <si>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</si>
  <si>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</si>
  <si>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</si>
  <si>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</si>
  <si>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</si>
  <si>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</si>
  <si>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</si>
  <si>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</si>
  <si>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</si>
  <si>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</si>
  <si>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</si>
  <si>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</si>
  <si>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</si>
  <si>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</si>
  <si>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</si>
  <si>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</si>
  <si>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</si>
  <si>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</si>
  <si>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</si>
  <si>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</si>
  <si>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</si>
  <si>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</si>
  <si>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</si>
  <si>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</si>
  <si>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</si>
  <si>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</si>
  <si>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</si>
  <si>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</si>
  <si>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</si>
  <si>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</si>
  <si>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</si>
  <si>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</si>
  <si>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</si>
  <si>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</si>
  <si>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</si>
  <si>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</si>
  <si>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</si>
  <si>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</si>
  <si>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</si>
  <si>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</si>
  <si>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</si>
  <si>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</si>
  <si>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</si>
  <si>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</si>
  <si>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</si>
  <si>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</si>
  <si>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</si>
  <si>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</si>
  <si>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</si>
  <si>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</si>
  <si>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</si>
  <si>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</si>
  <si>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</si>
  <si>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</si>
  <si>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</si>
  <si>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</si>
  <si>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</si>
  <si>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</si>
  <si>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</si>
  <si>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</si>
  <si>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</si>
  <si>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</si>
  <si>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</si>
  <si>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</si>
  <si>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</si>
  <si>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</si>
  <si>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</si>
  <si>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</si>
  <si>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</si>
  <si>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</si>
  <si>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</si>
  <si>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</si>
  <si>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</si>
  <si>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</si>
  <si>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</si>
  <si>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</si>
  <si>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</si>
  <si>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</si>
  <si>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</si>
  <si>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</si>
  <si>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</si>
  <si>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</si>
  <si>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</si>
  <si>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</si>
  <si>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</si>
  <si>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</si>
  <si>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</si>
  <si>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</si>
  <si>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</si>
  <si>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</si>
  <si>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</si>
  <si>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</si>
  <si>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</si>
  <si>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</si>
  <si>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</si>
  <si>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</si>
  <si>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</si>
  <si>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</si>
  <si>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</si>
  <si>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</si>
  <si>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</si>
  <si>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</si>
  <si>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</si>
  <si>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</si>
  <si>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</si>
  <si>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</si>
  <si>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</si>
  <si>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</si>
  <si>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</si>
  <si>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</si>
  <si>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</si>
  <si>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</si>
  <si>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</si>
  <si>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</si>
  <si>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</si>
  <si>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</si>
  <si>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</si>
  <si>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</si>
  <si>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</si>
  <si>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</si>
  <si>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</si>
  <si>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</si>
  <si>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</si>
  <si>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</si>
  <si>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</si>
  <si>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</si>
  <si>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</si>
  <si>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</si>
  <si>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</si>
  <si>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</si>
  <si>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</si>
  <si>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</si>
  <si>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</si>
  <si>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</si>
  <si>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</si>
  <si>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</si>
  <si>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</si>
  <si>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</si>
  <si>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</si>
  <si>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</si>
  <si>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</si>
  <si>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</si>
  <si>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</si>
  <si>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</si>
  <si>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</si>
  <si>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</si>
  <si>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</si>
  <si>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</si>
  <si>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</si>
  <si>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</si>
  <si>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</si>
  <si>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</si>
  <si>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</si>
  <si>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</si>
  <si>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</si>
  <si>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</si>
  <si>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</si>
  <si>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</si>
  <si>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</si>
  <si>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</si>
  <si>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</si>
  <si>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</si>
  <si>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</si>
  <si>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</si>
  <si>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</si>
  <si>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</si>
  <si>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</si>
  <si>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</si>
  <si>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</si>
  <si>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</si>
  <si>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</si>
  <si>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</si>
  <si>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</si>
  <si>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</si>
  <si>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</si>
  <si>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</si>
  <si>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</si>
  <si>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</si>
  <si>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</si>
  <si>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</si>
  <si>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</si>
  <si>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</si>
  <si>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</si>
  <si>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</si>
  <si>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</si>
  <si>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</si>
  <si>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</si>
  <si>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</si>
  <si>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</si>
  <si>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</si>
  <si>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</si>
  <si>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</si>
  <si>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</si>
  <si>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</si>
  <si>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</si>
  <si>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</si>
  <si>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</si>
  <si>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</si>
  <si>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</si>
  <si>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</si>
  <si>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</si>
  <si>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</si>
  <si>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</si>
  <si>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</si>
  <si>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</si>
  <si>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</si>
  <si>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</si>
  <si>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</si>
  <si>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</si>
  <si>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</si>
  <si>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</si>
  <si>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</si>
  <si>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</si>
  <si>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</si>
  <si>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</si>
  <si>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</si>
  <si>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</si>
  <si>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</si>
  <si>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</si>
  <si>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</si>
  <si>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</si>
  <si>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</si>
  <si>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</si>
  <si>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</si>
  <si>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</si>
  <si>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</si>
  <si>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</si>
  <si>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</si>
  <si>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</si>
  <si>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</si>
  <si>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</si>
  <si>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</si>
  <si>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</si>
  <si>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</si>
  <si>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</si>
  <si>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</si>
  <si>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</si>
  <si>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</si>
  <si>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</si>
  <si>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</si>
  <si>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</si>
  <si>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</si>
  <si>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</si>
  <si>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</si>
  <si>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</si>
  <si>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</si>
  <si>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</si>
  <si>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</si>
  <si>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</si>
  <si>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</si>
  <si>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</si>
  <si>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</si>
  <si>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</si>
  <si>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</si>
  <si>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</si>
  <si>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</si>
  <si>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</si>
  <si>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</si>
  <si>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</si>
  <si>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</si>
  <si>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</si>
  <si>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</si>
  <si>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</si>
  <si>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</si>
  <si>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</si>
  <si>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</si>
  <si>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</si>
  <si>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</si>
  <si>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</si>
  <si>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</si>
  <si>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</si>
  <si>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</si>
  <si>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</si>
  <si>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</si>
  <si>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</si>
  <si>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</si>
  <si>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</si>
  <si>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</si>
  <si>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</si>
  <si>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</si>
  <si>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</si>
  <si>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</si>
  <si>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</si>
  <si>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</si>
  <si>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</si>
  <si>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</si>
  <si>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</si>
  <si>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</si>
  <si>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</si>
  <si>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</si>
  <si>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</si>
  <si>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</si>
  <si>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</si>
  <si>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</si>
  <si>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</si>
  <si>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</si>
  <si>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</si>
  <si>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</si>
  <si>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</si>
  <si>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</si>
  <si>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</si>
  <si>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</si>
  <si>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</si>
  <si>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</si>
  <si>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</si>
  <si>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</si>
  <si>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</si>
  <si>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</si>
  <si>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</si>
  <si>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</si>
  <si>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</si>
  <si>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</si>
  <si>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</si>
  <si>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</si>
  <si>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</si>
  <si>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</si>
  <si>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</si>
  <si>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</si>
  <si>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</si>
  <si>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</si>
  <si>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</si>
  <si>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</si>
  <si>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</si>
  <si>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</si>
  <si>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</si>
  <si>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</si>
  <si>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</si>
  <si>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</si>
  <si>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</si>
  <si>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</si>
  <si>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</si>
  <si>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</si>
  <si>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</si>
  <si>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</si>
  <si>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</si>
  <si>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</si>
  <si>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</si>
  <si>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</si>
  <si>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</si>
  <si>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</si>
  <si>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</si>
  <si>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</si>
  <si>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</si>
  <si>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</si>
  <si>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</si>
  <si>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</si>
  <si>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</si>
  <si>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</si>
  <si>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</si>
  <si>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</si>
  <si>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</si>
  <si>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</si>
  <si>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</si>
  <si>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</si>
  <si>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</si>
  <si>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</si>
  <si>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</si>
  <si>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</si>
  <si>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</si>
  <si>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</si>
  <si>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</si>
  <si>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</si>
  <si>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</si>
  <si>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</si>
  <si>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</si>
  <si>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</si>
  <si>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</si>
  <si>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</si>
  <si>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</si>
  <si>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</si>
  <si>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</si>
  <si>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</si>
  <si>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</si>
  <si>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</si>
  <si>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</si>
  <si>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</si>
  <si>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</si>
  <si>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</si>
  <si>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</si>
  <si>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</si>
  <si>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</si>
  <si>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</si>
  <si>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</si>
  <si>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</si>
  <si>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</si>
  <si>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</si>
  <si>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</si>
  <si>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</si>
  <si>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</si>
  <si>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</si>
  <si>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</si>
  <si>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</si>
  <si>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</si>
  <si>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</si>
  <si>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</si>
  <si>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</si>
  <si>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</si>
  <si>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</si>
  <si>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</si>
  <si>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</si>
  <si>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</si>
  <si>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</si>
  <si>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</si>
  <si>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</si>
  <si>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</si>
  <si>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</si>
  <si>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</si>
  <si>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</si>
  <si>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</si>
  <si>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</si>
  <si>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</si>
  <si>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</si>
  <si>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</si>
  <si>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</si>
  <si>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</si>
  <si>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</si>
  <si>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</si>
  <si>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</si>
  <si>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</si>
  <si>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</si>
  <si>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</si>
  <si>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</si>
  <si>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</si>
  <si>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</si>
  <si>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</si>
  <si>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</si>
  <si>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</si>
  <si>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</si>
  <si>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</si>
  <si>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</si>
  <si>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</si>
  <si>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</si>
  <si>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</si>
  <si>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</si>
  <si>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</si>
  <si>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</si>
  <si>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</si>
  <si>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</si>
  <si>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</si>
  <si>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</si>
  <si>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</si>
  <si>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</si>
  <si>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</si>
  <si>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</si>
  <si>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</si>
  <si>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</si>
  <si>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</si>
  <si>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</si>
  <si>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</si>
  <si>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</si>
  <si>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</si>
  <si>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</si>
  <si>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</si>
  <si>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</si>
  <si>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</si>
  <si>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</si>
  <si>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</si>
  <si>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</si>
  <si>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</si>
  <si>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</si>
  <si>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</si>
  <si>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</si>
  <si>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</si>
  <si>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</si>
  <si>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</si>
  <si>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</si>
  <si>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</si>
  <si>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</si>
  <si>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</si>
  <si>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</si>
  <si>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</si>
  <si>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</si>
  <si>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</si>
  <si>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</si>
  <si>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</si>
  <si>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</si>
  <si>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</si>
  <si>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</si>
  <si>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</si>
  <si>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</si>
  <si>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</si>
  <si>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</si>
  <si>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</si>
  <si>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</si>
  <si>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</si>
  <si>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</si>
  <si>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</si>
  <si>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</si>
  <si>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</si>
  <si>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</si>
  <si>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</si>
  <si>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</si>
  <si>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</si>
  <si>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</si>
  <si>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</si>
  <si>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</si>
  <si>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</si>
  <si>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</si>
  <si>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</si>
  <si>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</si>
  <si>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</si>
  <si>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</si>
  <si>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</si>
  <si>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</si>
  <si>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</si>
  <si>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</si>
  <si>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</si>
  <si>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</si>
  <si>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</si>
  <si>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</si>
  <si>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</si>
  <si>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</si>
  <si>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</si>
  <si>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</si>
  <si>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</si>
  <si>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</si>
  <si>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</si>
  <si>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</si>
  <si>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</si>
  <si>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</si>
  <si>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</si>
  <si>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</si>
  <si>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</si>
  <si>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</si>
  <si>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</si>
  <si>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</si>
  <si>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</si>
  <si>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</si>
  <si>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</si>
  <si>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</si>
  <si>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</si>
  <si>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</si>
  <si>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</si>
  <si>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</si>
  <si>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</si>
  <si>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</si>
  <si>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</si>
  <si>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</si>
  <si>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</si>
  <si>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</si>
  <si>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</si>
  <si>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</si>
  <si>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</si>
  <si>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</si>
  <si>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</si>
  <si>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</si>
  <si>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</si>
  <si>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</si>
  <si>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</si>
  <si>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</si>
  <si>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</si>
  <si>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</si>
  <si>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</si>
  <si>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</si>
  <si>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</si>
  <si>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</si>
  <si>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</si>
  <si>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</si>
  <si>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</si>
  <si>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</si>
  <si>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</si>
  <si>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</si>
  <si>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</si>
  <si>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</si>
  <si>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</si>
  <si>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</si>
  <si>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</si>
  <si>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</si>
  <si>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</si>
  <si>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</si>
  <si>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</si>
  <si>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</si>
  <si>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</si>
  <si>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</si>
  <si>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</si>
  <si>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</si>
  <si>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</si>
  <si>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</si>
  <si>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</si>
  <si>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</si>
  <si>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</si>
  <si>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</si>
  <si>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</si>
  <si>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</si>
  <si>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</si>
  <si>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</si>
  <si>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</si>
  <si>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</si>
  <si>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</si>
  <si>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</si>
  <si>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</si>
  <si>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</si>
  <si>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</si>
  <si>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</si>
  <si>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</si>
  <si>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</si>
  <si>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</si>
  <si>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</si>
  <si>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</si>
  <si>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</si>
  <si>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</si>
  <si>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</si>
  <si>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</si>
  <si>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</si>
  <si>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</si>
  <si>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</si>
  <si>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</si>
  <si>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</si>
  <si>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</si>
  <si>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</si>
  <si>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</si>
  <si>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</si>
  <si>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</si>
  <si>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</si>
  <si>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</si>
  <si>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</si>
  <si>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</si>
  <si>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</si>
  <si>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</si>
  <si>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</si>
  <si>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</si>
  <si>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</si>
  <si>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</si>
  <si>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</si>
  <si>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</si>
  <si>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</si>
  <si>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</si>
  <si>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</si>
  <si>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</si>
  <si>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</si>
  <si>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</si>
  <si>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</si>
  <si>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</si>
  <si>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</si>
  <si>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</si>
  <si>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</si>
  <si>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</si>
  <si>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</si>
  <si>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</si>
  <si>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</si>
  <si>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</si>
  <si>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</si>
  <si>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</si>
  <si>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</si>
  <si>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</si>
  <si>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</si>
  <si>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</si>
  <si>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</si>
  <si>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</si>
  <si>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</si>
  <si>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</si>
  <si>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</si>
  <si>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</si>
  <si>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</si>
  <si>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</si>
  <si>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</si>
  <si>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</si>
  <si>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</si>
  <si>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</si>
  <si>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</si>
  <si>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</si>
  <si>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</si>
  <si>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</si>
  <si>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</si>
  <si>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</si>
  <si>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</si>
  <si>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</si>
  <si>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</si>
  <si>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</si>
  <si>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</si>
  <si>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</si>
  <si>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</si>
  <si>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</si>
  <si>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</si>
  <si>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</si>
  <si>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</si>
  <si>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</si>
  <si>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</si>
  <si>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</si>
  <si>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</si>
  <si>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</si>
  <si>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</si>
  <si>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</si>
  <si>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</si>
  <si>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</si>
  <si>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</si>
  <si>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</si>
  <si>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</si>
  <si>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</si>
  <si>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</si>
  <si>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</si>
  <si>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</si>
  <si>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</si>
  <si>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</si>
  <si>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</si>
  <si>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</si>
  <si>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</si>
  <si>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</si>
  <si>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</si>
  <si>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</si>
  <si>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</si>
  <si>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</si>
  <si>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</si>
  <si>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</si>
  <si>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</si>
  <si>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</si>
  <si>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</si>
  <si>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</si>
  <si>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</si>
  <si>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</si>
  <si>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</si>
  <si>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</si>
  <si>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</si>
  <si>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</si>
  <si>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</si>
  <si>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</si>
  <si>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</si>
  <si>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</si>
  <si>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</si>
  <si>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</si>
  <si>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</si>
  <si>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</si>
  <si>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</si>
  <si>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</si>
  <si>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</si>
  <si>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</si>
  <si>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</si>
  <si>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</si>
  <si>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</si>
  <si>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</si>
  <si>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</si>
  <si>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</si>
  <si>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</si>
  <si>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</si>
  <si>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</si>
  <si>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</si>
  <si>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</si>
  <si>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</si>
  <si>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</si>
  <si>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</si>
  <si>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</si>
  <si>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</si>
  <si>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</si>
  <si>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</si>
  <si>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</si>
  <si>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</si>
  <si>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</si>
  <si>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</si>
  <si>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</si>
  <si>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</si>
  <si>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</si>
  <si>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</si>
  <si>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</si>
  <si>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</si>
  <si>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</si>
  <si>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</si>
  <si>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</si>
  <si>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</si>
  <si>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</si>
  <si>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</si>
  <si>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</si>
  <si>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</si>
  <si>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</si>
  <si>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</si>
  <si>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</si>
  <si>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</si>
  <si>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</si>
  <si>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</si>
  <si>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</si>
  <si>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</si>
  <si>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</si>
  <si>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</si>
  <si>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</si>
  <si>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</si>
  <si>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</si>
  <si>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</si>
  <si>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</si>
  <si>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</si>
  <si>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</si>
  <si>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</si>
  <si>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</si>
  <si>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</si>
  <si>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</si>
  <si>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</si>
  <si>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</si>
  <si>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</si>
  <si>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</si>
  <si>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</si>
  <si>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</si>
  <si>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</si>
  <si>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</si>
  <si>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</si>
  <si>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</si>
  <si>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</si>
  <si>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</si>
  <si>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</si>
  <si>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</si>
  <si>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</si>
  <si>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</si>
  <si>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</si>
  <si>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</si>
  <si>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</si>
  <si>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</si>
  <si>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</si>
  <si>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</si>
  <si>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</si>
  <si>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</si>
  <si>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</si>
  <si>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</si>
  <si>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</si>
  <si>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</si>
  <si>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</si>
  <si>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</si>
  <si>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</si>
  <si>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</si>
  <si>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</si>
  <si>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</si>
  <si>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</si>
  <si>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</si>
  <si>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</si>
  <si>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</si>
  <si>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</si>
  <si>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</si>
  <si>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</si>
  <si>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</si>
  <si>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</si>
  <si>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</si>
  <si>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</si>
  <si>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</si>
  <si>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</si>
  <si>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</si>
  <si>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</si>
  <si>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</si>
  <si>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</si>
  <si>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</si>
  <si>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</si>
  <si>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</si>
  <si>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</si>
  <si>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</si>
  <si>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</si>
  <si>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</si>
  <si>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</si>
  <si>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</si>
  <si>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</si>
  <si>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</si>
  <si>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</si>
  <si>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</si>
  <si>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</si>
  <si>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</si>
  <si>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</si>
  <si>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</si>
  <si>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</si>
  <si>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</si>
  <si>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</si>
  <si>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</si>
  <si>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</si>
  <si>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</si>
  <si>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</si>
  <si>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</si>
  <si>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</si>
  <si>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</si>
  <si>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</si>
  <si>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</si>
  <si>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</si>
  <si>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</si>
  <si>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</si>
  <si>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</si>
  <si>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</si>
  <si>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</si>
  <si>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</si>
  <si>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</si>
  <si>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</si>
  <si>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</si>
  <si>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</si>
  <si>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</si>
  <si>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</si>
  <si>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</si>
  <si>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</si>
  <si>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</si>
  <si>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</si>
  <si>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</si>
  <si>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</si>
  <si>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</si>
  <si>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</si>
  <si>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</si>
  <si>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</si>
  <si>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</si>
  <si>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</si>
  <si>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</si>
  <si>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</si>
  <si>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</si>
  <si>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</si>
  <si>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</si>
  <si>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</si>
  <si>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</si>
  <si>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</si>
  <si>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</si>
  <si>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</si>
  <si>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</si>
  <si>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</si>
  <si>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</si>
  <si>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</si>
  <si>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</si>
  <si>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</si>
  <si>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</si>
  <si>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</si>
  <si>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</si>
  <si>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</si>
  <si>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</si>
  <si>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</si>
  <si>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</si>
  <si>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</si>
  <si>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</si>
  <si>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</si>
  <si>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</si>
  <si>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</si>
  <si>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</si>
  <si>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</si>
  <si>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</si>
  <si>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</si>
  <si>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</si>
  <si>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</si>
  <si>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</si>
  <si>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</si>
  <si>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</si>
  <si>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</si>
  <si>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</si>
  <si>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</si>
  <si>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</si>
  <si>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</si>
  <si>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</si>
  <si>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</si>
  <si>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</si>
  <si>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</si>
  <si>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</si>
  <si>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</si>
  <si>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</si>
  <si>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</si>
  <si>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</si>
  <si>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</si>
  <si>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</si>
  <si>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</si>
  <si>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</si>
  <si>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</si>
  <si>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</si>
  <si>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</si>
  <si>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</si>
  <si>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</si>
  <si>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</si>
  <si>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</si>
  <si>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</si>
  <si>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</si>
  <si>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</si>
  <si>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</si>
  <si>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</si>
  <si>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</si>
  <si>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</si>
  <si>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</si>
  <si>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</si>
  <si>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</si>
  <si>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</si>
  <si>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</si>
  <si>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</si>
  <si>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</si>
  <si>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</si>
  <si>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</si>
  <si>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</si>
  <si>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</si>
  <si>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</si>
  <si>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</si>
  <si>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</si>
  <si>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</si>
  <si>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</si>
  <si>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</si>
  <si>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</si>
  <si>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</si>
  <si>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</si>
  <si>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</si>
  <si>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</si>
  <si>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</si>
  <si>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</si>
  <si>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</si>
  <si>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</si>
  <si>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</si>
  <si>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</si>
  <si>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</si>
  <si>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</si>
  <si>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</si>
  <si>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</si>
  <si>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</si>
  <si>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</si>
  <si>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</si>
  <si>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</si>
  <si>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</si>
  <si>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</si>
  <si>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</si>
  <si>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</si>
  <si>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</si>
  <si>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</si>
  <si>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</si>
  <si>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</si>
  <si>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</si>
  <si>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</si>
  <si>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</si>
  <si>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</si>
  <si>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</si>
  <si>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</si>
  <si>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</si>
  <si>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</si>
  <si>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</si>
  <si>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</si>
  <si>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</si>
  <si>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</si>
  <si>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</si>
  <si>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</si>
  <si>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</si>
  <si>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</si>
  <si>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</si>
  <si>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</si>
  <si>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</si>
  <si>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</si>
  <si>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</si>
  <si>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</si>
  <si>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</si>
  <si>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</si>
  <si>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</si>
  <si>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</si>
  <si>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</si>
  <si>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</si>
  <si>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</si>
  <si>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</si>
  <si>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</si>
  <si>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</si>
  <si>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</si>
  <si>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</si>
  <si>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</si>
  <si>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</si>
  <si>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</si>
  <si>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</si>
  <si>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</si>
  <si>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</si>
  <si>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</si>
  <si>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</si>
  <si>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</si>
  <si>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</si>
  <si>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</si>
  <si>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</si>
  <si>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</si>
  <si>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</si>
  <si>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</si>
  <si>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</si>
  <si>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</si>
  <si>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</si>
  <si>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</si>
  <si>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</si>
  <si>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</si>
  <si>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</si>
  <si>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</si>
  <si>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</si>
  <si>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</si>
  <si>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</si>
  <si>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</si>
  <si>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</si>
  <si>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</si>
  <si>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</si>
  <si>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</si>
  <si>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</si>
  <si>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</si>
  <si>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</si>
  <si>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</si>
  <si>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</si>
  <si>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</si>
  <si>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</si>
  <si>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</si>
  <si>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</si>
  <si>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</si>
  <si>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</si>
  <si>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</si>
  <si>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</si>
  <si>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</si>
  <si>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</si>
  <si>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</si>
  <si>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</si>
  <si>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</si>
  <si>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</si>
  <si>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</si>
  <si>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</si>
  <si>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</si>
  <si>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</si>
  <si>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</si>
  <si>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</si>
  <si>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</si>
  <si>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</si>
  <si>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</si>
  <si>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</si>
  <si>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</si>
  <si>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</si>
  <si>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</si>
  <si>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</si>
  <si>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</si>
  <si>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</si>
  <si>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</si>
  <si>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</si>
  <si>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</si>
  <si>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</si>
  <si>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</si>
  <si>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</si>
  <si>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</si>
  <si>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</si>
  <si>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</si>
  <si>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</si>
  <si>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</si>
  <si>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</si>
  <si>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</si>
  <si>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</si>
  <si>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</si>
  <si>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</si>
  <si>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</si>
  <si>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</si>
  <si>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</si>
  <si>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</si>
  <si>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</si>
  <si>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</si>
  <si>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</si>
  <si>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</si>
  <si>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</si>
  <si>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</si>
  <si>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</si>
  <si>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</si>
  <si>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</si>
  <si>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</si>
  <si>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</si>
  <si>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</si>
  <si>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</si>
  <si>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</si>
  <si>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</si>
  <si>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</si>
  <si>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</si>
  <si>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</si>
  <si>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</si>
  <si>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</si>
  <si>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</si>
  <si>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</si>
  <si>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</si>
  <si>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</si>
  <si>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</si>
  <si>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</si>
  <si>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</si>
  <si>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</si>
  <si>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</si>
  <si>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</si>
  <si>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</si>
  <si>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</si>
  <si>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</si>
  <si>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</si>
  <si>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</si>
  <si>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</si>
  <si>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</si>
  <si>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</si>
  <si>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</si>
  <si>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</si>
  <si>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</si>
  <si>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</si>
  <si>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</si>
  <si>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</si>
  <si>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</si>
  <si>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</si>
  <si>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</si>
  <si>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</si>
  <si>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</si>
  <si>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</si>
  <si>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</si>
  <si>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</si>
  <si>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</si>
  <si>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</si>
  <si>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</si>
  <si>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</si>
  <si>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</si>
  <si>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</si>
  <si>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</si>
  <si>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</si>
  <si>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</si>
  <si>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</si>
  <si>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</si>
  <si>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</si>
  <si>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</si>
  <si>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</si>
  <si>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</si>
  <si>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</si>
  <si>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</si>
  <si>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</si>
  <si>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</si>
  <si>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</si>
  <si>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</si>
  <si>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</si>
  <si>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</si>
  <si>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</si>
  <si>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</si>
  <si>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</si>
  <si>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</si>
  <si>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</si>
  <si>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</si>
  <si>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</si>
  <si>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</si>
  <si>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</si>
  <si>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</si>
  <si>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</si>
  <si>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</si>
  <si>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</si>
  <si>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</si>
  <si>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</si>
  <si>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</si>
  <si>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</si>
  <si>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</si>
  <si>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</si>
  <si>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</si>
  <si>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</si>
  <si>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</si>
  <si>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</si>
  <si>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</si>
  <si>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</si>
  <si>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</si>
  <si>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</si>
  <si>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</si>
  <si>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</si>
  <si>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</si>
  <si>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</si>
  <si>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</si>
  <si>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</si>
  <si>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</si>
  <si>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</si>
  <si>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</si>
  <si>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</si>
  <si>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</si>
  <si>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</si>
  <si>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</si>
  <si>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</si>
  <si>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</si>
  <si>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</si>
  <si>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</si>
  <si>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</si>
  <si>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</si>
  <si>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</si>
  <si>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</si>
  <si>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</si>
  <si>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</si>
  <si>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</si>
  <si>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</si>
  <si>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</si>
  <si>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</si>
  <si>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</si>
  <si>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</si>
  <si>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</si>
  <si>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</si>
  <si>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</si>
  <si>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</si>
  <si>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</si>
  <si>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</si>
  <si>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</si>
  <si>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</si>
  <si>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</si>
  <si>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</si>
  <si>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</si>
  <si>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</si>
  <si>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</si>
  <si>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</si>
  <si>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</si>
  <si>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</si>
  <si>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</si>
  <si>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</si>
  <si>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</si>
  <si>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</si>
  <si>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</si>
  <si>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</si>
  <si>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</si>
  <si>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</si>
  <si>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</si>
  <si>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</si>
  <si>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</si>
  <si>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</si>
  <si>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</si>
  <si>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</si>
  <si>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</si>
  <si>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</si>
  <si>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</si>
  <si>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</si>
  <si>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</si>
  <si>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</si>
  <si>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</si>
  <si>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</si>
  <si>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</si>
  <si>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</si>
  <si>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</si>
  <si>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</si>
  <si>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</si>
  <si>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</si>
  <si>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</si>
  <si>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</si>
  <si>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</si>
  <si>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</si>
  <si>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</si>
  <si>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</si>
  <si>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</si>
  <si>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</si>
  <si>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</si>
  <si>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</si>
  <si>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</si>
  <si>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</si>
  <si>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</si>
  <si>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</si>
  <si>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</si>
  <si>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</si>
  <si>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</si>
  <si>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</si>
  <si>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</si>
  <si>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</si>
  <si>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</si>
  <si>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</si>
  <si>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</si>
  <si>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</si>
  <si>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</si>
  <si>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</si>
  <si>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</si>
  <si>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</si>
  <si>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</si>
  <si>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</si>
  <si>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</si>
  <si>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</si>
  <si>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</si>
  <si>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</si>
  <si>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</si>
  <si>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</si>
  <si>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</si>
  <si>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</si>
  <si>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</si>
  <si>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</si>
  <si>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</si>
  <si>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</si>
  <si>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</si>
  <si>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</si>
  <si>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</si>
  <si>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</si>
  <si>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</si>
  <si>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</si>
  <si>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</si>
  <si>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</si>
  <si>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</si>
  <si>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</si>
  <si>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</si>
  <si>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</si>
  <si>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</si>
  <si>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</si>
  <si>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</si>
  <si>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</si>
  <si>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</si>
  <si>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</si>
  <si>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</si>
  <si>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</si>
  <si>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</si>
  <si>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</si>
  <si>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</si>
  <si>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</si>
  <si>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</si>
  <si>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</si>
  <si>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</si>
  <si>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</si>
  <si>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</si>
  <si>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</si>
  <si>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</si>
  <si>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</si>
  <si>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</si>
  <si>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</si>
  <si>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</si>
  <si>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</si>
  <si>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</si>
  <si>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</si>
  <si>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</si>
  <si>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</si>
  <si>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</si>
  <si>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</si>
  <si>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</si>
  <si>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</si>
  <si>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</si>
  <si>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</si>
  <si>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</si>
  <si>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</si>
  <si>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</si>
  <si>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</si>
  <si>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</si>
  <si>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</si>
  <si>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</si>
  <si>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</si>
  <si>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</si>
  <si>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</si>
  <si>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</si>
  <si>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</si>
  <si>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</si>
  <si>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</si>
  <si>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</si>
  <si>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</si>
  <si>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</si>
  <si>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</si>
  <si>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</si>
  <si>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</si>
  <si>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</si>
  <si>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</si>
  <si>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</si>
  <si>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</si>
  <si>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</si>
  <si>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</si>
  <si>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</si>
  <si>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</si>
  <si>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</si>
  <si>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</si>
  <si>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</si>
  <si>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</si>
  <si>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</si>
  <si>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</si>
  <si>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</si>
  <si>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</si>
  <si>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</si>
  <si>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</si>
  <si>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</si>
  <si>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</si>
  <si>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</si>
  <si>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</si>
  <si>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</si>
  <si>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</si>
  <si>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</si>
  <si>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</si>
  <si>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</si>
  <si>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</si>
  <si>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</si>
  <si>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</si>
  <si>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</si>
  <si>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</si>
  <si>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</si>
  <si>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</si>
  <si>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</si>
  <si>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</si>
  <si>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</si>
  <si>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</si>
  <si>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</si>
  <si>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</si>
  <si>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</si>
  <si>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</si>
  <si>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</si>
  <si>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</si>
  <si>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</si>
  <si>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</si>
  <si>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</si>
  <si>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</si>
  <si>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</si>
  <si>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</si>
  <si>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</si>
  <si>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</si>
  <si>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</si>
  <si>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</si>
  <si>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</si>
  <si>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</si>
  <si>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</si>
  <si>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</si>
  <si>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</si>
  <si>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</si>
  <si>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</si>
  <si>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</si>
  <si>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</si>
  <si>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</si>
  <si>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</si>
  <si>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</si>
  <si>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</si>
  <si>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</si>
  <si>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</si>
  <si>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</si>
  <si>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</si>
  <si>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</si>
  <si>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</si>
  <si>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</si>
  <si>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</si>
  <si>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</si>
  <si>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</si>
  <si>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</si>
  <si>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</si>
  <si>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</si>
  <si>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</si>
  <si>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</si>
  <si>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</si>
  <si>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</si>
  <si>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</si>
  <si>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</si>
  <si>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</si>
  <si>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</si>
  <si>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</si>
  <si>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</si>
  <si>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</si>
  <si>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</si>
  <si>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</si>
  <si>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</si>
  <si>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</si>
  <si>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</si>
  <si>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</si>
  <si>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</si>
  <si>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</si>
  <si>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</si>
  <si>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</si>
  <si>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</si>
  <si>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</si>
  <si>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</si>
  <si>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</si>
  <si>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</si>
  <si>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</si>
  <si>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</si>
  <si>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</si>
  <si>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</si>
  <si>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</si>
  <si>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</si>
  <si>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</si>
  <si>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</si>
  <si>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</si>
  <si>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</si>
  <si>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</si>
  <si>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</si>
  <si>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</si>
  <si>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</si>
  <si>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</si>
  <si>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</si>
  <si>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</si>
  <si>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</si>
  <si>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</si>
  <si>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</si>
  <si>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</si>
  <si>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</si>
  <si>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</si>
  <si>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</si>
  <si>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</si>
  <si>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</si>
  <si>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</si>
  <si>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</si>
  <si>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</si>
  <si>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</si>
  <si>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</si>
  <si>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</si>
  <si>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</si>
  <si>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</si>
  <si>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</si>
  <si>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</si>
  <si>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</si>
  <si>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</si>
  <si>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</si>
  <si>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</si>
  <si>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</si>
  <si>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</si>
  <si>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</si>
  <si>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</si>
  <si>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</si>
  <si>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</si>
  <si>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</si>
  <si>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</si>
  <si>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</si>
  <si>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</si>
  <si>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</si>
  <si>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</si>
  <si>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</si>
  <si>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</si>
  <si>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</si>
  <si>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</si>
  <si>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</si>
  <si>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</si>
  <si>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</si>
  <si>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</si>
  <si>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</si>
  <si>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</si>
  <si>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</si>
  <si>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</si>
  <si>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</si>
  <si>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</si>
  <si>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</si>
  <si>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</si>
  <si>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</si>
  <si>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</si>
  <si>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</si>
  <si>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</si>
  <si>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</si>
  <si>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</si>
  <si>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</si>
  <si>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</si>
  <si>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</si>
  <si>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</si>
  <si>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</si>
  <si>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</si>
  <si>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</si>
  <si>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</si>
  <si>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</si>
  <si>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</si>
  <si>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</si>
  <si>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</si>
  <si>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</si>
  <si>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</si>
  <si>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</si>
  <si>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</si>
  <si>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</si>
  <si>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</si>
  <si>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</si>
  <si>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</si>
  <si>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</si>
  <si>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</si>
  <si>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</si>
  <si>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</si>
  <si>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</si>
  <si>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</si>
  <si>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</si>
  <si>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</si>
  <si>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</si>
  <si>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</si>
  <si>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</si>
  <si>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</si>
  <si>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</si>
  <si>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</si>
  <si>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</si>
  <si>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</si>
  <si>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</si>
  <si>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</si>
  <si>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</si>
  <si>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</si>
  <si>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</si>
  <si>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</si>
  <si>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</si>
  <si>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</si>
  <si>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</si>
  <si>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</si>
  <si>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</si>
  <si>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</si>
  <si>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</si>
  <si>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</si>
  <si>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</si>
  <si>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</si>
  <si>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</si>
  <si>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</si>
  <si>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</si>
  <si>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</si>
  <si>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</si>
  <si>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</si>
  <si>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</si>
  <si>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</si>
  <si>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</si>
  <si>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</si>
  <si>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</si>
  <si>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</si>
  <si>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</si>
  <si>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</si>
  <si>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</si>
  <si>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</si>
  <si>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</si>
  <si>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</si>
  <si>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</si>
  <si>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</si>
  <si>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</si>
  <si>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</si>
  <si>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</si>
  <si>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</si>
  <si>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</si>
  <si>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</si>
  <si>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</si>
  <si>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</si>
  <si>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</si>
  <si>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</si>
  <si>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</si>
  <si>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</si>
  <si>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</si>
  <si>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</si>
  <si>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</si>
  <si>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</si>
  <si>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</si>
  <si>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</si>
  <si>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</si>
  <si>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</si>
  <si>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</si>
  <si>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</si>
  <si>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</si>
  <si>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</si>
  <si>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</si>
  <si>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</si>
  <si>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</si>
  <si>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</si>
  <si>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</si>
  <si>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</si>
  <si>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</si>
  <si>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</si>
  <si>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</si>
  <si>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</si>
  <si>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</si>
  <si>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</si>
  <si>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</si>
  <si>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</si>
  <si>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</si>
  <si>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</si>
  <si>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</si>
  <si>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</si>
  <si>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</si>
  <si>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</si>
  <si>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</si>
  <si>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</si>
  <si>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</si>
  <si>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</si>
  <si>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</si>
  <si>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</si>
  <si>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</si>
  <si>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</si>
  <si>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</si>
  <si>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</si>
  <si>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</si>
  <si>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</si>
  <si>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</si>
  <si>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</si>
  <si>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</si>
  <si>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</si>
  <si>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</si>
  <si>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</si>
  <si>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</si>
  <si>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</si>
  <si>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</si>
  <si>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</si>
  <si>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</si>
  <si>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</si>
  <si>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</si>
  <si>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</si>
  <si>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</si>
  <si>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</si>
  <si>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</si>
  <si>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</si>
  <si>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</si>
  <si>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</si>
  <si>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</si>
  <si>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</si>
  <si>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</si>
  <si>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</si>
  <si>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</si>
  <si>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</si>
  <si>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</si>
  <si>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</si>
  <si>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</si>
  <si>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</si>
  <si>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</si>
  <si>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</si>
  <si>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</si>
  <si>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</si>
  <si>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</si>
  <si>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</si>
  <si>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</si>
  <si>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</si>
  <si>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</si>
  <si>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</si>
  <si>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</si>
  <si>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</si>
  <si>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</si>
  <si>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</si>
  <si>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</si>
  <si>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</si>
  <si>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</si>
  <si>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</si>
  <si>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</si>
  <si>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</si>
  <si>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</si>
  <si>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</si>
  <si>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</si>
  <si>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</si>
  <si>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</si>
  <si>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</si>
  <si>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</si>
  <si>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</si>
  <si>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</si>
  <si>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</si>
  <si>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</si>
  <si>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</si>
  <si>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</si>
  <si>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</si>
  <si>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</si>
  <si>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</si>
  <si>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</si>
  <si>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</si>
  <si>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</si>
  <si>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</si>
  <si>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</si>
  <si>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</si>
  <si>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</si>
  <si>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</si>
  <si>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</si>
  <si>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</si>
  <si>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</si>
  <si>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</si>
  <si>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</si>
  <si>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</si>
  <si>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</si>
  <si>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</si>
  <si>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</si>
  <si>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</si>
  <si>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</si>
  <si>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</si>
  <si>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</si>
  <si>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</si>
  <si>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</si>
  <si>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</si>
  <si>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</si>
  <si>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</si>
  <si>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</si>
  <si>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</si>
  <si>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</si>
  <si>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</si>
  <si>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</si>
  <si>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</si>
  <si>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</si>
  <si>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</si>
  <si>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</si>
  <si>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</si>
  <si>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</si>
  <si>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</si>
  <si>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</si>
  <si>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</si>
  <si>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</si>
  <si>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</si>
  <si>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</si>
  <si>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</si>
  <si>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</si>
  <si>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</si>
  <si>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</si>
  <si>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</si>
  <si>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</si>
  <si>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</si>
  <si>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</si>
  <si>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</si>
  <si>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</si>
  <si>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</si>
  <si>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</si>
  <si>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</si>
  <si>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</si>
  <si>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</si>
  <si>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</si>
  <si>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</si>
  <si>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</si>
  <si>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</si>
  <si>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</si>
  <si>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</si>
  <si>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</si>
  <si>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</si>
  <si>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</si>
  <si>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</si>
  <si>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</si>
  <si>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</si>
  <si>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</si>
  <si>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</si>
  <si>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</si>
  <si>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</si>
  <si>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</si>
  <si>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</si>
  <si>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</si>
  <si>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</si>
  <si>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</si>
  <si>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</si>
  <si>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</si>
  <si>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</si>
  <si>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</si>
  <si>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</si>
  <si>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</si>
  <si>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</si>
  <si>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</si>
  <si>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</si>
  <si>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</si>
  <si>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</si>
  <si>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</si>
  <si>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</si>
  <si>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</si>
  <si>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</si>
  <si>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</si>
  <si>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</si>
  <si>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</si>
  <si>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</si>
  <si>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</si>
  <si>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</si>
  <si>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</si>
  <si>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</si>
  <si>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</si>
  <si>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</si>
  <si>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</si>
  <si>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</si>
  <si>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</si>
  <si>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</si>
  <si>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</si>
  <si>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</si>
  <si>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</si>
  <si>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</si>
  <si>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</si>
  <si>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</si>
  <si>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</si>
  <si>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</si>
  <si>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</si>
  <si>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</si>
  <si>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</si>
  <si>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</si>
  <si>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</si>
  <si>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</si>
  <si>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</si>
  <si>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</si>
  <si>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</si>
  <si>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</si>
  <si>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</si>
  <si>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</si>
  <si>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</si>
  <si>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</si>
  <si>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</si>
  <si>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</si>
  <si>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</si>
  <si>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</si>
  <si>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</si>
  <si>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</si>
  <si>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</si>
  <si>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</si>
  <si>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</si>
  <si>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</si>
  <si>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</si>
  <si>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</si>
  <si>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</si>
  <si>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</si>
  <si>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</si>
  <si>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</si>
  <si>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</si>
  <si>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</si>
  <si>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</si>
  <si>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</si>
  <si>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</si>
  <si>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</si>
  <si>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</si>
  <si>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</si>
  <si>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</si>
  <si>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</si>
  <si>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</si>
  <si>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</si>
  <si>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</si>
  <si>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</si>
  <si>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</si>
  <si>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</si>
  <si>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</si>
  <si>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</si>
  <si>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</si>
  <si>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</si>
  <si>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</si>
  <si>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</si>
  <si>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</si>
  <si>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</si>
  <si>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</si>
  <si>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</si>
  <si>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</si>
  <si>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</si>
  <si>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</si>
  <si>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</si>
  <si>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</si>
  <si>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</si>
  <si>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</si>
  <si>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</si>
  <si>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</si>
  <si>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</si>
  <si>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</si>
  <si>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</si>
  <si>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</si>
  <si>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</si>
  <si>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</si>
  <si>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</si>
  <si>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</si>
  <si>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</si>
  <si>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</si>
  <si>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</si>
  <si>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</si>
  <si>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</si>
  <si>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</si>
  <si>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</si>
  <si>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</si>
  <si>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</si>
  <si>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</si>
  <si>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</si>
  <si>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</si>
  <si>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</si>
  <si>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</si>
  <si>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</si>
  <si>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</si>
  <si>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</si>
  <si>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</si>
  <si>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</si>
  <si>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</si>
  <si>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</si>
  <si>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</si>
  <si>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</si>
  <si>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</si>
  <si>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</si>
  <si>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</si>
  <si>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</si>
  <si>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</si>
  <si>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</si>
  <si>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</si>
  <si>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</si>
  <si>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</si>
  <si>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</si>
  <si>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</si>
  <si>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</si>
  <si>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</si>
  <si>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</si>
  <si>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</si>
  <si>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</si>
  <si>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</si>
  <si>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</si>
  <si>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</si>
  <si>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</si>
  <si>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</si>
  <si>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</si>
  <si>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</si>
  <si>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</si>
  <si>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</si>
  <si>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</si>
  <si>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</si>
  <si>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</si>
  <si>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</si>
  <si>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</si>
  <si>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</si>
  <si>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</si>
  <si>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</si>
  <si>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</si>
  <si>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</si>
  <si>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</si>
  <si>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</si>
  <si>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</si>
  <si>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</si>
  <si>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</si>
  <si>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</si>
  <si>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</si>
  <si>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</si>
  <si>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</si>
  <si>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</si>
  <si>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</si>
  <si>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</si>
  <si>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</si>
  <si>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</si>
  <si>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</si>
  <si>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</si>
  <si>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</si>
  <si>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</si>
  <si>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</si>
  <si>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</si>
  <si>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</si>
  <si>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</si>
  <si>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</si>
  <si>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</si>
  <si>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</si>
  <si>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</si>
  <si>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</si>
  <si>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</si>
  <si>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</si>
  <si>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</si>
  <si>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</si>
  <si>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</si>
  <si>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</si>
  <si>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</si>
  <si>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</si>
  <si>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</si>
  <si>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</si>
  <si>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</si>
  <si>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</si>
  <si>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</si>
  <si>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</si>
  <si>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</si>
  <si>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</si>
  <si>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</si>
  <si>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</si>
  <si>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</si>
  <si>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</si>
  <si>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</si>
  <si>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</si>
  <si>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</si>
  <si>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</si>
  <si>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</si>
  <si>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</si>
  <si>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</si>
  <si>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</si>
  <si>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</si>
  <si>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</si>
  <si>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</si>
  <si>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</si>
  <si>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</si>
  <si>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</si>
  <si>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</si>
  <si>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</si>
  <si>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</si>
  <si>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</si>
  <si>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</si>
  <si>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</si>
  <si>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</si>
  <si>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</si>
  <si>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</si>
  <si>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</si>
  <si>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</si>
  <si>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</si>
  <si>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</si>
  <si>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</si>
  <si>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</si>
  <si>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</si>
  <si>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</si>
  <si>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</si>
  <si>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</si>
  <si>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</si>
  <si>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</si>
  <si>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</si>
  <si>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</si>
  <si>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</si>
  <si>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</si>
  <si>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</si>
  <si>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</si>
  <si>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</si>
  <si>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</si>
  <si>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</si>
  <si>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</si>
  <si>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</si>
  <si>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</si>
  <si>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</si>
  <si>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</si>
  <si>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</si>
  <si>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</si>
  <si>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</si>
  <si>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</si>
  <si>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</si>
  <si>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</si>
  <si>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</si>
  <si>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</si>
  <si>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</si>
  <si>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</si>
  <si>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</si>
  <si>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</si>
  <si>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</si>
  <si>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</si>
  <si>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</si>
  <si>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</si>
  <si>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</si>
  <si>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</si>
  <si>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</si>
  <si>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</si>
  <si>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</si>
  <si>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</si>
  <si>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</si>
  <si>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</si>
  <si>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</si>
  <si>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</si>
  <si>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</si>
  <si>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</si>
  <si>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</si>
  <si>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</si>
  <si>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</si>
  <si>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</si>
  <si>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</si>
  <si>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</si>
  <si>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</si>
  <si>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</si>
  <si>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</si>
  <si>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</si>
  <si>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</si>
  <si>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</si>
  <si>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</si>
  <si>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</si>
  <si>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</si>
  <si>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</si>
  <si>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</si>
  <si>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</si>
  <si>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</si>
  <si>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</si>
  <si>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</si>
  <si>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</si>
  <si>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</si>
  <si>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</si>
  <si>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</si>
  <si>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</si>
  <si>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</si>
  <si>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</si>
  <si>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</si>
  <si>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</si>
  <si>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</si>
  <si>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</si>
  <si>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</si>
  <si>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</si>
  <si>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</si>
  <si>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</si>
  <si>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</si>
  <si>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</si>
  <si>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</si>
  <si>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</si>
  <si>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</si>
  <si>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</si>
  <si>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</si>
  <si>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</si>
  <si>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</si>
  <si>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</si>
  <si>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</si>
  <si>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</si>
  <si>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</si>
  <si>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</si>
  <si>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</si>
  <si>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</si>
  <si>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</si>
  <si>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</si>
  <si>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</si>
  <si>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</si>
  <si>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</si>
  <si>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</si>
  <si>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</si>
  <si>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</si>
  <si>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</si>
  <si>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</si>
  <si>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</si>
  <si>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</si>
  <si>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</si>
  <si>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</si>
  <si>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</si>
  <si>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</si>
  <si>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</si>
  <si>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</si>
  <si>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</si>
  <si>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</si>
  <si>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</si>
  <si>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</si>
  <si>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</si>
  <si>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</si>
  <si>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</si>
  <si>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</si>
  <si>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</si>
  <si>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</si>
  <si>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</si>
  <si>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</si>
  <si>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</si>
  <si>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</si>
  <si>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</si>
  <si>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</si>
  <si>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</si>
  <si>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</si>
  <si>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</si>
  <si>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</si>
  <si>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</si>
  <si>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</si>
  <si>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</si>
  <si>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</si>
  <si>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</si>
  <si>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</si>
  <si>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</si>
  <si>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</si>
  <si>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</si>
  <si>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</si>
  <si>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</si>
  <si>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</si>
  <si>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</si>
  <si>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</si>
  <si>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</si>
  <si>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</si>
  <si>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</si>
  <si>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</si>
  <si>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</si>
  <si>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</si>
  <si>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</si>
  <si>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</si>
  <si>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</si>
  <si>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</si>
  <si>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</si>
  <si>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</si>
  <si>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</si>
  <si>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</si>
  <si>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</si>
  <si>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</si>
  <si>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</si>
  <si>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</si>
  <si>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</si>
  <si>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</si>
  <si>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</si>
  <si>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</si>
  <si>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</si>
  <si>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</si>
  <si>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</si>
  <si>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</si>
  <si>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</si>
  <si>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</si>
  <si>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</si>
  <si>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</si>
  <si>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</si>
  <si>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</si>
  <si>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</si>
  <si>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</si>
  <si>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</si>
  <si>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</si>
  <si>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</si>
  <si>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</si>
  <si>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</si>
  <si>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</si>
  <si>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</si>
  <si>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</si>
  <si>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</si>
  <si>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</si>
  <si>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</si>
  <si>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</si>
  <si>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</si>
  <si>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</si>
  <si>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</si>
  <si>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</si>
  <si>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</si>
  <si>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</si>
  <si>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</si>
  <si>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</si>
  <si>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</si>
  <si>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</si>
  <si>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</si>
  <si>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</si>
  <si>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</si>
  <si>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</si>
  <si>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</si>
  <si>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</si>
  <si>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</si>
  <si>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</si>
  <si>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</si>
  <si>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</si>
  <si>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</si>
  <si>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</si>
  <si>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</si>
  <si>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</si>
  <si>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</si>
  <si>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</si>
  <si>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</si>
  <si>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</si>
  <si>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</si>
  <si>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</si>
  <si>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</si>
  <si>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</si>
  <si>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</si>
  <si>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</si>
  <si>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</si>
  <si>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</si>
  <si>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</si>
  <si>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</si>
  <si>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</si>
  <si>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</si>
  <si>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</si>
  <si>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</si>
  <si>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</si>
  <si>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</si>
  <si>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</si>
  <si>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</si>
  <si>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</si>
  <si>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</si>
  <si>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</si>
  <si>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</si>
  <si>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</si>
  <si>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</si>
  <si>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</si>
  <si>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</si>
  <si>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</si>
  <si>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</si>
  <si>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</si>
  <si>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</si>
  <si>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</si>
  <si>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</si>
  <si>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</si>
  <si>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</si>
  <si>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</si>
  <si>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</si>
  <si>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</si>
  <si>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</si>
  <si>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</si>
  <si>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</si>
  <si>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</si>
  <si>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</si>
  <si>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</si>
  <si>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</si>
  <si>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</si>
  <si>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</si>
  <si>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</si>
  <si>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</si>
  <si>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</si>
  <si>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</si>
  <si>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</si>
  <si>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</si>
  <si>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</si>
  <si>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</si>
  <si>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</si>
  <si>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</si>
  <si>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</si>
  <si>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</si>
  <si>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</si>
  <si>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</si>
  <si>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</si>
  <si>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</si>
  <si>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</si>
  <si>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</si>
  <si>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</si>
  <si>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</si>
  <si>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</si>
  <si>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</si>
  <si>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</si>
  <si>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</si>
  <si>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</si>
  <si>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</si>
  <si>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</si>
  <si>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</si>
  <si>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</si>
  <si>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</si>
  <si>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</si>
  <si>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</si>
  <si>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</si>
  <si>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</si>
  <si>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</si>
  <si>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</si>
  <si>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</si>
  <si>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</si>
  <si>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</si>
  <si>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</si>
  <si>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</si>
  <si>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</si>
  <si>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</si>
  <si>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</si>
  <si>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</si>
  <si>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</si>
  <si>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</si>
  <si>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</si>
  <si>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</si>
  <si>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</si>
  <si>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</si>
  <si>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</si>
  <si>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</si>
  <si>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</si>
  <si>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</si>
  <si>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</si>
  <si>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</si>
  <si>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</si>
  <si>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</si>
  <si>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</si>
  <si>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</si>
  <si>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</si>
  <si>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</si>
  <si>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</si>
  <si>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</si>
  <si>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</si>
  <si>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</si>
  <si>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</si>
  <si>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</si>
  <si>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</si>
  <si>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</si>
  <si>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</si>
  <si>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</si>
  <si>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</si>
  <si>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</si>
  <si>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</si>
  <si>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</si>
  <si>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</si>
  <si>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</si>
  <si>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</si>
  <si>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</si>
  <si>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</si>
  <si>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</si>
  <si>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</si>
  <si>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</si>
  <si>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</si>
  <si>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</si>
  <si>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</si>
  <si>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</si>
  <si>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</si>
  <si>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</si>
  <si>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</si>
  <si>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</si>
  <si>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</si>
  <si>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</si>
  <si>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</si>
  <si>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</si>
  <si>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</si>
  <si>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</si>
  <si>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</si>
  <si>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</si>
  <si>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</si>
  <si>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</si>
  <si>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</si>
  <si>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</si>
  <si>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</si>
  <si>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</si>
  <si>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</si>
  <si>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</si>
  <si>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</si>
  <si>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</si>
  <si>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</si>
  <si>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</si>
  <si>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</si>
  <si>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</si>
  <si>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</si>
  <si>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</si>
  <si>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</si>
  <si>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</si>
  <si>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</si>
  <si>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</si>
  <si>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</si>
  <si>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</si>
  <si>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</si>
  <si>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</si>
  <si>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</si>
  <si>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</si>
  <si>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</si>
  <si>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</si>
  <si>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</si>
  <si>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</si>
  <si>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</si>
  <si>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</si>
  <si>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</si>
  <si>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</si>
  <si>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</si>
  <si>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</si>
  <si>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</si>
  <si>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</si>
  <si>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</si>
  <si>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</si>
  <si>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</si>
  <si>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</si>
  <si>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</si>
  <si>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</si>
  <si>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</si>
  <si>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</si>
  <si>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</si>
  <si>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</si>
  <si>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</si>
  <si>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</si>
  <si>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</si>
  <si>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</si>
  <si>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</si>
  <si>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</si>
  <si>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</si>
  <si>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</si>
  <si>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</si>
  <si>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</si>
  <si>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</si>
  <si>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</si>
  <si>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</si>
  <si>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</si>
  <si>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</si>
  <si>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</si>
  <si>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</si>
  <si>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</si>
  <si>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</si>
  <si>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</si>
  <si>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</si>
  <si>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</si>
  <si>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</si>
  <si>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</si>
  <si>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</si>
  <si>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</si>
  <si>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</si>
  <si>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</si>
  <si>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</si>
  <si>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</si>
  <si>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</si>
  <si>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</si>
  <si>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</si>
  <si>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</si>
  <si>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</si>
  <si>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</si>
  <si>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</si>
  <si>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</si>
  <si>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</si>
  <si>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</si>
  <si>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</si>
  <si>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</si>
  <si>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</si>
  <si>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</si>
  <si>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</si>
  <si>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</si>
  <si>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</si>
  <si>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</si>
  <si>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</si>
  <si>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</si>
  <si>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</si>
  <si>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</si>
  <si>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</si>
  <si>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</si>
  <si>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</si>
  <si>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</si>
  <si>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</si>
  <si>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</si>
  <si>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</si>
  <si>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</si>
  <si>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</si>
  <si>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</si>
  <si>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</si>
  <si>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</si>
  <si>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</si>
  <si>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</si>
  <si>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</si>
  <si>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</si>
  <si>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</si>
  <si>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</si>
  <si>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</si>
  <si>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</si>
  <si>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</si>
  <si>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</si>
  <si>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</si>
  <si>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</si>
  <si>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</si>
  <si>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</si>
  <si>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</si>
  <si>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</si>
  <si>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</si>
  <si>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</si>
  <si>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</si>
  <si>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</si>
  <si>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</si>
  <si>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</si>
  <si>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</si>
  <si>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</si>
  <si>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</si>
  <si>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</si>
  <si>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</si>
  <si>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</si>
  <si>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</si>
  <si>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</si>
  <si>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</si>
  <si>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</si>
  <si>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</si>
  <si>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</si>
  <si>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</si>
  <si>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</si>
  <si>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</si>
  <si>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</si>
  <si>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</si>
  <si>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</si>
  <si>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</si>
  <si>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</si>
  <si>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</si>
  <si>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</si>
  <si>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</si>
  <si>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</si>
  <si>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</si>
  <si>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</si>
  <si>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</si>
  <si>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</si>
  <si>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</si>
  <si>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</si>
  <si>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</si>
  <si>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</si>
  <si>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</si>
  <si>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</si>
  <si>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</si>
  <si>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</si>
  <si>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</si>
  <si>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</si>
  <si>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</si>
  <si>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</si>
  <si>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</si>
  <si>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</si>
  <si>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</si>
  <si>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</si>
  <si>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</si>
  <si>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</si>
  <si>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</si>
  <si>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</si>
  <si>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</si>
  <si>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</si>
  <si>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</si>
  <si>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</si>
  <si>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</si>
  <si>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</si>
  <si>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</si>
  <si>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</si>
  <si>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</si>
  <si>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</si>
  <si>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</si>
  <si>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</si>
  <si>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</si>
  <si>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</si>
  <si>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</si>
  <si>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</si>
  <si>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</si>
  <si>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</si>
  <si>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</si>
  <si>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</si>
  <si>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</si>
  <si>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</si>
  <si>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</si>
  <si>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</si>
  <si>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</si>
  <si>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</si>
  <si>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</si>
  <si>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</si>
  <si>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</si>
  <si>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</si>
  <si>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</si>
  <si>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</si>
  <si>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</si>
  <si>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</si>
  <si>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</si>
  <si>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</si>
  <si>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</si>
  <si>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</si>
  <si>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</si>
  <si>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</si>
  <si>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</si>
  <si>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</si>
  <si>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</si>
  <si>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</si>
  <si>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</si>
  <si>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</si>
  <si>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</si>
  <si>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</si>
  <si>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</si>
  <si>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</si>
  <si>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</si>
  <si>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</si>
  <si>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</si>
  <si>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</si>
  <si>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</si>
  <si>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</si>
  <si>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</si>
  <si>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</si>
  <si>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</si>
  <si>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</si>
  <si>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</si>
  <si>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</si>
  <si>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</si>
  <si>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</si>
  <si>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</si>
  <si>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</si>
  <si>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</si>
  <si>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</si>
  <si>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</si>
  <si>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</si>
  <si>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</si>
  <si>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</si>
  <si>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</si>
  <si>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</si>
  <si>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</si>
  <si>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</si>
  <si>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</si>
  <si>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</si>
  <si>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</si>
  <si>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</si>
  <si>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</si>
  <si>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</si>
  <si>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</si>
  <si>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</si>
  <si>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</si>
  <si>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</si>
  <si>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</si>
  <si>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</si>
  <si>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</si>
  <si>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</si>
  <si>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</si>
  <si>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</si>
  <si>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</si>
  <si>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</si>
  <si>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</si>
  <si>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</si>
  <si>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</si>
  <si>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</si>
  <si>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</si>
  <si>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</si>
  <si>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</si>
  <si>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</si>
  <si>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</si>
  <si>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</si>
  <si>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</si>
  <si>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</si>
  <si>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</si>
  <si>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</si>
  <si>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</si>
  <si>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</si>
  <si>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</si>
  <si>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</si>
  <si>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</si>
  <si>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</si>
  <si>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</si>
  <si>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</si>
  <si>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</si>
  <si>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</si>
  <si>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</si>
  <si>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</si>
  <si>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</si>
  <si>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</si>
  <si>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</si>
  <si>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</si>
  <si>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</si>
  <si>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</si>
  <si>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</si>
  <si>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</si>
  <si>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</si>
  <si>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</si>
  <si>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</si>
  <si>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</si>
  <si>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</si>
  <si>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</si>
  <si>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</si>
  <si>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</si>
  <si>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</si>
  <si>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</si>
  <si>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</si>
  <si>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</si>
  <si>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</si>
  <si>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</si>
  <si>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</si>
  <si>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</si>
  <si>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</si>
  <si>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</si>
  <si>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</si>
  <si>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</si>
  <si>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</si>
  <si>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</si>
  <si>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</si>
  <si>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</si>
  <si>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</si>
  <si>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</si>
  <si>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</si>
  <si>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</si>
  <si>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</si>
  <si>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</si>
  <si>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</si>
  <si>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</si>
  <si>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</si>
  <si>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</si>
  <si>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</si>
  <si>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</si>
  <si>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</si>
  <si>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</si>
  <si>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</si>
  <si>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</si>
  <si>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</si>
  <si>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</si>
  <si>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</si>
  <si>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</si>
  <si>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</si>
  <si>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</si>
  <si>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</si>
  <si>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</si>
  <si>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</si>
  <si>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</si>
  <si>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</si>
  <si>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</si>
  <si>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</si>
  <si>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</si>
  <si>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</si>
  <si>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</si>
  <si>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</si>
  <si>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</si>
  <si>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</si>
  <si>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</si>
  <si>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</si>
  <si>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</si>
  <si>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</si>
  <si>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</si>
  <si>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</si>
  <si>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</si>
  <si>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</si>
  <si>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</si>
  <si>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</si>
  <si>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</si>
  <si>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</si>
  <si>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</si>
  <si>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</si>
  <si>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</si>
  <si>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</si>
  <si>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</si>
  <si>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</si>
  <si>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</si>
  <si>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</si>
  <si>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</si>
  <si>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</si>
  <si>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</si>
  <si>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</si>
  <si>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</si>
  <si>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</si>
  <si>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</si>
  <si>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</si>
  <si>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</si>
  <si>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</si>
  <si>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</si>
  <si>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</si>
  <si>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</si>
  <si>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</si>
  <si>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</si>
  <si>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</si>
  <si>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</si>
  <si>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</si>
  <si>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</si>
  <si>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</si>
  <si>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</si>
  <si>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</si>
  <si>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</si>
  <si>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</si>
  <si>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</si>
  <si>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</si>
  <si>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</si>
  <si>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</si>
  <si>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</si>
  <si>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</si>
  <si>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</si>
  <si>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</si>
  <si>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</si>
  <si>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</si>
  <si>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</si>
  <si>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</si>
  <si>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</si>
  <si>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</si>
  <si>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</si>
  <si>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</si>
  <si>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</si>
  <si>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</si>
  <si>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</si>
  <si>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</si>
  <si>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</si>
  <si>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</si>
  <si>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</si>
  <si>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</si>
  <si>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</si>
  <si>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</si>
  <si>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</si>
  <si>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</si>
  <si>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</si>
  <si>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</si>
  <si>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</si>
  <si>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</si>
  <si>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</si>
  <si>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</si>
  <si>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</si>
  <si>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</si>
  <si>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</si>
  <si>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</si>
  <si>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</si>
  <si>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</si>
  <si>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</si>
  <si>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</si>
  <si>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</si>
  <si>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</si>
  <si>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</si>
  <si>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</si>
  <si>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</si>
  <si>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</si>
  <si>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</si>
  <si>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</si>
  <si>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</si>
  <si>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</si>
  <si>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</si>
  <si>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</si>
  <si>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</si>
  <si>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</si>
  <si>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</si>
  <si>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</si>
  <si>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</si>
  <si>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</si>
  <si>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</si>
  <si>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</si>
  <si>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</si>
  <si>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</si>
  <si>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</si>
  <si>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</si>
  <si>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</si>
  <si>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</si>
  <si>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</si>
  <si>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</si>
  <si>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</si>
  <si>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</si>
  <si>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</si>
  <si>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</si>
  <si>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</si>
  <si>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</si>
  <si>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</si>
  <si>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</si>
  <si>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</si>
  <si>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</si>
  <si>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</si>
  <si>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</si>
  <si>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</si>
  <si>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</si>
  <si>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</si>
  <si>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</si>
  <si>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</si>
  <si>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</si>
  <si>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</si>
  <si>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</si>
  <si>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</si>
  <si>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</si>
  <si>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</si>
  <si>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</si>
  <si>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</si>
  <si>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</si>
  <si>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</si>
  <si>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</si>
  <si>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</si>
  <si>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</si>
  <si>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</si>
  <si>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</si>
  <si>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</si>
  <si>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</si>
  <si>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</si>
  <si>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</si>
  <si>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</si>
  <si>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</si>
  <si>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</si>
  <si>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</si>
  <si>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</si>
  <si>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</si>
  <si>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</si>
  <si>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</si>
  <si>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</si>
  <si>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</si>
  <si>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</si>
  <si>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</si>
  <si>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</si>
  <si>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</si>
  <si>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</si>
  <si>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</si>
  <si>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</si>
  <si>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</si>
  <si>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</si>
  <si>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</si>
  <si>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</si>
  <si>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</si>
  <si>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</si>
  <si>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</si>
  <si>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</si>
  <si>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</si>
  <si>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</si>
  <si>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</si>
  <si>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</si>
  <si>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</si>
  <si>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</si>
  <si>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</si>
  <si>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</si>
  <si>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</si>
  <si>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</si>
  <si>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</si>
  <si>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</si>
  <si>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</si>
  <si>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</si>
  <si>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</si>
  <si>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</si>
  <si>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</si>
  <si>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</si>
  <si>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</si>
  <si>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</si>
  <si>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</si>
  <si>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</si>
  <si>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</si>
  <si>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</si>
  <si>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</si>
  <si>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</si>
  <si>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</si>
  <si>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</si>
  <si>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</si>
  <si>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</si>
  <si>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</si>
  <si>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</si>
  <si>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</si>
  <si>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</si>
  <si>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</si>
  <si>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</si>
  <si>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</si>
  <si>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</si>
  <si>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</si>
  <si>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</si>
  <si>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</si>
  <si>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</si>
  <si>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</si>
  <si>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</si>
  <si>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</si>
  <si>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</si>
  <si>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</si>
  <si>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</si>
  <si>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</si>
  <si>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</si>
  <si>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</si>
  <si>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</si>
  <si>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</si>
  <si>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</si>
  <si>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</si>
  <si>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</si>
  <si>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</si>
  <si>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</si>
  <si>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</si>
  <si>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</si>
  <si>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</si>
  <si>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</si>
  <si>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</si>
  <si>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</si>
  <si>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</si>
  <si>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</si>
  <si>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</si>
  <si>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</si>
  <si>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</si>
  <si>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</si>
  <si>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</si>
  <si>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</si>
  <si>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</si>
  <si>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</si>
  <si>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</si>
  <si>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</si>
  <si>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</si>
  <si>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</si>
  <si>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</si>
  <si>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</si>
  <si>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</si>
  <si>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</si>
  <si>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</si>
  <si>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</si>
  <si>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</si>
  <si>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</si>
  <si>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</si>
  <si>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</si>
  <si>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</si>
  <si>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</si>
  <si>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</si>
  <si>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</si>
  <si>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</si>
  <si>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</si>
  <si>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</si>
  <si>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</si>
  <si>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</si>
  <si>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</si>
  <si>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</si>
  <si>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</si>
  <si>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</si>
  <si>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</si>
  <si>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</si>
  <si>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</si>
  <si>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</si>
  <si>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</si>
  <si>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</si>
  <si>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</si>
  <si>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</si>
  <si>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</si>
  <si>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</si>
  <si>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</si>
  <si>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</si>
  <si>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</si>
  <si>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</si>
  <si>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</si>
  <si>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</si>
  <si>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</si>
  <si>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</si>
  <si>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</si>
  <si>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</si>
  <si>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</si>
  <si>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</si>
  <si>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</si>
  <si>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</si>
  <si>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</si>
  <si>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</si>
  <si>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</si>
  <si>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</si>
  <si>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</si>
  <si>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</si>
  <si>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</si>
  <si>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</si>
  <si>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</si>
  <si>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</si>
  <si>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</si>
  <si>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</si>
  <si>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</si>
  <si>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</si>
  <si>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</si>
  <si>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</si>
  <si>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</si>
  <si>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</si>
  <si>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</si>
  <si>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</si>
  <si>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</si>
  <si>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</si>
  <si>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</si>
  <si>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</si>
  <si>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</si>
  <si>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</si>
  <si>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</si>
  <si>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</si>
  <si>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</si>
  <si>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</si>
  <si>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</si>
  <si>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</si>
  <si>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</si>
  <si>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</si>
  <si>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</si>
  <si>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</si>
  <si>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</si>
  <si>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</si>
  <si>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</si>
  <si>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</si>
  <si>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</si>
  <si>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</si>
  <si>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</si>
  <si>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</si>
  <si>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</si>
  <si>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</si>
  <si>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</si>
  <si>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</si>
  <si>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</si>
  <si>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</si>
  <si>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</si>
  <si>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</si>
  <si>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</si>
  <si>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</si>
  <si>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</si>
  <si>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</si>
  <si>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</si>
  <si>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</si>
  <si>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</si>
  <si>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</si>
  <si>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</si>
  <si>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</si>
  <si>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</si>
  <si>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</si>
  <si>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</si>
  <si>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</si>
  <si>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</si>
  <si>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</si>
  <si>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</si>
  <si>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</si>
  <si>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</si>
  <si>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</si>
  <si>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</si>
  <si>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</si>
  <si>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</si>
  <si>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</si>
  <si>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</si>
  <si>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</si>
  <si>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</si>
  <si>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</si>
  <si>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</si>
  <si>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</si>
  <si>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</si>
  <si>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</si>
  <si>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</si>
  <si>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</si>
  <si>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</si>
  <si>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</si>
  <si>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</si>
  <si>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</si>
  <si>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</si>
  <si>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</si>
  <si>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</si>
  <si>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</si>
  <si>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</si>
  <si>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</si>
  <si>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</si>
  <si>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</si>
  <si>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</si>
  <si>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</si>
  <si>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</si>
  <si>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</si>
  <si>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</si>
  <si>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</si>
  <si>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</si>
  <si>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</si>
  <si>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</si>
  <si>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</si>
  <si>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</si>
  <si>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</si>
  <si>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</si>
  <si>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</si>
  <si>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</si>
  <si>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</si>
  <si>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</si>
  <si>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</si>
  <si>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</si>
  <si>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</si>
  <si>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</si>
  <si>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</si>
  <si>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</si>
  <si>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</si>
  <si>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</si>
  <si>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</si>
  <si>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</si>
  <si>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</si>
  <si>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</si>
  <si>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</si>
  <si>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</si>
  <si>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</si>
  <si>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</si>
  <si>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</si>
  <si>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</si>
  <si>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</si>
  <si>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</si>
  <si>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</si>
  <si>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</si>
  <si>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</si>
  <si>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</si>
  <si>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</si>
  <si>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</si>
  <si>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</si>
  <si>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</si>
  <si>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</si>
  <si>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</si>
  <si>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</si>
  <si>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</si>
  <si>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</si>
  <si>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</si>
  <si>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</si>
  <si>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</si>
  <si>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</si>
  <si>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</si>
  <si>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</si>
  <si>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</si>
  <si>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</si>
  <si>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</si>
  <si>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</si>
  <si>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</si>
  <si>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</si>
  <si>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</si>
  <si>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</si>
  <si>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</si>
  <si>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</si>
  <si>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</si>
  <si>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</si>
  <si>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</si>
  <si>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</si>
  <si>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</si>
  <si>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</si>
  <si>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</si>
  <si>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</si>
  <si>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</si>
  <si>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</si>
  <si>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</si>
  <si>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</si>
  <si>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</si>
  <si>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</si>
  <si>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</si>
  <si>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</si>
  <si>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</si>
  <si>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</si>
  <si>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</si>
  <si>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</si>
  <si>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</si>
  <si>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</si>
  <si>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</si>
  <si>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</si>
  <si>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</si>
  <si>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</si>
  <si>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</si>
  <si>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</si>
  <si>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</si>
  <si>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</si>
  <si>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</si>
  <si>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</si>
  <si>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</si>
  <si>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</si>
  <si>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</si>
  <si>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</si>
  <si>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</si>
  <si>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</si>
  <si>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</si>
  <si>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</si>
  <si>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</si>
  <si>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</si>
  <si>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</si>
  <si>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</si>
  <si>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</si>
  <si>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</si>
  <si>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</si>
  <si>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</si>
  <si>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</si>
  <si>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</si>
  <si>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</si>
  <si>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</si>
  <si>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</si>
  <si>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</si>
  <si>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</si>
  <si>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</si>
  <si>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</si>
  <si>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</si>
  <si>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</si>
  <si>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</si>
  <si>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</si>
  <si>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</si>
  <si>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</si>
  <si>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</si>
  <si>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</si>
  <si>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</si>
  <si>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</si>
  <si>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</si>
  <si>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</si>
  <si>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</si>
  <si>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</si>
  <si>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</si>
  <si>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</si>
  <si>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</si>
  <si>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</si>
  <si>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</si>
  <si>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</si>
  <si>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</si>
  <si>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</si>
  <si>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</si>
  <si>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</si>
  <si>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</si>
  <si>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</si>
  <si>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</si>
  <si>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</si>
  <si>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</si>
  <si>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</si>
  <si>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</si>
  <si>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</si>
  <si>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</si>
  <si>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</si>
  <si>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</si>
  <si>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</si>
  <si>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</si>
  <si>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</si>
  <si>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</si>
  <si>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</si>
  <si>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</si>
  <si>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</si>
  <si>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</si>
  <si>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</si>
  <si>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</si>
  <si>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</si>
  <si>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</si>
  <si>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</si>
  <si>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</si>
  <si>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</si>
  <si>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</si>
  <si>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</si>
  <si>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</si>
  <si>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</si>
  <si>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</si>
  <si>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</si>
  <si>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</si>
  <si>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</si>
  <si>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</si>
  <si>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</si>
  <si>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</si>
  <si>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</si>
  <si>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</si>
  <si>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</si>
  <si>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</si>
  <si>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</si>
  <si>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</si>
  <si>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</si>
  <si>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</si>
  <si>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</si>
  <si>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</si>
  <si>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</si>
  <si>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</si>
  <si>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</si>
  <si>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</si>
  <si>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</si>
  <si>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</si>
  <si>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</si>
  <si>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</si>
  <si>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</si>
  <si>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</si>
  <si>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</si>
  <si>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</si>
  <si>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</si>
  <si>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</si>
  <si>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</si>
  <si>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</si>
  <si>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</si>
  <si>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</si>
  <si>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</si>
  <si>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</si>
  <si>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</si>
  <si>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</si>
  <si>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</si>
  <si>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</si>
  <si>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</si>
  <si>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</si>
  <si>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</si>
  <si>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</si>
  <si>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</si>
  <si>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</si>
  <si>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</si>
  <si>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</si>
  <si>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</si>
  <si>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</si>
  <si>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</si>
  <si>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</si>
  <si>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</si>
  <si>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</si>
  <si>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</si>
  <si>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</si>
  <si>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</si>
  <si>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</si>
  <si>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</si>
  <si>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</si>
  <si>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</si>
  <si>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</si>
  <si>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</si>
  <si>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</si>
  <si>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</si>
  <si>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</si>
  <si>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</si>
  <si>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</si>
  <si>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</si>
  <si>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</si>
  <si>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</si>
  <si>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</si>
  <si>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</si>
  <si>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</si>
  <si>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</si>
  <si>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</si>
  <si>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</si>
  <si>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</si>
  <si>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</si>
  <si>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</si>
  <si>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</si>
  <si>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</si>
  <si>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</si>
  <si>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</si>
  <si>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</si>
  <si>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</si>
  <si>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</si>
  <si>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</si>
  <si>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</si>
  <si>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</si>
  <si>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</si>
  <si>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</si>
  <si>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</si>
  <si>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</si>
  <si>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</si>
  <si>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</si>
  <si>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</si>
  <si>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</si>
  <si>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</si>
  <si>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</si>
  <si>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</si>
  <si>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</si>
  <si>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</si>
  <si>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</si>
  <si>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</si>
  <si>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</si>
  <si>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</si>
  <si>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</si>
  <si>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</si>
  <si>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</si>
  <si>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</si>
  <si>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</si>
  <si>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</si>
  <si>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</si>
  <si>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</si>
  <si>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</si>
  <si>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</si>
  <si>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</si>
  <si>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</si>
  <si>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</si>
  <si>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</si>
  <si>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</si>
  <si>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</si>
  <si>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</si>
  <si>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</si>
  <si>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</si>
  <si>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</si>
  <si>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</si>
  <si>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</si>
  <si>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</si>
  <si>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</si>
  <si>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</si>
  <si>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</si>
  <si>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</si>
  <si>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</si>
  <si>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</si>
  <si>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</si>
  <si>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</si>
  <si>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</si>
  <si>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</si>
  <si>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</si>
  <si>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</si>
  <si>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</si>
  <si>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</si>
  <si>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</si>
  <si>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</si>
  <si>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</si>
  <si>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</si>
  <si>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</si>
  <si>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</si>
  <si>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</si>
  <si>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</si>
  <si>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</si>
  <si>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</si>
  <si>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</si>
  <si>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</si>
  <si>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</si>
  <si>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</si>
  <si>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</si>
  <si>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</si>
  <si>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</si>
  <si>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</si>
  <si>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</si>
  <si>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</si>
  <si>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</si>
  <si>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</si>
  <si>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</si>
  <si>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</si>
  <si>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</si>
  <si>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</si>
  <si>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</si>
  <si>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</si>
  <si>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</si>
  <si>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</si>
  <si>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</si>
  <si>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</si>
  <si>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</si>
  <si>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</si>
  <si>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</si>
  <si>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</si>
  <si>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</si>
  <si>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</si>
  <si>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</si>
  <si>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</si>
  <si>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</si>
  <si>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</si>
  <si>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</si>
  <si>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</si>
  <si>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</si>
  <si>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</si>
  <si>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</si>
  <si>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</si>
  <si>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</si>
  <si>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</si>
  <si>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</si>
  <si>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</si>
  <si>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</si>
  <si>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</si>
  <si>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</si>
  <si>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</si>
  <si>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</si>
  <si>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</si>
  <si>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</si>
  <si>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</si>
  <si>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</si>
  <si>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</si>
  <si>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</si>
  <si>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</si>
  <si>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</si>
  <si>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</si>
  <si>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</si>
  <si>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</si>
  <si>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</si>
  <si>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</si>
  <si>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</si>
  <si>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</si>
  <si>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</si>
  <si>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</si>
  <si>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</si>
  <si>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</si>
  <si>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</si>
  <si>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</si>
  <si>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</si>
  <si>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</si>
  <si>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</si>
  <si>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</si>
  <si>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</si>
  <si>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</si>
  <si>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</si>
  <si>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</si>
  <si>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</si>
  <si>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</si>
  <si>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</si>
  <si>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</si>
  <si>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</si>
  <si>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</si>
  <si>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</si>
  <si>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</si>
  <si>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</si>
  <si>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</si>
  <si>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</si>
  <si>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</si>
  <si>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</si>
  <si>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</si>
  <si>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</si>
  <si>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</si>
  <si>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</si>
  <si>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</si>
  <si>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</si>
  <si>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</si>
  <si>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</si>
  <si>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</si>
  <si>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</si>
  <si>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</si>
  <si>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</si>
  <si>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</si>
  <si>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</si>
  <si>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</si>
  <si>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</si>
  <si>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</si>
  <si>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</si>
  <si>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</si>
  <si>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</si>
  <si>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</si>
  <si>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</si>
  <si>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</si>
  <si>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</si>
  <si>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</si>
  <si>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</si>
  <si>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</si>
  <si>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</si>
  <si>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</si>
  <si>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</si>
  <si>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</si>
  <si>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</si>
  <si>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</si>
  <si>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</si>
  <si>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</si>
  <si>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</si>
  <si>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</si>
  <si>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</si>
  <si>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</si>
  <si>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</si>
  <si>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</si>
  <si>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</si>
  <si>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</si>
  <si>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</si>
  <si>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</si>
  <si>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</si>
  <si>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</si>
  <si>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</si>
  <si>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</si>
  <si>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</si>
  <si>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</si>
  <si>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</si>
  <si>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</si>
  <si>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</si>
  <si>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</si>
  <si>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</si>
  <si>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</si>
  <si>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</si>
  <si>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</si>
  <si>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</si>
  <si>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</si>
  <si>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</si>
  <si>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</si>
  <si>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</si>
  <si>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</si>
  <si>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</si>
  <si>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</si>
  <si>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</si>
  <si>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</si>
  <si>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</si>
  <si>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</si>
  <si>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</si>
  <si>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</si>
  <si>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</si>
  <si>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</si>
  <si>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</si>
  <si>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</si>
  <si>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</si>
  <si>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</si>
  <si>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</si>
  <si>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</si>
  <si>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</si>
  <si>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</si>
  <si>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</si>
  <si>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</si>
  <si>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</si>
  <si>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</si>
  <si>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</si>
  <si>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</si>
  <si>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</si>
  <si>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</si>
  <si>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</si>
  <si>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</si>
  <si>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</si>
  <si>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</si>
  <si>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</si>
  <si>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</si>
  <si>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</si>
  <si>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</si>
  <si>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</si>
  <si>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</si>
  <si>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</si>
  <si>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</si>
  <si>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</si>
  <si>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</si>
  <si>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</si>
  <si>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</si>
  <si>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</si>
  <si>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</si>
  <si>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</si>
  <si>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</si>
  <si>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</si>
  <si>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</si>
  <si>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</si>
  <si>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</si>
  <si>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</si>
  <si>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</si>
  <si>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</si>
  <si>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</si>
  <si>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</si>
  <si>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</si>
  <si>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</si>
  <si>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</si>
  <si>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</si>
  <si>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</si>
  <si>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</si>
  <si>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</si>
  <si>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</si>
  <si>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</si>
  <si>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</si>
  <si>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</si>
  <si>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</si>
  <si>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</si>
  <si>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</si>
  <si>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</si>
  <si>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</si>
  <si>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</si>
  <si>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</si>
  <si>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</si>
  <si>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</si>
  <si>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</si>
  <si>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</si>
  <si>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</si>
  <si>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</si>
  <si>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</si>
  <si>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</si>
  <si>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</si>
  <si>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</si>
  <si>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</si>
  <si>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</si>
  <si>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</si>
  <si>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</si>
  <si>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</si>
  <si>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</si>
  <si>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</si>
  <si>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</si>
  <si>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</si>
  <si>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</si>
  <si>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</si>
  <si>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</si>
  <si>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</si>
  <si>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</si>
  <si>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</si>
  <si>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</si>
  <si>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</si>
  <si>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</si>
  <si>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</si>
  <si>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</si>
  <si>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</si>
  <si>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</si>
  <si>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</si>
  <si>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</si>
  <si>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</si>
  <si>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</si>
  <si>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</si>
  <si>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</si>
  <si>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</si>
  <si>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</si>
  <si>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</si>
  <si>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</si>
  <si>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</si>
  <si>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</si>
  <si>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</si>
  <si>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</si>
  <si>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</si>
  <si>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</si>
  <si>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</si>
  <si>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</si>
  <si>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</si>
  <si>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</si>
  <si>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</si>
  <si>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</si>
  <si>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</si>
  <si>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</si>
  <si>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</si>
  <si>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</si>
  <si>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</si>
  <si>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</si>
  <si>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</si>
  <si>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</si>
  <si>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</si>
  <si>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</si>
  <si>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</si>
  <si>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</si>
  <si>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</si>
  <si>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</si>
  <si>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</si>
  <si>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</si>
  <si>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</si>
  <si>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</si>
  <si>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</si>
  <si>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</si>
  <si>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</si>
  <si>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</si>
  <si>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</si>
  <si>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</si>
  <si>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</si>
  <si>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</si>
  <si>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</si>
  <si>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</si>
  <si>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</si>
  <si>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</si>
  <si>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</si>
  <si>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</si>
  <si>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</si>
  <si>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</si>
  <si>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</si>
  <si>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</si>
  <si>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</si>
  <si>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</si>
  <si>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</si>
  <si>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</si>
  <si>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</si>
  <si>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</si>
  <si>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</si>
  <si>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</si>
  <si>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</si>
  <si>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</si>
  <si>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</si>
  <si>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</si>
  <si>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</si>
  <si>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</si>
  <si>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</si>
  <si>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</si>
  <si>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</si>
  <si>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</si>
  <si>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</si>
  <si>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</si>
  <si>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</si>
  <si>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</si>
  <si>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</si>
  <si>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</si>
  <si>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</si>
  <si>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</si>
  <si>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</si>
  <si>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</si>
  <si>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</si>
  <si>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</si>
  <si>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</si>
  <si>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</si>
  <si>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</si>
  <si>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</si>
  <si>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</si>
  <si>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</si>
  <si>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</si>
  <si>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</si>
  <si>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</si>
  <si>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</si>
  <si>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</si>
  <si>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</si>
  <si>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</si>
  <si>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</si>
  <si>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</si>
  <si>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</si>
  <si>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</si>
  <si>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</si>
  <si>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</si>
  <si>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</si>
  <si>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</si>
  <si>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</si>
  <si>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</si>
  <si>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</si>
  <si>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</si>
  <si>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</si>
  <si>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</si>
  <si>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</si>
  <si>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</si>
  <si>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</si>
  <si>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</si>
  <si>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</si>
  <si>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</si>
  <si>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</si>
  <si>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</si>
  <si>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</si>
  <si>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</si>
  <si>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</si>
  <si>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</si>
  <si>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</si>
  <si>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</si>
  <si>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</si>
  <si>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</si>
  <si>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</si>
  <si>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</si>
  <si>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</si>
  <si>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</si>
  <si>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</si>
  <si>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</si>
  <si>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</si>
  <si>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</si>
  <si>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</si>
  <si>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</si>
  <si>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</si>
  <si>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</si>
  <si>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</si>
  <si>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</si>
  <si>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</si>
  <si>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</si>
  <si>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</si>
  <si>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</si>
  <si>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</si>
  <si>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</si>
  <si>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</si>
  <si>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</si>
  <si>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</si>
  <si>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</si>
  <si>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</si>
  <si>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</si>
  <si>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</si>
  <si>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</si>
  <si>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</si>
  <si>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</si>
  <si>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</si>
  <si>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</si>
  <si>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</si>
  <si>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</si>
  <si>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</si>
  <si>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</si>
  <si>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</si>
  <si>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</si>
  <si>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</si>
  <si>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</si>
  <si>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</si>
  <si>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</si>
  <si>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</si>
  <si>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</si>
  <si>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</si>
  <si>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</si>
  <si>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</si>
  <si>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</si>
  <si>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</si>
  <si>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</si>
  <si>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</si>
  <si>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</si>
  <si>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</si>
  <si>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</si>
  <si>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</si>
  <si>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</si>
  <si>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</si>
  <si>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</si>
  <si>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</si>
  <si>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</si>
  <si>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</si>
  <si>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</si>
  <si>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</si>
  <si>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</si>
  <si>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</si>
  <si>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</si>
  <si>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</si>
  <si>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</si>
  <si>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</si>
  <si>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</si>
  <si>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</si>
  <si>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</si>
  <si>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</si>
  <si>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</si>
  <si>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</si>
  <si>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</si>
  <si>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</si>
  <si>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</si>
  <si>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</si>
  <si>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</si>
  <si>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</si>
  <si>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</si>
  <si>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</si>
  <si>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</si>
  <si>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</si>
  <si>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</si>
  <si>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</si>
  <si>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</si>
  <si>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</si>
  <si>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</si>
  <si>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</si>
  <si>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</si>
  <si>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</si>
  <si>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</si>
  <si>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</si>
  <si>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</si>
  <si>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</si>
  <si>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</si>
  <si>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</si>
  <si>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</si>
  <si>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</si>
  <si>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</si>
  <si>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</si>
  <si>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</si>
  <si>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</si>
  <si>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</si>
  <si>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</si>
  <si>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</si>
  <si>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</si>
  <si>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</si>
  <si>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</si>
  <si>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</si>
  <si>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</si>
  <si>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</si>
  <si>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</si>
  <si>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</si>
  <si>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</si>
  <si>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</si>
  <si>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</si>
  <si>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</si>
  <si>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</si>
  <si>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</si>
  <si>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</si>
  <si>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</si>
  <si>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</si>
  <si>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</si>
  <si>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</si>
  <si>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</si>
  <si>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</si>
  <si>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</si>
  <si>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</si>
  <si>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</si>
  <si>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</si>
  <si>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</si>
  <si>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</si>
  <si>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</si>
  <si>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</si>
  <si>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</si>
  <si>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</si>
  <si>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</si>
  <si>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</si>
  <si>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</si>
  <si>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</si>
  <si>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</si>
  <si>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</si>
  <si>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</si>
  <si>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</si>
  <si>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</si>
  <si>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</si>
  <si>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</si>
  <si>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</si>
  <si>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</si>
  <si>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</si>
  <si>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</si>
  <si>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</si>
  <si>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</si>
  <si>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</si>
  <si>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</si>
  <si>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</si>
  <si>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</si>
  <si>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</si>
  <si>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</si>
  <si>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</si>
  <si>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</si>
  <si>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</si>
  <si>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</si>
  <si>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</si>
  <si>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</si>
  <si>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</si>
  <si>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</si>
  <si>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</si>
  <si>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</si>
  <si>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</si>
  <si>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</si>
  <si>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</si>
  <si>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</si>
  <si>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</si>
  <si>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</si>
  <si>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</si>
  <si>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</si>
  <si>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</si>
  <si>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</si>
  <si>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</si>
  <si>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</si>
  <si>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</si>
  <si>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</si>
  <si>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</si>
  <si>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</si>
  <si>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</si>
  <si>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</si>
  <si>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</si>
  <si>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</si>
  <si>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</si>
  <si>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</si>
  <si>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</si>
  <si>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</si>
  <si>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</si>
  <si>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</si>
  <si>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</si>
  <si>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</si>
  <si>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</si>
  <si>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</si>
  <si>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</si>
  <si>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</si>
  <si>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</si>
  <si>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</si>
  <si>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</si>
  <si>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</si>
  <si>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</si>
  <si>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</si>
  <si>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</si>
  <si>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</si>
  <si>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</si>
  <si>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</si>
  <si>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</si>
  <si>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</si>
  <si>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</si>
  <si>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</si>
  <si>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</si>
  <si>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</si>
  <si>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</si>
  <si>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</si>
  <si>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</si>
  <si>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</si>
  <si>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</si>
  <si>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</si>
  <si>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</si>
  <si>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</si>
  <si>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</si>
  <si>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</si>
  <si>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</si>
  <si>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</si>
  <si>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</si>
  <si>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</si>
  <si>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</si>
  <si>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</si>
  <si>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</si>
  <si>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</si>
  <si>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</si>
  <si>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</si>
  <si>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</si>
  <si>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</si>
  <si>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</si>
  <si>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</si>
  <si>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</si>
  <si>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</si>
  <si>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</si>
  <si>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</si>
  <si>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</si>
  <si>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</si>
  <si>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</si>
  <si>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</si>
  <si>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</si>
  <si>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</si>
  <si>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</si>
  <si>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</si>
  <si>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</si>
  <si>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</si>
  <si>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</si>
  <si>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</si>
  <si>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</si>
  <si>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</si>
  <si>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</si>
  <si>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</si>
  <si>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</si>
  <si>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</si>
  <si>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</si>
  <si>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</si>
  <si>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</si>
  <si>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</si>
  <si>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</si>
  <si>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</si>
  <si>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</si>
  <si>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</si>
  <si>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</si>
  <si>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</si>
  <si>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</si>
  <si>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</si>
  <si>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</si>
  <si>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</si>
  <si>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</si>
  <si>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</si>
  <si>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</si>
  <si>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</si>
  <si>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</si>
  <si>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</si>
  <si>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</si>
  <si>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</si>
  <si>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</si>
  <si>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</si>
  <si>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</si>
  <si>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</si>
  <si>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</si>
  <si>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</si>
  <si>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</si>
  <si>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</si>
  <si>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</si>
  <si>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</si>
  <si>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</si>
  <si>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</si>
  <si>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</si>
  <si>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</si>
  <si>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</si>
  <si>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</si>
  <si>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</si>
  <si>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</si>
  <si>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</si>
  <si>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</si>
  <si>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</si>
  <si>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</si>
  <si>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</si>
  <si>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</si>
  <si>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</si>
  <si>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</si>
  <si>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</si>
  <si>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</si>
  <si>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</si>
  <si>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</si>
  <si>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</si>
  <si>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</si>
  <si>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</si>
  <si>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</si>
  <si>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</si>
  <si>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</si>
  <si>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</si>
  <si>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</si>
  <si>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</si>
  <si>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</si>
  <si>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</si>
  <si>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</si>
  <si>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</si>
  <si>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</si>
  <si>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</si>
  <si>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</si>
  <si>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</si>
  <si>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</si>
  <si>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</si>
  <si>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</si>
  <si>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</si>
  <si>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</si>
  <si>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</si>
  <si>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</si>
  <si>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</si>
  <si>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</si>
  <si>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</si>
  <si>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</si>
  <si>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</si>
  <si>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</si>
  <si>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</si>
  <si>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</si>
  <si>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</si>
  <si>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</si>
  <si>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</si>
  <si>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</si>
  <si>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</si>
  <si>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</si>
  <si>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</si>
  <si>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</si>
  <si>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</si>
  <si>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</si>
  <si>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</si>
  <si>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</si>
  <si>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</si>
  <si>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</si>
  <si>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</si>
  <si>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</si>
  <si>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</si>
  <si>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</si>
  <si>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</si>
  <si>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</si>
  <si>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</si>
  <si>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</si>
  <si>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</si>
  <si>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</si>
  <si>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</si>
  <si>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</si>
  <si>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</si>
  <si>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</si>
  <si>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</si>
  <si>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</si>
  <si>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</si>
  <si>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</si>
  <si>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</si>
  <si>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</si>
  <si>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</si>
  <si>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</si>
  <si>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</si>
  <si>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</si>
  <si>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</si>
  <si>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</si>
  <si>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</si>
  <si>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</si>
  <si>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</si>
  <si>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</si>
  <si>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</si>
  <si>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</si>
  <si>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</si>
  <si>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</si>
  <si>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</si>
  <si>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</si>
  <si>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</si>
  <si>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</si>
  <si>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</si>
  <si>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</si>
  <si>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</si>
  <si>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</si>
  <si>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</si>
  <si>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</si>
  <si>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</si>
  <si>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</si>
  <si>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</si>
  <si>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</si>
  <si>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</si>
  <si>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</si>
  <si>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</si>
  <si>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</si>
  <si>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</si>
  <si>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</si>
  <si>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</si>
  <si>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</si>
  <si>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</si>
  <si>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</si>
  <si>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</si>
  <si>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</si>
  <si>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</si>
  <si>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</si>
  <si>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</si>
  <si>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</si>
  <si>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</si>
  <si>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</si>
  <si>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</si>
  <si>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</si>
  <si>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</si>
  <si>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</si>
  <si>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</si>
  <si>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</si>
  <si>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</si>
  <si>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</si>
  <si>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</si>
  <si>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</si>
  <si>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</si>
  <si>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</si>
  <si>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</si>
  <si>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</si>
  <si>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</si>
  <si>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</si>
  <si>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</si>
  <si>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</si>
  <si>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</si>
  <si>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</si>
  <si>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</si>
  <si>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</si>
  <si>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</si>
  <si>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</si>
  <si>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</si>
  <si>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</si>
  <si>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</si>
  <si>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</si>
  <si>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</si>
  <si>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</si>
  <si>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</si>
  <si>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</si>
  <si>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</si>
  <si>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</si>
  <si>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</si>
  <si>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</si>
  <si>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</si>
  <si>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</si>
  <si>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</si>
  <si>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</si>
  <si>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</si>
  <si>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</si>
  <si>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</si>
  <si>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</si>
  <si>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</si>
  <si>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</si>
  <si>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</si>
  <si>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</si>
  <si>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</si>
  <si>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</si>
  <si>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</si>
  <si>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</si>
  <si>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</si>
  <si>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</si>
  <si>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</si>
  <si>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</si>
  <si>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</si>
  <si>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</si>
  <si>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</si>
  <si>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</si>
  <si>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</si>
  <si>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</si>
  <si>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</si>
  <si>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</si>
  <si>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</si>
  <si>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</si>
  <si>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</si>
  <si>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</si>
  <si>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</si>
  <si>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</si>
  <si>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</si>
  <si>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</si>
  <si>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</si>
  <si>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</si>
  <si>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</si>
  <si>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</si>
  <si>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</si>
  <si>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</si>
  <si>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</si>
  <si>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</si>
  <si>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</si>
  <si>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</si>
  <si>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</si>
  <si>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</si>
  <si>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</si>
  <si>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</si>
  <si>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</si>
  <si>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</si>
  <si>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</si>
  <si>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</si>
  <si>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</si>
  <si>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</si>
  <si>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</si>
  <si>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</si>
  <si>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</si>
  <si>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</si>
  <si>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</si>
  <si>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</si>
  <si>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</si>
  <si>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</si>
  <si>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</si>
  <si>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</si>
  <si>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</si>
  <si>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</si>
  <si>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</si>
  <si>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</si>
  <si>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</si>
  <si>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</si>
  <si>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</si>
  <si>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</si>
  <si>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</si>
  <si>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</si>
  <si>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</si>
  <si>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</si>
  <si>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</si>
  <si>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</si>
  <si>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</si>
  <si>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</si>
  <si>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</si>
  <si>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</si>
  <si>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</si>
  <si>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</si>
  <si>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</si>
  <si>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</si>
  <si>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</si>
  <si>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</si>
  <si>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</si>
  <si>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</si>
  <si>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</si>
  <si>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</si>
  <si>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</si>
  <si>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</si>
  <si>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</si>
  <si>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</si>
  <si>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</si>
  <si>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</si>
  <si>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</si>
  <si>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</si>
  <si>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</si>
  <si>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</si>
  <si>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</si>
  <si>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</si>
  <si>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</si>
  <si>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</si>
  <si>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</si>
  <si>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</si>
  <si>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</si>
  <si>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</si>
  <si>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</si>
  <si>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</si>
  <si>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</si>
  <si>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</si>
  <si>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</si>
  <si>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</si>
  <si>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</si>
  <si>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</si>
  <si>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</si>
  <si>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</si>
  <si>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</si>
  <si>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</si>
  <si>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</si>
  <si>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</si>
  <si>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</si>
  <si>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</si>
  <si>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</si>
  <si>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</si>
  <si>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</si>
  <si>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</si>
  <si>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</si>
  <si>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</si>
  <si>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</si>
  <si>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</si>
  <si>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</si>
  <si>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</si>
  <si>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</si>
  <si>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</si>
  <si>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</si>
  <si>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</si>
  <si>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</si>
  <si>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</si>
  <si>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</si>
  <si>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</si>
  <si>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</si>
  <si>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</si>
  <si>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</si>
  <si>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</si>
  <si>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</si>
  <si>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</si>
  <si>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</si>
  <si>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</si>
  <si>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</si>
  <si>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</si>
  <si>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</si>
  <si>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</si>
  <si>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</si>
  <si>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</si>
  <si>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</si>
  <si>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</si>
  <si>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</si>
  <si>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</si>
  <si>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</si>
  <si>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</si>
  <si>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</si>
  <si>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</si>
  <si>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</si>
  <si>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</si>
  <si>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</si>
  <si>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</si>
  <si>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</si>
  <si>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</si>
  <si>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</si>
  <si>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</si>
  <si>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</si>
  <si>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</si>
  <si>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</si>
  <si>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</si>
  <si>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</si>
  <si>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</si>
  <si>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</si>
  <si>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</si>
  <si>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</si>
  <si>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</si>
  <si>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</si>
  <si>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</si>
  <si>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</si>
  <si>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</si>
  <si>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</si>
  <si>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</si>
  <si>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</si>
  <si>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</si>
  <si>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</si>
  <si>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</si>
  <si>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</si>
  <si>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</si>
  <si>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</si>
  <si>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</si>
  <si>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</si>
  <si>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</si>
  <si>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</si>
  <si>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</si>
  <si>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</si>
  <si>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</si>
  <si>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</si>
  <si>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</si>
  <si>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</si>
  <si>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</si>
  <si>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</si>
  <si>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</si>
  <si>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</si>
  <si>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</si>
  <si>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</si>
  <si>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</si>
  <si>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</si>
  <si>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</si>
  <si>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</si>
  <si>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</si>
  <si>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</si>
  <si>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</si>
  <si>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</si>
  <si>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</si>
  <si>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</si>
  <si>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</si>
  <si>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</si>
  <si>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</si>
  <si>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</si>
  <si>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</si>
  <si>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</si>
  <si>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</si>
  <si>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</si>
  <si>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</si>
  <si>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</si>
  <si>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</si>
  <si>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</si>
  <si>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</si>
  <si>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</si>
  <si>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</si>
  <si>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</si>
  <si>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</si>
  <si>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</si>
  <si>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</si>
  <si>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</si>
  <si>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</si>
  <si>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</si>
  <si>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</si>
  <si>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</si>
  <si>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</si>
  <si>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</si>
  <si>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</si>
  <si>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</si>
  <si>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</si>
  <si>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</si>
  <si>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</si>
  <si>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</si>
  <si>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</si>
  <si>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</si>
  <si>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</si>
  <si>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</si>
  <si>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</si>
  <si>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</si>
  <si>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</si>
  <si>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</si>
  <si>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</si>
  <si>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</si>
  <si>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</si>
  <si>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</si>
  <si>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</si>
  <si>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</si>
  <si>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</si>
  <si>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</si>
  <si>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</si>
  <si>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</si>
  <si>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</si>
  <si>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</si>
  <si>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</si>
  <si>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</si>
  <si>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</si>
  <si>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</si>
  <si>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</si>
  <si>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</si>
  <si>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</si>
  <si>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</si>
  <si>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</si>
  <si>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</si>
  <si>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</si>
  <si>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</si>
  <si>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</si>
  <si>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</si>
  <si>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</si>
  <si>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</si>
  <si>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</si>
  <si>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</si>
  <si>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</si>
  <si>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</si>
  <si>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</si>
  <si>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</si>
  <si>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</si>
  <si>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</si>
  <si>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</si>
  <si>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</si>
  <si>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</si>
  <si>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</si>
  <si>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</si>
  <si>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</si>
  <si>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</si>
  <si>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</si>
  <si>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</si>
  <si>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</si>
  <si>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</si>
  <si>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</si>
  <si>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</si>
  <si>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</si>
  <si>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</si>
  <si>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</si>
  <si>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</si>
  <si>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</si>
  <si>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</si>
  <si>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</si>
  <si>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</si>
  <si>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</si>
  <si>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</si>
  <si>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</si>
  <si>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</si>
  <si>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</si>
  <si>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</si>
  <si>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</si>
  <si>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</si>
  <si>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</si>
  <si>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</si>
  <si>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</si>
  <si>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</si>
  <si>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</si>
  <si>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</si>
  <si>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</si>
  <si>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</si>
  <si>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</si>
  <si>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</si>
  <si>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</si>
  <si>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</si>
  <si>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</si>
  <si>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</si>
  <si>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</si>
  <si>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</si>
  <si>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</si>
  <si>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</si>
  <si>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</si>
  <si>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</si>
  <si>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</si>
  <si>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</si>
  <si>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</si>
  <si>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</si>
  <si>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</si>
  <si>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</si>
  <si>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</si>
  <si>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</si>
  <si>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</si>
  <si>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</si>
  <si>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</si>
  <si>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</si>
  <si>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</si>
  <si>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</si>
  <si>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</si>
  <si>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</si>
  <si>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</si>
  <si>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</si>
  <si>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</si>
  <si>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</si>
  <si>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</si>
  <si>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</si>
  <si>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</si>
  <si>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</si>
  <si>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</si>
  <si>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</si>
  <si>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</si>
  <si>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</si>
  <si>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</si>
  <si>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</si>
  <si>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</si>
  <si>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</si>
  <si>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</si>
  <si>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</si>
  <si>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</si>
  <si>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</si>
  <si>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</si>
  <si>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</si>
  <si>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</si>
  <si>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</si>
  <si>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</si>
  <si>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</si>
  <si>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</si>
  <si>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</si>
  <si>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</si>
  <si>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</si>
  <si>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</si>
  <si>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</si>
  <si>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</si>
  <si>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</si>
  <si>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</si>
  <si>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</si>
  <si>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</si>
  <si>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</si>
  <si>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</si>
  <si>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</si>
  <si>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</si>
  <si>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</si>
  <si>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</si>
  <si>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</si>
  <si>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</si>
  <si>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</si>
  <si>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</si>
  <si>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</si>
  <si>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</si>
  <si>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</si>
  <si>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</si>
  <si>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</si>
  <si>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</si>
  <si>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</si>
  <si>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</si>
  <si>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</si>
  <si>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</si>
  <si>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</si>
  <si>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</si>
  <si>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</si>
  <si>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</si>
  <si>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</si>
  <si>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</si>
  <si>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</si>
  <si>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</si>
  <si>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</si>
  <si>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</si>
  <si>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</si>
  <si>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</si>
  <si>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</si>
  <si>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</si>
  <si>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</si>
  <si>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</si>
  <si>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</si>
  <si>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</si>
  <si>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</si>
  <si>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</si>
  <si>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</si>
  <si>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</si>
  <si>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</si>
  <si>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</si>
  <si>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</si>
  <si>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</si>
  <si>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</si>
  <si>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</si>
  <si>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</si>
  <si>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</si>
  <si>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</si>
  <si>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</si>
  <si>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</si>
  <si>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</si>
  <si>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</si>
  <si>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</si>
  <si>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</si>
  <si>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</si>
  <si>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</si>
  <si>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</si>
  <si>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</si>
  <si>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</si>
  <si>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</si>
  <si>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</si>
  <si>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</si>
  <si>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</si>
  <si>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</si>
  <si>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</si>
  <si>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</si>
  <si>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</si>
  <si>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</si>
  <si>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</si>
  <si>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</si>
  <si>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</si>
  <si>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</si>
  <si>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</si>
  <si>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</si>
  <si>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</si>
  <si>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</si>
  <si>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</si>
  <si>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</si>
  <si>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</si>
  <si>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</si>
  <si>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</si>
  <si>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</si>
  <si>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</si>
  <si>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</si>
  <si>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</si>
  <si>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</si>
  <si>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</si>
  <si>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</si>
  <si>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</si>
  <si>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</si>
  <si>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</si>
  <si>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</si>
  <si>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</si>
  <si>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</si>
  <si>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</si>
  <si>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</si>
  <si>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</si>
  <si>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</si>
  <si>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</si>
  <si>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</si>
  <si>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</si>
  <si>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</si>
  <si>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</si>
  <si>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</si>
  <si>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</si>
  <si>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</si>
  <si>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</si>
  <si>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</si>
  <si>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</si>
  <si>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</si>
  <si>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</si>
  <si>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</si>
  <si>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</si>
  <si>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</si>
  <si>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</si>
  <si>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</si>
  <si>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</si>
  <si>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</si>
  <si>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</si>
  <si>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</si>
  <si>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</si>
  <si>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</si>
  <si>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</si>
  <si>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</si>
  <si>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</si>
  <si>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</si>
  <si>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</si>
  <si>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</si>
  <si>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</si>
  <si>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</si>
  <si>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</si>
  <si>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</si>
  <si>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</si>
  <si>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</si>
  <si>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</si>
  <si>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</si>
  <si>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</si>
  <si>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</si>
  <si>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</si>
  <si>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</si>
  <si>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</si>
  <si>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</si>
  <si>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</si>
  <si>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</si>
  <si>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</si>
  <si>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</si>
  <si>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</si>
  <si>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</si>
  <si>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</si>
  <si>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</si>
  <si>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</si>
  <si>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</si>
  <si>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</si>
  <si>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</si>
  <si>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</si>
  <si>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</si>
  <si>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</si>
  <si>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</si>
  <si>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</si>
  <si>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</si>
  <si>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</si>
  <si>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</si>
  <si>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</si>
  <si>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</si>
  <si>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</si>
  <si>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</si>
  <si>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</si>
  <si>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</si>
  <si>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</si>
  <si>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</si>
  <si>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</si>
  <si>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</si>
  <si>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</si>
  <si>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</si>
  <si>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</si>
  <si>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</si>
  <si>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</si>
  <si>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</si>
  <si>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</si>
  <si>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</si>
  <si>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</si>
  <si>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</si>
  <si>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</si>
  <si>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</si>
  <si>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</si>
  <si>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</si>
  <si>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</si>
  <si>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</si>
  <si>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</si>
  <si>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</si>
  <si>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</si>
  <si>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</si>
  <si>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</si>
  <si>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</si>
  <si>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</si>
  <si>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</si>
  <si>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</si>
  <si>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</si>
  <si>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</si>
  <si>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</si>
  <si>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</si>
  <si>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</si>
  <si>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</si>
  <si>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</si>
  <si>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</si>
  <si>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</si>
  <si>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</si>
  <si>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</si>
  <si>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</si>
  <si>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</si>
  <si>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</si>
  <si>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</si>
  <si>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</si>
  <si>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</si>
  <si>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</si>
  <si>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</si>
  <si>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</si>
  <si>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</si>
  <si>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</si>
  <si>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</si>
  <si>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</si>
  <si>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</si>
  <si>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</si>
  <si>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</si>
  <si>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</si>
  <si>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</si>
  <si>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</si>
  <si>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</si>
  <si>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</si>
  <si>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</si>
  <si>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</si>
  <si>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</si>
  <si>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</si>
  <si>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</si>
  <si>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</si>
  <si>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</si>
  <si>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</si>
  <si>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</si>
  <si>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</si>
  <si>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</si>
  <si>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</si>
  <si>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</si>
  <si>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</si>
  <si>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</si>
  <si>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</si>
  <si>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</si>
  <si>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</si>
  <si>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</si>
  <si>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</si>
  <si>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</si>
  <si>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</si>
  <si>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</si>
  <si>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</si>
  <si>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</si>
  <si>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</si>
  <si>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</si>
  <si>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</si>
  <si>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</si>
  <si>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</si>
  <si>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</si>
  <si>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</si>
  <si>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</si>
  <si>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</si>
  <si>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</si>
  <si>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</si>
  <si>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</si>
  <si>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</si>
  <si>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</si>
  <si>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</si>
  <si>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</si>
  <si>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</si>
  <si>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</si>
  <si>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</si>
  <si>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</si>
  <si>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</si>
  <si>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</si>
  <si>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</si>
  <si>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</si>
  <si>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</si>
  <si>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</si>
  <si>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</si>
  <si>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</si>
  <si>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</si>
  <si>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</si>
  <si>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</si>
  <si>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</si>
  <si>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</si>
  <si>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</si>
  <si>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</si>
  <si>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</si>
  <si>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</si>
  <si>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</si>
  <si>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</si>
  <si>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</si>
  <si>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</si>
  <si>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</si>
  <si>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</si>
  <si>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</si>
  <si>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</si>
  <si>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</si>
  <si>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</si>
  <si>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</si>
  <si>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</si>
  <si>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</si>
  <si>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</si>
  <si>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</si>
  <si>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</si>
  <si>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</si>
  <si>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</si>
  <si>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</si>
  <si>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</si>
  <si>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</si>
  <si>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</si>
  <si>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</si>
  <si>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</si>
  <si>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</si>
  <si>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</si>
  <si>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</si>
  <si>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</si>
  <si>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</si>
  <si>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</si>
  <si>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</si>
  <si>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</si>
  <si>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</si>
  <si>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</si>
  <si>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</si>
  <si>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</si>
  <si>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</si>
  <si>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</si>
  <si>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</si>
  <si>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</si>
  <si>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</si>
  <si>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</si>
  <si>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</si>
  <si>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</si>
  <si>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</si>
  <si>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</si>
  <si>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</si>
  <si>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</si>
  <si>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</si>
  <si>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</si>
  <si>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</si>
  <si>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</si>
  <si>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</si>
  <si>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</si>
  <si>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</si>
  <si>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</si>
  <si>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</si>
  <si>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</si>
  <si>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</si>
  <si>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</si>
  <si>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</si>
  <si>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</si>
  <si>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</si>
  <si>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</si>
  <si>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</si>
  <si>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</si>
  <si>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</si>
  <si>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</si>
  <si>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</si>
  <si>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</si>
  <si>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</si>
  <si>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</si>
  <si>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</si>
  <si>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</si>
  <si>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</si>
  <si>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</si>
  <si>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</si>
  <si>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</si>
  <si>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</si>
  <si>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</si>
  <si>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</si>
  <si>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</si>
  <si>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</si>
  <si>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</si>
  <si>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</si>
  <si>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</si>
  <si>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</si>
  <si>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</si>
  <si>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</si>
  <si>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</si>
  <si>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</si>
  <si>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</si>
  <si>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</si>
  <si>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</si>
  <si>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</si>
  <si>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</si>
  <si>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</si>
  <si>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</si>
  <si>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</si>
  <si>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</si>
  <si>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</si>
  <si>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</si>
  <si>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</si>
  <si>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</si>
  <si>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</si>
  <si>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</si>
  <si>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</si>
  <si>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</si>
  <si>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</si>
  <si>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</si>
  <si>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</si>
  <si>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</si>
  <si>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</si>
  <si>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</si>
  <si>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</si>
  <si>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</si>
  <si>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</si>
  <si>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</si>
  <si>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</si>
  <si>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</si>
  <si>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</si>
  <si>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</si>
  <si>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</si>
  <si>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</si>
  <si>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</si>
  <si>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</si>
  <si>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</si>
  <si>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</si>
  <si>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</si>
  <si>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</si>
  <si>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</si>
  <si>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</si>
  <si>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</si>
  <si>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</si>
  <si>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</si>
  <si>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</si>
  <si>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</si>
  <si>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</si>
  <si>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</si>
  <si>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</si>
  <si>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</si>
  <si>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</si>
  <si>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</si>
  <si>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</si>
  <si>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</si>
  <si>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</si>
  <si>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</si>
  <si>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</si>
  <si>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</si>
  <si>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</si>
  <si>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</si>
  <si>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</si>
  <si>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</si>
  <si>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</si>
  <si>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</si>
  <si>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</si>
  <si>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</si>
  <si>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</si>
  <si>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</si>
  <si>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</si>
  <si>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</si>
  <si>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</si>
  <si>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</si>
  <si>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</si>
  <si>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</si>
  <si>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</si>
  <si>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</si>
  <si>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</si>
  <si>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</si>
  <si>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</si>
  <si>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</si>
  <si>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</si>
  <si>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</si>
  <si>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</si>
  <si>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</si>
  <si>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</si>
  <si>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</si>
  <si>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</si>
  <si>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</si>
  <si>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</si>
  <si>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</si>
  <si>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</si>
  <si>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</si>
  <si>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</si>
  <si>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</si>
  <si>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</si>
  <si>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</si>
  <si>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</si>
  <si>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</si>
  <si>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</si>
  <si>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</si>
  <si>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</si>
  <si>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</si>
  <si>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</si>
  <si>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</si>
  <si>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</si>
  <si>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</si>
  <si>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</si>
  <si>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</si>
  <si>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</si>
  <si>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</si>
  <si>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</si>
  <si>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</si>
  <si>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</si>
  <si>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</si>
  <si>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</si>
  <si>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</si>
  <si>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</si>
  <si>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</si>
  <si>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</si>
  <si>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</si>
  <si>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</si>
  <si>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</si>
  <si>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</si>
  <si>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</si>
  <si>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</si>
  <si>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</si>
  <si>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</si>
  <si>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</si>
  <si>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</si>
  <si>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</si>
  <si>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</si>
  <si>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</si>
  <si>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</si>
  <si>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</si>
  <si>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</si>
  <si>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</si>
  <si>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</si>
  <si>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</si>
  <si>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</si>
  <si>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</si>
  <si>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</si>
  <si>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</si>
  <si>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</si>
  <si>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</si>
  <si>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</si>
  <si>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</si>
  <si>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</si>
  <si>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</si>
  <si>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</si>
  <si>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</si>
  <si>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</si>
  <si>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</si>
  <si>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</si>
  <si>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</si>
  <si>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</si>
  <si>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</si>
  <si>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</si>
  <si>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</si>
  <si>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</si>
  <si>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</si>
  <si>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</si>
  <si>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</si>
  <si>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</si>
  <si>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</si>
  <si>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</si>
  <si>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</si>
  <si>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</si>
  <si>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</si>
  <si>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</si>
  <si>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</si>
  <si>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</si>
  <si>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</si>
  <si>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</si>
  <si>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</si>
  <si>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</si>
  <si>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</si>
  <si>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</si>
  <si>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</si>
  <si>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</si>
  <si>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</si>
  <si>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</si>
  <si>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</si>
  <si>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</si>
  <si>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</si>
  <si>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</si>
  <si>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</si>
  <si>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</si>
  <si>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</si>
  <si>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</si>
  <si>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</si>
  <si>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</si>
  <si>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</si>
  <si>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</si>
  <si>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</si>
  <si>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</si>
  <si>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</si>
  <si>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</si>
  <si>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</si>
  <si>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</si>
  <si>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</si>
  <si>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</si>
  <si>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</si>
  <si>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</si>
  <si>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</si>
  <si>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</si>
  <si>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</si>
  <si>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</si>
  <si>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</si>
  <si>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</si>
  <si>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</si>
  <si>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</si>
  <si>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</si>
  <si>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</si>
  <si>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</si>
  <si>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</si>
  <si>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</si>
  <si>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</si>
  <si>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</si>
  <si>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</si>
  <si>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</si>
  <si>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</si>
  <si>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</si>
  <si>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</si>
  <si>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</si>
  <si>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</si>
  <si>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</si>
  <si>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</si>
  <si>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</si>
  <si>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</si>
  <si>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</si>
  <si>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</si>
  <si>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</si>
  <si>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</si>
  <si>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</si>
  <si>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</si>
  <si>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</si>
  <si>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</si>
  <si>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</si>
  <si>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</si>
  <si>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</si>
  <si>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</si>
  <si>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</si>
  <si>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</si>
  <si>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</si>
  <si>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</si>
  <si>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</si>
  <si>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</si>
  <si>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</si>
  <si>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</si>
  <si>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</si>
  <si>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</si>
  <si>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</si>
  <si>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</si>
  <si>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</si>
  <si>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</si>
  <si>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</si>
  <si>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</si>
  <si>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</si>
  <si>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</si>
  <si>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</si>
  <si>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</si>
  <si>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</si>
  <si>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</si>
  <si>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</si>
  <si>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</si>
  <si>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</si>
  <si>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</si>
  <si>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</si>
  <si>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</si>
  <si>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</si>
  <si>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</si>
  <si>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</si>
  <si>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</si>
  <si>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</si>
  <si>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</si>
  <si>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</si>
  <si>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</si>
  <si>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</si>
  <si>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</si>
  <si>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</si>
  <si>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</si>
  <si>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</si>
  <si>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</si>
  <si>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</si>
  <si>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</si>
  <si>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</si>
  <si>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</si>
  <si>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</si>
  <si>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</si>
  <si>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</si>
  <si>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</si>
  <si>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</si>
  <si>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</si>
  <si>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</si>
  <si>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</si>
  <si>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</si>
  <si>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</si>
  <si>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</si>
  <si>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</si>
  <si>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</si>
  <si>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</si>
  <si>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</si>
  <si>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</si>
  <si>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</si>
  <si>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</si>
  <si>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</si>
  <si>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</si>
  <si>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</si>
  <si>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</si>
  <si>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</si>
  <si>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</si>
  <si>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</si>
  <si>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</si>
  <si>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</si>
  <si>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</si>
  <si>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</si>
  <si>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</si>
  <si>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</si>
  <si>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</si>
  <si>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</si>
  <si>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</si>
  <si>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</si>
  <si>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</si>
  <si>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</si>
  <si>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</si>
  <si>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</si>
  <si>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</si>
  <si>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</si>
  <si>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</si>
  <si>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</si>
  <si>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</si>
  <si>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</si>
  <si>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</si>
  <si>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</si>
  <si>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</si>
  <si>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</si>
  <si>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</si>
  <si>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</si>
  <si>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</si>
  <si>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</si>
  <si>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</si>
  <si>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</si>
  <si>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</si>
  <si>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</si>
  <si>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</si>
  <si>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</si>
  <si>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</si>
  <si>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</si>
  <si>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</si>
  <si>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</si>
  <si>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</si>
  <si>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</si>
  <si>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</si>
  <si>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</si>
  <si>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</si>
  <si>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</si>
  <si>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</si>
  <si>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</si>
  <si>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</si>
  <si>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</si>
  <si>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</si>
  <si>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</si>
  <si>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</si>
  <si>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</si>
  <si>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</si>
  <si>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</si>
  <si>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</si>
  <si>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</si>
  <si>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</si>
  <si>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</si>
  <si>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</si>
  <si>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</si>
  <si>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</si>
  <si>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</si>
  <si>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</si>
  <si>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</si>
  <si>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</si>
  <si>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</si>
  <si>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</si>
  <si>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</si>
  <si>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</si>
  <si>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</si>
  <si>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</si>
  <si>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</si>
  <si>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</si>
  <si>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</si>
  <si>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</si>
  <si>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</si>
  <si>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</si>
  <si>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</si>
  <si>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</si>
  <si>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</si>
  <si>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</si>
  <si>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</si>
  <si>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</si>
  <si>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</si>
  <si>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</si>
  <si>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</si>
  <si>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</si>
  <si>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</si>
  <si>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</si>
  <si>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</si>
  <si>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</si>
  <si>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</si>
  <si>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</si>
  <si>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</si>
  <si>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</si>
  <si>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</si>
  <si>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</si>
  <si>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</si>
  <si>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</si>
  <si>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</si>
  <si>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</si>
  <si>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</si>
  <si>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</si>
  <si>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</si>
  <si>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</si>
  <si>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</si>
  <si>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</si>
  <si>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</si>
  <si>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</si>
  <si>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</si>
  <si>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</si>
  <si>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</si>
  <si>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</si>
  <si>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</si>
  <si>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</si>
  <si>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</si>
  <si>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</si>
  <si>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</si>
  <si>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</si>
  <si>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</si>
  <si>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</si>
  <si>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</si>
  <si>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</si>
  <si>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</si>
  <si>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</si>
  <si>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</si>
  <si>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</si>
  <si>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</si>
  <si>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</si>
  <si>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</si>
  <si>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</si>
  <si>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</si>
  <si>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</si>
  <si>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</si>
  <si>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</si>
  <si>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</si>
  <si>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</si>
  <si>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</si>
  <si>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</si>
  <si>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</si>
  <si>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</si>
  <si>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</si>
  <si>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</si>
  <si>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</si>
  <si>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</si>
  <si>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</si>
  <si>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</si>
  <si>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</si>
  <si>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</si>
  <si>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</si>
  <si>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</si>
  <si>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</si>
  <si>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</si>
  <si>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</si>
  <si>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</si>
  <si>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</si>
  <si>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</si>
  <si>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</si>
  <si>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</si>
  <si>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</si>
  <si>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</si>
  <si>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</si>
  <si>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</si>
  <si>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</si>
  <si>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</si>
  <si>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</si>
  <si>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</si>
  <si>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</si>
  <si>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</si>
  <si>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</si>
  <si>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</si>
  <si>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</si>
  <si>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</si>
  <si>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</si>
  <si>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</si>
  <si>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</si>
  <si>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</si>
  <si>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</si>
  <si>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</si>
  <si>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</si>
  <si>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</si>
  <si>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</si>
  <si>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</si>
  <si>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</si>
  <si>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</si>
  <si>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</si>
  <si>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</si>
  <si>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</si>
  <si>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</si>
  <si>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</si>
  <si>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</si>
  <si>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</si>
  <si>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</si>
  <si>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</si>
  <si>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</si>
  <si>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</si>
  <si>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</si>
  <si>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</si>
  <si>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</si>
  <si>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</si>
  <si>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</si>
  <si>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</si>
  <si>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</si>
  <si>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</si>
  <si>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</si>
  <si>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</si>
  <si>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</si>
  <si>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</si>
  <si>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</si>
  <si>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</si>
  <si>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</si>
  <si>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</si>
  <si>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</si>
  <si>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</si>
  <si>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</si>
  <si>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</si>
  <si>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</si>
  <si>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</si>
  <si>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</si>
  <si>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</si>
  <si>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</si>
  <si>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</si>
  <si>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</si>
  <si>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</si>
  <si>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</si>
  <si>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</si>
  <si>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</si>
  <si>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</si>
  <si>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</si>
  <si>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</si>
  <si>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</si>
  <si>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</si>
  <si>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</si>
  <si>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</si>
  <si>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</si>
  <si>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</si>
  <si>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</si>
  <si>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</si>
  <si>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</si>
  <si>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</si>
  <si>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</si>
  <si>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</si>
  <si>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</si>
  <si>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</si>
  <si>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</si>
  <si>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</si>
  <si>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</si>
  <si>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</si>
  <si>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</si>
  <si>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</si>
  <si>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</si>
  <si>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</si>
  <si>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</si>
  <si>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</si>
  <si>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</si>
  <si>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</si>
  <si>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</si>
  <si>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</si>
  <si>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</si>
  <si>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</si>
  <si>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</si>
  <si>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</si>
  <si>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</si>
  <si>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</si>
  <si>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</si>
  <si>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</si>
  <si>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</si>
  <si>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</si>
  <si>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</si>
  <si>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</si>
  <si>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</si>
  <si>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</si>
  <si>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</si>
  <si>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</si>
  <si>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</si>
  <si>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</si>
  <si>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</si>
  <si>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</si>
  <si>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</si>
  <si>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</si>
  <si>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</si>
  <si>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</si>
  <si>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</si>
  <si>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</si>
  <si>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</si>
  <si>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</si>
  <si>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</si>
  <si>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</si>
  <si>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</si>
  <si>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</si>
  <si>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</si>
  <si>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</si>
  <si>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</si>
  <si>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</si>
  <si>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</si>
  <si>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</si>
  <si>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</si>
  <si>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</si>
  <si>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</si>
  <si>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</si>
  <si>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</si>
  <si>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</si>
  <si>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</si>
  <si>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</si>
  <si>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</si>
  <si>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</si>
  <si>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</si>
  <si>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</si>
  <si>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</si>
  <si>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</si>
  <si>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</si>
  <si>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</si>
  <si>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</si>
  <si>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</si>
  <si>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</si>
  <si>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</si>
  <si>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</si>
  <si>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</si>
  <si>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</si>
  <si>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</si>
  <si>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</si>
  <si>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</si>
  <si>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</si>
  <si>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</si>
  <si>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</si>
  <si>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</si>
  <si>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</si>
  <si>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</si>
  <si>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</si>
  <si>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</si>
  <si>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</si>
  <si>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</si>
  <si>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</si>
  <si>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</si>
  <si>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</si>
  <si>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</si>
  <si>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</si>
  <si>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</si>
  <si>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</si>
  <si>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</si>
  <si>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</si>
  <si>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</si>
  <si>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</si>
  <si>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</si>
  <si>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</si>
  <si>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</si>
  <si>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</si>
  <si>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</si>
  <si>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</si>
  <si>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</si>
  <si>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</si>
  <si>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</si>
  <si>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</si>
  <si>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</si>
  <si>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</si>
  <si>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</si>
  <si>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</si>
  <si>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</si>
  <si>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</si>
  <si>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</si>
  <si>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</si>
  <si>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</si>
  <si>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</si>
  <si>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</si>
  <si>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</si>
  <si>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</si>
  <si>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</si>
  <si>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</si>
  <si>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</si>
  <si>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</si>
  <si>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</si>
  <si>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</si>
  <si>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</si>
  <si>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</si>
  <si>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</si>
  <si>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</si>
  <si>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</si>
  <si>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</si>
  <si>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</si>
  <si>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</si>
  <si>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</si>
  <si>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</si>
  <si>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</si>
  <si>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</si>
  <si>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</si>
  <si>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</si>
  <si>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</si>
  <si>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</si>
  <si>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</si>
  <si>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</si>
  <si>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</si>
  <si>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</si>
  <si>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</si>
  <si>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</si>
  <si>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</si>
  <si>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</si>
  <si>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</si>
  <si>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</si>
  <si>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</si>
  <si>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</si>
  <si>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</si>
  <si>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</si>
  <si>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</si>
  <si>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</si>
  <si>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</si>
  <si>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</si>
  <si>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</si>
  <si>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</si>
  <si>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</si>
  <si>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</si>
  <si>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</si>
  <si>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</si>
  <si>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</si>
  <si>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</si>
  <si>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</si>
  <si>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</si>
  <si>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</si>
  <si>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</si>
  <si>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</si>
  <si>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</si>
  <si>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</si>
  <si>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</si>
  <si>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</si>
  <si>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</si>
  <si>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</si>
  <si>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</si>
  <si>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</si>
  <si>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</si>
  <si>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</si>
  <si>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</si>
  <si>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</si>
  <si>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</si>
  <si>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</si>
  <si>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</si>
  <si>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</si>
  <si>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</si>
  <si>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</si>
  <si>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</si>
  <si>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</si>
  <si>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</si>
  <si>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</si>
  <si>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</si>
  <si>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</si>
  <si>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</si>
  <si>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</si>
  <si>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</si>
  <si>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</si>
  <si>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</si>
  <si>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</si>
  <si>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</si>
  <si>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</si>
  <si>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</si>
  <si>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</si>
  <si>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</si>
  <si>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</si>
  <si>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</si>
  <si>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</si>
  <si>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</si>
  <si>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</si>
  <si>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</si>
  <si>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</si>
  <si>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</si>
  <si>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</si>
  <si>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</si>
  <si>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</si>
  <si>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</si>
  <si>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</si>
  <si>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</si>
  <si>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</si>
  <si>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</si>
  <si>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</si>
  <si>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</si>
  <si>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</si>
  <si>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</si>
  <si>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</si>
  <si>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</si>
  <si>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</si>
  <si>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</si>
  <si>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</si>
  <si>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</si>
  <si>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</si>
  <si>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</si>
  <si>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</si>
  <si>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</si>
  <si>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</si>
  <si>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</si>
  <si>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</si>
  <si>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</si>
  <si>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</si>
  <si>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</si>
  <si>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</si>
  <si>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</si>
  <si>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</si>
  <si>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</si>
  <si>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</si>
  <si>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</si>
  <si>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</si>
  <si>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</si>
  <si>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</si>
  <si>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</si>
  <si>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</si>
  <si>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</si>
  <si>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</si>
  <si>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</si>
  <si>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</si>
  <si>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</si>
  <si>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</si>
  <si>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</si>
  <si>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</si>
  <si>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</si>
  <si>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</si>
  <si>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</si>
  <si>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</si>
  <si>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</si>
  <si>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</si>
  <si>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</si>
  <si>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</si>
  <si>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</si>
  <si>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</si>
  <si>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</si>
  <si>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</si>
  <si>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</si>
  <si>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</si>
  <si>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</si>
  <si>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</si>
  <si>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</si>
  <si>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</si>
  <si>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</si>
  <si>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</si>
  <si>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</si>
  <si>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</si>
  <si>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</si>
  <si>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</si>
  <si>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</si>
  <si>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</si>
  <si>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</si>
  <si>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</si>
  <si>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</si>
  <si>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</si>
  <si>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</si>
  <si>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</si>
  <si>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</si>
  <si>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</si>
  <si>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</si>
  <si>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</si>
  <si>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</si>
  <si>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</si>
  <si>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</si>
  <si>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</si>
  <si>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</si>
  <si>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</si>
  <si>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</si>
  <si>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</si>
  <si>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</si>
  <si>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</si>
  <si>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</si>
  <si>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</si>
  <si>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</si>
  <si>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</si>
  <si>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</si>
  <si>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</si>
  <si>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</si>
  <si>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</si>
  <si>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</si>
  <si>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</si>
  <si>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</si>
  <si>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</si>
  <si>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</si>
  <si>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</si>
  <si>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</si>
  <si>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</si>
  <si>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</si>
  <si>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</si>
  <si>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</si>
  <si>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</si>
  <si>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</si>
  <si>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</si>
  <si>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</si>
  <si>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</si>
  <si>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</si>
  <si>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</si>
  <si>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</si>
  <si>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</si>
  <si>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</si>
  <si>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</si>
  <si>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</si>
  <si>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</si>
  <si>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</si>
  <si>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</si>
  <si>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</si>
  <si>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</si>
  <si>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</si>
  <si>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</si>
  <si>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</si>
  <si>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</si>
  <si>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</si>
  <si>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</si>
  <si>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</si>
  <si>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</si>
  <si>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</si>
  <si>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</si>
  <si>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</si>
  <si>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</si>
  <si>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</si>
  <si>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</si>
  <si>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</si>
  <si>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</si>
  <si>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</si>
  <si>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</si>
  <si>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</si>
  <si>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</si>
  <si>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</si>
  <si>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</si>
  <si>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</si>
  <si>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</si>
  <si>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</si>
  <si>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</si>
  <si>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</si>
  <si>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</si>
  <si>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</si>
  <si>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</si>
  <si>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</si>
  <si>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</si>
  <si>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</si>
  <si>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</si>
  <si>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</si>
  <si>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</si>
  <si>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</si>
  <si>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</si>
  <si>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</si>
  <si>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</si>
  <si>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</si>
  <si>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</si>
  <si>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</si>
  <si>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</si>
  <si>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</si>
  <si>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</si>
  <si>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</si>
  <si>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</si>
  <si>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</si>
  <si>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</si>
  <si>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</si>
  <si>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</si>
  <si>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</si>
  <si>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</si>
  <si>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</si>
  <si>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</si>
  <si>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</si>
  <si>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</si>
  <si>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</si>
  <si>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</si>
  <si>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</si>
  <si>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</si>
  <si>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</si>
  <si>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</si>
  <si>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</si>
  <si>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</si>
  <si>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</si>
  <si>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</si>
  <si>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</si>
  <si>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</si>
  <si>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</si>
  <si>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</si>
  <si>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</si>
  <si>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</si>
  <si>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</si>
  <si>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</si>
  <si>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</si>
  <si>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</si>
  <si>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</si>
  <si>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</si>
  <si>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</si>
  <si>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</si>
  <si>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</si>
  <si>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</si>
  <si>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</si>
  <si>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</si>
  <si>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</si>
  <si>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</si>
  <si>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</si>
  <si>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</si>
  <si>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</si>
  <si>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</si>
  <si>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</si>
  <si>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</si>
  <si>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</si>
  <si>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</si>
  <si>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</si>
  <si>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</si>
  <si>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</si>
  <si>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</si>
  <si>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</si>
  <si>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</si>
  <si>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</si>
  <si>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</si>
  <si>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</si>
  <si>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</si>
  <si>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</si>
  <si>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</si>
  <si>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</si>
  <si>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</si>
  <si>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</si>
  <si>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</si>
  <si>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</si>
  <si>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</si>
  <si>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</si>
  <si>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</si>
  <si>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</si>
  <si>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</si>
  <si>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</si>
  <si>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</si>
  <si>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</si>
  <si>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</si>
  <si>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</si>
  <si>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</si>
  <si>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</si>
  <si>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</si>
  <si>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</si>
  <si>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</si>
  <si>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</si>
  <si>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</si>
  <si>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</si>
  <si>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</si>
  <si>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</si>
  <si>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</si>
  <si>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</si>
  <si>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</si>
  <si>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</si>
  <si>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</si>
  <si>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</si>
  <si>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</si>
  <si>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</si>
  <si>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</si>
  <si>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</si>
  <si>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</si>
  <si>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</si>
  <si>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</si>
  <si>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</si>
  <si>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</si>
  <si>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</si>
  <si>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</si>
  <si>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</si>
  <si>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</si>
  <si>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</si>
  <si>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</si>
  <si>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</si>
  <si>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</si>
  <si>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</si>
  <si>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</si>
  <si>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</si>
  <si>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</si>
  <si>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</si>
  <si>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</si>
  <si>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</si>
  <si>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</si>
  <si>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</si>
  <si>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</si>
  <si>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</si>
  <si>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</si>
  <si>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</si>
  <si>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</si>
  <si>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</si>
  <si>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</si>
  <si>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</si>
  <si>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</si>
  <si>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</si>
  <si>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</si>
  <si>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</si>
  <si>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</si>
  <si>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</si>
  <si>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</si>
  <si>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</si>
  <si>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</si>
  <si>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</si>
  <si>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</si>
  <si>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</si>
  <si>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</si>
  <si>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</si>
  <si>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</si>
  <si>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</si>
  <si>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</si>
  <si>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</si>
  <si>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</si>
  <si>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</si>
  <si>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</si>
  <si>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</si>
  <si>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</si>
  <si>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</si>
  <si>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</si>
  <si>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</si>
  <si>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</si>
  <si>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</si>
  <si>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</si>
  <si>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</si>
  <si>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</si>
  <si>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</si>
  <si>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</si>
  <si>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</si>
  <si>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</si>
  <si>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</si>
  <si>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</si>
  <si>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</si>
  <si>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</si>
  <si>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</si>
  <si>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</si>
  <si>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</si>
  <si>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</si>
  <si>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</si>
  <si>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</si>
  <si>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</si>
  <si>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</si>
  <si>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</si>
  <si>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</si>
  <si>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</si>
  <si>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</si>
  <si>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</si>
  <si>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</si>
  <si>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</si>
  <si>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</si>
  <si>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</si>
  <si>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</si>
  <si>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</si>
  <si>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</si>
  <si>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</si>
  <si>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</si>
  <si>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</si>
  <si>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</si>
  <si>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</si>
  <si>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</si>
  <si>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</si>
  <si>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</si>
  <si>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</si>
  <si>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</si>
  <si>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</si>
  <si>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</si>
  <si>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</si>
  <si>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</si>
  <si>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</si>
  <si>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</si>
  <si>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</si>
  <si>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</si>
  <si>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</si>
  <si>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</si>
  <si>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</si>
  <si>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</si>
  <si>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</si>
  <si>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</si>
  <si>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</si>
  <si>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</si>
  <si>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</si>
  <si>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</si>
  <si>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</si>
  <si>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</si>
  <si>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</si>
  <si>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</si>
  <si>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</si>
  <si>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</si>
  <si>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</si>
  <si>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</si>
  <si>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</si>
  <si>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</si>
  <si>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</si>
  <si>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</si>
  <si>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</si>
  <si>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</si>
  <si>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</si>
  <si>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</si>
  <si>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</si>
  <si>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</si>
  <si>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</si>
  <si>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</si>
  <si>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</si>
  <si>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</si>
  <si>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</si>
  <si>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</si>
  <si>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</si>
  <si>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</si>
  <si>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</si>
  <si>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</si>
  <si>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</si>
  <si>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</si>
  <si>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</si>
  <si>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</si>
  <si>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</si>
  <si>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</si>
  <si>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</si>
  <si>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</si>
  <si>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</si>
  <si>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</si>
  <si>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</si>
  <si>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</si>
  <si>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</si>
  <si>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</si>
  <si>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</si>
  <si>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</si>
  <si>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</si>
  <si>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</si>
  <si>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</si>
  <si>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</si>
  <si>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</si>
  <si>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</si>
  <si>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</si>
  <si>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</si>
  <si>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</si>
  <si>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</si>
  <si>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</si>
  <si>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</si>
  <si>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</si>
  <si>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</si>
  <si>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</si>
  <si>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</si>
  <si>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</si>
  <si>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</si>
  <si>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</si>
  <si>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</si>
  <si>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</si>
  <si>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</si>
  <si>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</si>
  <si>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</si>
  <si>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</si>
  <si>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</si>
  <si>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</si>
  <si>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</si>
  <si>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</si>
  <si>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</si>
  <si>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</si>
  <si>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</si>
  <si>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</si>
  <si>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</si>
  <si>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</si>
  <si>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</si>
  <si>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</si>
  <si>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</si>
  <si>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</si>
  <si>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</si>
  <si>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</si>
  <si>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</si>
  <si>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</si>
  <si>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</si>
  <si>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</si>
  <si>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</si>
  <si>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</si>
  <si>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</si>
  <si>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</si>
  <si>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</si>
  <si>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</si>
  <si>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</si>
  <si>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</si>
  <si>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</si>
  <si>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</si>
  <si>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</si>
  <si>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</si>
  <si>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</si>
  <si>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</si>
  <si>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</si>
  <si>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</si>
  <si>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</si>
  <si>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</si>
  <si>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</si>
  <si>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</si>
  <si>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</si>
  <si>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</si>
  <si>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</si>
  <si>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</si>
  <si>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</si>
  <si>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</si>
  <si>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</si>
  <si>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</si>
  <si>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</si>
  <si>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</si>
  <si>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</si>
  <si>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</si>
  <si>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</si>
  <si>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</si>
  <si>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</si>
  <si>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</si>
  <si>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</si>
  <si>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</si>
  <si>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</si>
  <si>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</si>
  <si>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</si>
  <si>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</si>
  <si>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</si>
  <si>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</si>
  <si>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</si>
  <si>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</si>
  <si>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</si>
  <si>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</si>
  <si>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</si>
  <si>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</si>
  <si>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</si>
  <si>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</si>
  <si>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</si>
  <si>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</si>
  <si>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</si>
  <si>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</si>
  <si>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</si>
  <si>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</si>
  <si>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</si>
  <si>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</si>
  <si>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</si>
  <si>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</si>
  <si>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</si>
  <si>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</si>
  <si>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</si>
  <si>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</si>
  <si>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</si>
  <si>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</si>
  <si>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</si>
  <si>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</si>
  <si>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</si>
  <si>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</si>
  <si>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</si>
  <si>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</si>
  <si>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</si>
  <si>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</si>
  <si>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</si>
  <si>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</si>
  <si>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</si>
  <si>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</si>
  <si>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</si>
  <si>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</si>
  <si>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</si>
  <si>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</si>
  <si>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</si>
  <si>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</si>
  <si>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</si>
  <si>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</si>
  <si>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</si>
  <si>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</si>
  <si>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</si>
  <si>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</si>
  <si>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</si>
  <si>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</si>
  <si>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</si>
  <si>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</si>
  <si>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</si>
  <si>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</si>
  <si>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</si>
  <si>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</si>
  <si>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</si>
  <si>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</si>
  <si>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</si>
  <si>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</si>
  <si>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</si>
  <si>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</si>
  <si>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</si>
  <si>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</si>
  <si>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</si>
  <si>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</si>
  <si>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</si>
  <si>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</si>
  <si>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</si>
  <si>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</si>
  <si>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</si>
  <si>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</si>
  <si>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</si>
  <si>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</si>
  <si>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</si>
  <si>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</si>
  <si>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</si>
  <si>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</si>
  <si>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</si>
  <si>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</si>
  <si>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</si>
  <si>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</si>
  <si>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</si>
  <si>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</si>
  <si>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</si>
  <si>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</si>
  <si>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</si>
  <si>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</si>
  <si>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</si>
  <si>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</si>
  <si>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</si>
  <si>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</si>
  <si>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</si>
  <si>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</si>
  <si>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</si>
  <si>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</si>
  <si>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</si>
  <si>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</si>
  <si>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</si>
  <si>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</si>
  <si>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</si>
  <si>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</si>
  <si>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</si>
  <si>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</si>
  <si>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</si>
  <si>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</si>
  <si>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</si>
  <si>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</si>
  <si>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</si>
  <si>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</si>
  <si>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</si>
  <si>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</si>
  <si>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</si>
  <si>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</si>
  <si>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</si>
  <si>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</si>
  <si>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</si>
  <si>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</si>
  <si>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</si>
  <si>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</si>
  <si>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</si>
  <si>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</si>
  <si>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</si>
  <si>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</si>
  <si>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</si>
  <si>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</si>
  <si>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</si>
  <si>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</si>
  <si>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</si>
  <si>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</si>
  <si>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</si>
  <si>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</si>
  <si>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</si>
  <si>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</si>
  <si>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</si>
  <si>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</si>
  <si>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</si>
  <si>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</si>
  <si>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</si>
  <si>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</si>
  <si>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</si>
  <si>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</si>
  <si>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</si>
  <si>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</si>
  <si>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</si>
  <si>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</si>
  <si>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</si>
  <si>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</si>
  <si>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</si>
  <si>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</si>
  <si>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</si>
  <si>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</si>
  <si>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</si>
  <si>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</si>
  <si>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</si>
  <si>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</si>
  <si>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</si>
  <si>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</si>
  <si>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</si>
  <si>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</si>
  <si>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</si>
  <si>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</si>
  <si>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</si>
  <si>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</si>
  <si>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</si>
  <si>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</si>
  <si>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</si>
  <si>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</si>
  <si>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</si>
  <si>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</si>
  <si>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</si>
  <si>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</si>
  <si>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</si>
  <si>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</si>
  <si>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</si>
  <si>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</si>
  <si>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</si>
  <si>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</si>
  <si>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</si>
  <si>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</si>
  <si>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</si>
  <si>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</si>
  <si>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</si>
  <si>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</si>
  <si>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</si>
  <si>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</si>
  <si>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</si>
  <si>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</si>
  <si>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</si>
  <si>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</si>
  <si>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</si>
  <si>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</si>
  <si>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</si>
  <si>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</si>
  <si>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</si>
  <si>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</si>
  <si>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</si>
  <si>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</si>
  <si>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</si>
  <si>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</si>
  <si>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</si>
  <si>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</si>
  <si>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</si>
  <si>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</si>
  <si>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</si>
  <si>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</si>
  <si>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</si>
  <si>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</si>
  <si>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</si>
  <si>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</si>
  <si>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</si>
  <si>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</si>
  <si>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</si>
  <si>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</si>
  <si>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</si>
  <si>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</si>
  <si>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</si>
  <si>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</si>
  <si>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</si>
  <si>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</si>
  <si>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</si>
  <si>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</si>
  <si>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</si>
  <si>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</si>
  <si>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</si>
  <si>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</si>
  <si>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</si>
  <si>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</si>
  <si>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</si>
  <si>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</si>
  <si>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</si>
  <si>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</si>
  <si>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</si>
  <si>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</si>
  <si>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</si>
  <si>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</si>
  <si>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</si>
  <si>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</si>
  <si>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</si>
  <si>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</si>
  <si>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</si>
  <si>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</si>
  <si>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</si>
  <si>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</si>
  <si>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</si>
  <si>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</si>
  <si>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</si>
  <si>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</si>
  <si>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</si>
  <si>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</si>
  <si>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</si>
  <si>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</si>
  <si>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</si>
  <si>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</si>
  <si>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</si>
  <si>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</si>
  <si>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</si>
  <si>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</si>
  <si>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</si>
  <si>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</si>
  <si>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</si>
  <si>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</si>
  <si>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</si>
  <si>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</si>
  <si>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</si>
  <si>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</si>
  <si>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</si>
  <si>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</si>
  <si>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</si>
  <si>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</si>
  <si>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</si>
  <si>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</si>
  <si>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</si>
  <si>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</si>
  <si>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</si>
  <si>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</si>
  <si>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</si>
  <si>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</si>
  <si>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</si>
  <si>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</si>
  <si>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</si>
  <si>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</si>
  <si>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</si>
  <si>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</si>
  <si>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</si>
  <si>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</si>
  <si>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</si>
  <si>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</si>
  <si>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</si>
  <si>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</si>
  <si>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</si>
  <si>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</si>
  <si>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</si>
  <si>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</si>
  <si>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</si>
  <si>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</si>
  <si>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</si>
  <si>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</si>
  <si>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</si>
  <si>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</si>
  <si>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</si>
  <si>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</si>
  <si>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</si>
  <si>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</si>
  <si>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</si>
  <si>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</si>
  <si>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</si>
  <si>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</si>
  <si>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</si>
  <si>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</si>
  <si>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</si>
  <si>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</si>
  <si>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</si>
  <si>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</si>
  <si>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</si>
  <si>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</si>
  <si>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</si>
  <si>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</si>
  <si>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</si>
  <si>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</si>
  <si>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</si>
  <si>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</si>
  <si>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</si>
  <si>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</si>
  <si>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</si>
  <si>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</si>
  <si>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</si>
  <si>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</si>
  <si>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</si>
  <si>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</si>
  <si>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</si>
  <si>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</si>
  <si>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</si>
  <si>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</si>
  <si>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</si>
  <si>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</si>
  <si>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</si>
  <si>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</si>
  <si>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</si>
  <si>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</si>
  <si>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</si>
  <si>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</si>
  <si>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</si>
  <si>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</si>
  <si>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</si>
  <si>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</si>
  <si>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</si>
  <si>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</si>
  <si>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</si>
  <si>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</si>
  <si>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</si>
  <si>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</si>
  <si>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</si>
  <si>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</si>
  <si>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</si>
  <si>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</si>
  <si>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</si>
  <si>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</si>
  <si>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</si>
  <si>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</si>
  <si>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</si>
  <si>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</si>
  <si>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</si>
  <si>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</si>
  <si>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</si>
  <si>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</si>
  <si>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</si>
  <si>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</si>
  <si>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</si>
  <si>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</si>
  <si>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</si>
  <si>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</si>
  <si>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</si>
  <si>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</si>
  <si>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</si>
  <si>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</si>
  <si>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</si>
  <si>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</si>
  <si>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</si>
  <si>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</si>
  <si>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</si>
  <si>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</si>
  <si>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</si>
  <si>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</si>
  <si>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</si>
  <si>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</si>
  <si>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</si>
  <si>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</si>
  <si>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</si>
  <si>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</si>
  <si>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</si>
  <si>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</si>
  <si>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</si>
  <si>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</si>
  <si>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</si>
  <si>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</si>
  <si>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</si>
  <si>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</si>
  <si>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</si>
  <si>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</si>
  <si>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</si>
  <si>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</si>
  <si>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</si>
  <si>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</si>
  <si>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</si>
  <si>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</si>
  <si>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</si>
  <si>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</si>
  <si>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</si>
  <si>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</si>
  <si>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</si>
  <si>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</si>
  <si>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</si>
  <si>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</si>
  <si>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</si>
  <si>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</si>
  <si>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</si>
  <si>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</si>
  <si>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</si>
  <si>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</si>
  <si>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</si>
  <si>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</si>
  <si>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</si>
  <si>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</si>
  <si>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</si>
  <si>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</si>
  <si>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</si>
  <si>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</si>
  <si>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</si>
  <si>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</si>
  <si>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</si>
  <si>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</si>
  <si>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</si>
  <si>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</si>
  <si>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</si>
  <si>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</si>
  <si>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</si>
  <si>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</si>
  <si>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</si>
  <si>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</si>
  <si>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</si>
  <si>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</si>
  <si>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</si>
  <si>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</si>
  <si>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</si>
  <si>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</si>
  <si>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</si>
  <si>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</si>
  <si>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</si>
  <si>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</si>
  <si>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</si>
  <si>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</si>
  <si>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</si>
  <si>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</si>
  <si>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</si>
  <si>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</si>
  <si>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</si>
  <si>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</si>
  <si>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</si>
  <si>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</si>
  <si>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</si>
  <si>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</si>
  <si>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</si>
  <si>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</si>
  <si>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</si>
  <si>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</si>
  <si>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</si>
  <si>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</si>
  <si>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</si>
  <si>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</si>
  <si>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</si>
  <si>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</si>
  <si>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</si>
  <si>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</si>
  <si>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</si>
  <si>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</si>
  <si>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</si>
  <si>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</si>
  <si>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</si>
  <si>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</si>
  <si>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</si>
  <si>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</si>
  <si>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</si>
  <si>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</si>
  <si>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</si>
  <si>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</si>
  <si>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</si>
  <si>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</si>
  <si>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</si>
  <si>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</si>
  <si>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</si>
  <si>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</si>
  <si>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</si>
  <si>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</si>
  <si>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</si>
  <si>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</si>
  <si>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</si>
  <si>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</si>
  <si>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</si>
  <si>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</si>
  <si>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</si>
  <si>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</si>
  <si>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</si>
  <si>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</si>
  <si>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</si>
  <si>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</si>
  <si>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</si>
  <si>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</si>
  <si>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</si>
  <si>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</si>
  <si>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</si>
  <si>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</si>
  <si>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</si>
  <si>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</si>
  <si>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</si>
  <si>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</si>
  <si>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</si>
  <si>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</si>
  <si>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</si>
  <si>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</si>
  <si>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</si>
  <si>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</si>
  <si>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</si>
  <si>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</si>
  <si>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</si>
  <si>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</si>
  <si>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</si>
  <si>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</si>
  <si>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</si>
  <si>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</si>
  <si>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</si>
  <si>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</si>
  <si>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</si>
  <si>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</si>
  <si>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</si>
  <si>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</si>
  <si>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</si>
  <si>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</si>
  <si>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</si>
  <si>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</si>
  <si>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</si>
  <si>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</si>
  <si>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</si>
  <si>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</si>
  <si>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</si>
  <si>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</si>
  <si>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</si>
  <si>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</si>
  <si>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</si>
  <si>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</si>
  <si>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</si>
  <si>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</si>
  <si>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</si>
  <si>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</si>
  <si>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</si>
  <si>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</si>
  <si>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</si>
  <si>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</si>
  <si>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</si>
  <si>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</si>
  <si>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</si>
  <si>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</si>
  <si>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</si>
  <si>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</si>
  <si>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</si>
  <si>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</si>
  <si>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</si>
  <si>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</si>
  <si>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</si>
  <si>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</si>
  <si>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</si>
  <si>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</si>
  <si>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</si>
  <si>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</si>
  <si>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</si>
  <si>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</si>
  <si>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</si>
  <si>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</si>
  <si>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</si>
  <si>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</si>
  <si>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</si>
  <si>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</si>
  <si>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</si>
  <si>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</si>
  <si>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</si>
  <si>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</si>
  <si>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</si>
  <si>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</si>
  <si>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</si>
  <si>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</si>
  <si>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</si>
  <si>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</si>
  <si>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</si>
  <si>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</si>
  <si>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</si>
  <si>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</si>
  <si>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</si>
  <si>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</si>
  <si>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</si>
  <si>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</si>
  <si>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</si>
  <si>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</si>
  <si>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</si>
  <si>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</si>
  <si>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</si>
  <si>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</si>
  <si>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</si>
  <si>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</si>
  <si>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</si>
  <si>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</si>
  <si>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</si>
  <si>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</si>
  <si>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</si>
  <si>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</si>
  <si>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</si>
  <si>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</si>
  <si>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</si>
  <si>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</si>
  <si>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</si>
  <si>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</si>
  <si>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</si>
  <si>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</si>
  <si>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</si>
  <si>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</si>
  <si>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</si>
  <si>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</si>
  <si>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</si>
  <si>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</si>
  <si>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</si>
  <si>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</si>
  <si>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</si>
  <si>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</si>
  <si>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</si>
  <si>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</si>
  <si>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</si>
  <si>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</si>
  <si>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</si>
  <si>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</si>
  <si>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</si>
  <si>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</si>
  <si>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</si>
  <si>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</si>
  <si>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</si>
  <si>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</si>
  <si>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</si>
  <si>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</si>
  <si>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</si>
  <si>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</si>
  <si>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</si>
  <si>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</si>
  <si>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</si>
  <si>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</si>
  <si>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</si>
  <si>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</si>
  <si>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</si>
  <si>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</si>
  <si>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</si>
  <si>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</si>
  <si>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</si>
  <si>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</si>
  <si>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</si>
  <si>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</si>
  <si>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</si>
  <si>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</si>
  <si>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</si>
  <si>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</si>
  <si>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</si>
  <si>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</si>
  <si>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</si>
  <si>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</si>
  <si>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</si>
  <si>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</si>
  <si>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</si>
  <si>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</si>
  <si>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</si>
  <si>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</si>
  <si>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</si>
  <si>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</si>
  <si>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</si>
  <si>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</si>
  <si>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</si>
  <si>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</si>
  <si>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</si>
  <si>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</si>
  <si>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</si>
  <si>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</si>
  <si>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</si>
  <si>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</si>
  <si>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</si>
  <si>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</si>
  <si>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</si>
  <si>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</si>
  <si>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</si>
  <si>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</si>
  <si>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</si>
  <si>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</si>
  <si>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</si>
  <si>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</si>
  <si>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</si>
  <si>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</si>
  <si>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</si>
  <si>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</si>
  <si>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</si>
  <si>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</si>
  <si>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</si>
  <si>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</si>
  <si>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</si>
  <si>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</si>
  <si>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</si>
  <si>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</si>
  <si>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</si>
  <si>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</si>
  <si>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</si>
  <si>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</si>
  <si>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</si>
  <si>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</si>
  <si>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</si>
  <si>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</si>
  <si>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</si>
  <si>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</si>
  <si>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</si>
  <si>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</si>
  <si>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</si>
  <si>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</si>
  <si>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</si>
  <si>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</si>
  <si>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</si>
  <si>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</si>
  <si>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</si>
  <si>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</si>
  <si>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</si>
  <si>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</si>
  <si>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</si>
  <si>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</si>
  <si>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</si>
  <si>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</si>
  <si>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</si>
  <si>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</si>
  <si>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</si>
  <si>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</si>
  <si>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</si>
  <si>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</si>
  <si>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</si>
  <si>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</si>
  <si>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</si>
  <si>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</si>
  <si>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</si>
  <si>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</si>
  <si>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</si>
  <si>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</si>
  <si>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</si>
  <si>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</si>
  <si>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</si>
  <si>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</si>
  <si>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</si>
  <si>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</si>
  <si>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</si>
  <si>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</si>
  <si>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</si>
  <si>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</si>
  <si>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</si>
  <si>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</si>
  <si>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</si>
  <si>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</si>
  <si>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</si>
  <si>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</si>
  <si>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</si>
  <si>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</si>
  <si>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</si>
  <si>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</si>
  <si>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</si>
  <si>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</si>
  <si>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</si>
  <si>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</si>
  <si>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</si>
  <si>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</si>
  <si>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</si>
  <si>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</si>
  <si>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</si>
  <si>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</si>
  <si>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</si>
  <si>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</si>
  <si>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</si>
  <si>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</si>
  <si>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</si>
  <si>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</si>
  <si>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</si>
  <si>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</si>
  <si>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</si>
  <si>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</si>
  <si>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</si>
  <si>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</si>
  <si>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</si>
  <si>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</si>
  <si>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</si>
  <si>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</si>
  <si>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</si>
  <si>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</si>
  <si>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</si>
  <si>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</si>
  <si>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</si>
  <si>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</si>
  <si>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</si>
  <si>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</si>
  <si>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</si>
  <si>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</si>
  <si>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</si>
  <si>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</si>
  <si>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</si>
  <si>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</si>
  <si>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</si>
  <si>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</si>
  <si>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</si>
  <si>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</si>
  <si>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</si>
  <si>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</si>
  <si>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</si>
  <si>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</si>
  <si>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</si>
  <si>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</si>
  <si>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</si>
  <si>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</si>
  <si>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</si>
  <si>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</si>
  <si>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</si>
  <si>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</si>
  <si>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</si>
  <si>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</si>
  <si>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</si>
  <si>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</si>
  <si>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</si>
  <si>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</si>
  <si>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</si>
  <si>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</si>
  <si>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</si>
  <si>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</si>
  <si>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</si>
  <si>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</si>
  <si>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</si>
  <si>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</si>
  <si>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</si>
  <si>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</si>
  <si>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</si>
  <si>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</si>
  <si>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</si>
  <si>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</si>
  <si>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</si>
  <si>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</si>
  <si>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</si>
  <si>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</si>
  <si>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</si>
  <si>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</si>
  <si>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</si>
  <si>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</si>
  <si>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</si>
  <si>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</si>
  <si>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</si>
  <si>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</si>
  <si>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</si>
  <si>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</si>
  <si>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</si>
  <si>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</si>
  <si>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</si>
  <si>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</si>
  <si>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</si>
  <si>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</si>
  <si>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</si>
  <si>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</si>
  <si>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</si>
  <si>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</si>
  <si>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</si>
  <si>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</si>
  <si>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</si>
  <si>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</si>
  <si>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</si>
  <si>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</si>
  <si>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</si>
  <si>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</si>
  <si>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</si>
  <si>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</si>
  <si>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</si>
  <si>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</si>
  <si>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</si>
  <si>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</si>
  <si>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</si>
  <si>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</si>
  <si>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</si>
  <si>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</si>
  <si>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</si>
  <si>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</si>
  <si>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</si>
  <si>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</si>
  <si>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</si>
  <si>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</si>
  <si>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</si>
  <si>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</si>
  <si>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</si>
  <si>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</si>
  <si>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</si>
  <si>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</si>
  <si>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</si>
  <si>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</si>
  <si>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</si>
  <si>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</si>
  <si>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</si>
  <si>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</si>
  <si>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</si>
  <si>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</si>
  <si>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</si>
  <si>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</si>
  <si>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</si>
  <si>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</si>
  <si>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</si>
  <si>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</si>
  <si>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</si>
  <si>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</si>
  <si>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</si>
  <si>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</si>
  <si>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</si>
  <si>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</si>
  <si>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</si>
  <si>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</si>
  <si>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</si>
  <si>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</si>
  <si>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</si>
  <si>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</si>
  <si>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</si>
  <si>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</si>
  <si>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</si>
  <si>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</si>
  <si>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</si>
  <si>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</si>
  <si>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</si>
  <si>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</si>
  <si>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</si>
  <si>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</si>
  <si>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</si>
  <si>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</si>
  <si>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</si>
  <si>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</si>
  <si>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</si>
  <si>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</si>
  <si>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</si>
  <si>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</si>
  <si>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</si>
  <si>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</si>
  <si>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</si>
  <si>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</si>
  <si>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</si>
  <si>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</si>
  <si>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</si>
  <si>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</si>
  <si>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</si>
  <si>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</si>
  <si>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</si>
  <si>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</si>
  <si>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</si>
  <si>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</si>
  <si>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</si>
  <si>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</si>
  <si>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</si>
  <si>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</si>
  <si>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</si>
  <si>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</si>
  <si>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</si>
  <si>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</si>
  <si>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</si>
  <si>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</si>
  <si>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</si>
  <si>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</si>
  <si>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</si>
  <si>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</si>
  <si>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</si>
  <si>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</si>
  <si>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</si>
  <si>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</si>
  <si>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</si>
  <si>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</si>
  <si>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</si>
  <si>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</si>
  <si>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</si>
  <si>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</si>
  <si>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</si>
  <si>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</si>
  <si>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</si>
  <si>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</si>
  <si>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</si>
  <si>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</si>
  <si>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</si>
  <si>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</si>
  <si>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</si>
  <si>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</si>
  <si>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</si>
  <si>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</si>
  <si>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</si>
  <si>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</si>
  <si>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</si>
  <si>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</si>
  <si>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</si>
  <si>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</si>
  <si>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</si>
  <si>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</si>
  <si>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</si>
  <si>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</si>
  <si>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</si>
  <si>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</si>
  <si>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</si>
  <si>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</si>
  <si>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</si>
  <si>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</si>
  <si>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</si>
  <si>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</si>
  <si>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</si>
  <si>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</si>
  <si>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</si>
  <si>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</si>
  <si>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</si>
  <si>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</si>
  <si>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</si>
  <si>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</si>
  <si>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</si>
  <si>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</si>
  <si>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</si>
  <si>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</si>
  <si>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</si>
  <si>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</si>
  <si>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</si>
  <si>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</si>
  <si>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</si>
  <si>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</si>
  <si>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</si>
  <si>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</si>
  <si>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</si>
  <si>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</si>
  <si>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</si>
  <si>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</si>
  <si>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</si>
  <si>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</si>
  <si>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</si>
  <si>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</si>
  <si>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</si>
  <si>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</si>
  <si>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</si>
  <si>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</si>
  <si>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</si>
  <si>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</si>
  <si>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</si>
  <si>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</si>
  <si>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</si>
  <si>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</si>
  <si>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</si>
  <si>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</si>
  <si>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</si>
  <si>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</si>
  <si>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</si>
  <si>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</si>
  <si>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</si>
  <si>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</si>
  <si>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</si>
  <si>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</si>
  <si>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</si>
  <si>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</si>
  <si>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</si>
  <si>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</si>
  <si>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</si>
  <si>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</si>
  <si>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</si>
  <si>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</si>
  <si>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</si>
  <si>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</si>
  <si>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</si>
  <si>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</si>
  <si>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</si>
  <si>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</si>
  <si>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</si>
  <si>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</si>
  <si>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</si>
  <si>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</si>
  <si>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</si>
  <si>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</si>
  <si>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</si>
  <si>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</si>
  <si>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</si>
  <si>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</si>
  <si>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</si>
  <si>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</si>
  <si>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</si>
  <si>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</si>
  <si>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</si>
  <si>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</si>
  <si>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</si>
  <si>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</si>
  <si>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</si>
  <si>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</si>
  <si>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</si>
  <si>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</si>
  <si>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</si>
  <si>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</si>
  <si>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</si>
  <si>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</si>
  <si>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</si>
  <si>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</si>
  <si>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</si>
  <si>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</si>
  <si>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</si>
  <si>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</si>
  <si>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</si>
  <si>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</si>
  <si>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</si>
  <si>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</si>
  <si>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</si>
  <si>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</si>
  <si>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</si>
  <si>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</si>
  <si>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</si>
  <si>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</si>
  <si>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</si>
  <si>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</si>
  <si>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</si>
  <si>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</si>
  <si>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</si>
  <si>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</si>
  <si>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</si>
  <si>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</si>
  <si>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</si>
  <si>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</si>
  <si>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</si>
  <si>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</si>
  <si>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</si>
  <si>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</si>
  <si>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</si>
  <si>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</si>
  <si>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</si>
  <si>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</si>
  <si>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</si>
  <si>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</si>
  <si>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</si>
  <si>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</si>
  <si>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</si>
  <si>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</si>
  <si>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</si>
  <si>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</si>
  <si>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</si>
  <si>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</si>
  <si>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</si>
  <si>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</si>
  <si>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</si>
  <si>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</si>
  <si>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</si>
  <si>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</si>
  <si>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</si>
  <si>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</si>
  <si>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</si>
  <si>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</si>
  <si>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</si>
  <si>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</si>
  <si>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</si>
  <si>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</si>
  <si>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</si>
  <si>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</si>
  <si>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</si>
  <si>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</si>
  <si>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</si>
  <si>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</si>
  <si>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</si>
  <si>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</si>
  <si>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</si>
  <si>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</si>
  <si>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</si>
  <si>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</si>
  <si>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</si>
  <si>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</si>
  <si>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</si>
  <si>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</si>
  <si>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</si>
  <si>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</si>
  <si>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</si>
  <si>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</si>
  <si>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</si>
  <si>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</si>
  <si>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</si>
  <si>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</si>
  <si>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</si>
  <si>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</si>
  <si>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</si>
  <si>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</si>
  <si>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</si>
  <si>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</si>
  <si>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</si>
  <si>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</si>
  <si>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</si>
  <si>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</si>
  <si>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</si>
  <si>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</si>
  <si>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</si>
  <si>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</si>
  <si>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</si>
  <si>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</si>
  <si>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</si>
  <si>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</si>
  <si>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</si>
  <si>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</si>
  <si>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</si>
  <si>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</si>
  <si>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</si>
  <si>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</si>
  <si>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</si>
  <si>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</si>
  <si>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</si>
  <si>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</si>
  <si>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</si>
  <si>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</si>
  <si>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</si>
  <si>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</si>
  <si>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</si>
  <si>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</si>
  <si>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</si>
  <si>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</si>
  <si>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</si>
  <si>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</si>
  <si>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</si>
  <si>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</si>
  <si>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</si>
  <si>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</si>
  <si>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</si>
  <si>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</si>
  <si>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</si>
  <si>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</si>
  <si>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</si>
  <si>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</si>
  <si>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</si>
  <si>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</si>
  <si>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</si>
  <si>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</si>
  <si>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</si>
  <si>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</si>
  <si>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</si>
  <si>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</si>
  <si>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</si>
  <si>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</si>
  <si>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</si>
  <si>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</si>
  <si>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</si>
  <si>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</si>
  <si>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</si>
  <si>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</si>
  <si>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</si>
  <si>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</si>
  <si>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</si>
  <si>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</si>
  <si>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</si>
  <si>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</si>
  <si>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</si>
  <si>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</si>
  <si>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</si>
  <si>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</si>
  <si>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</si>
  <si>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</si>
  <si>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</si>
  <si>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</si>
  <si>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</si>
  <si>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</si>
  <si>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</si>
  <si>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</si>
  <si>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</si>
  <si>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</si>
  <si>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</si>
  <si>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</si>
  <si>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</si>
  <si>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</si>
  <si>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</si>
  <si>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</si>
  <si>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</si>
  <si>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</si>
  <si>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</si>
  <si>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</si>
  <si>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</si>
  <si>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</si>
  <si>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</si>
  <si>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</si>
  <si>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</si>
  <si>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</si>
  <si>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</si>
  <si>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</si>
  <si>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</si>
  <si>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</si>
  <si>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</si>
  <si>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</si>
  <si>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</si>
  <si>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</si>
  <si>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</si>
  <si>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</si>
  <si>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</si>
  <si>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</si>
  <si>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</si>
  <si>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</si>
  <si>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</si>
  <si>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</si>
  <si>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</si>
  <si>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</si>
  <si>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</si>
  <si>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</si>
  <si>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</si>
  <si>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</si>
  <si>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</si>
  <si>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</si>
  <si>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</si>
  <si>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</si>
  <si>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</si>
  <si>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</si>
  <si>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</si>
  <si>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</si>
  <si>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</si>
  <si>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</si>
  <si>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</si>
  <si>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</si>
  <si>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</si>
  <si>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</si>
  <si>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</si>
  <si>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</si>
  <si>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</si>
  <si>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</si>
  <si>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</si>
  <si>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</si>
  <si>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</si>
  <si>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</si>
  <si>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</si>
  <si>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</si>
  <si>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</si>
  <si>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</si>
  <si>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</si>
  <si>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</si>
  <si>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</si>
  <si>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</si>
  <si>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</si>
  <si>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</si>
  <si>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</si>
  <si>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</si>
  <si>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</si>
  <si>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</si>
  <si>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</si>
  <si>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</si>
  <si>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</si>
  <si>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</si>
  <si>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</si>
  <si>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</si>
  <si>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</si>
  <si>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</si>
  <si>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</si>
  <si>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</si>
  <si>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</si>
  <si>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</si>
  <si>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</si>
  <si>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</si>
  <si>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</si>
  <si>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</si>
  <si>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</si>
  <si>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</si>
  <si>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</si>
  <si>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</si>
  <si>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</si>
  <si>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</si>
  <si>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</si>
  <si>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</si>
  <si>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</si>
  <si>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</si>
  <si>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</si>
  <si>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</si>
  <si>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</si>
  <si>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</si>
  <si>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</si>
  <si>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</si>
  <si>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</si>
  <si>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</si>
  <si>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</si>
  <si>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</si>
  <si>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</si>
  <si>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</si>
  <si>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</si>
  <si>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</si>
  <si>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</si>
  <si>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</si>
  <si>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</si>
  <si>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</si>
  <si>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</si>
  <si>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</si>
  <si>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</si>
  <si>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</si>
  <si>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</si>
  <si>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</si>
  <si>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</si>
  <si>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</si>
  <si>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</si>
  <si>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</si>
  <si>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</si>
  <si>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</si>
  <si>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</si>
  <si>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</si>
  <si>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</si>
  <si>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</si>
  <si>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</si>
  <si>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</si>
  <si>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</si>
  <si>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</si>
  <si>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</si>
  <si>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</si>
  <si>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</si>
  <si>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</si>
  <si>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</si>
  <si>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</si>
  <si>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</si>
  <si>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</si>
  <si>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</si>
  <si>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</si>
  <si>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</si>
  <si>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</si>
  <si>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</si>
  <si>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</si>
  <si>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</si>
  <si>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</si>
  <si>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</si>
  <si>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</si>
  <si>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</si>
  <si>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</si>
  <si>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</si>
  <si>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</si>
  <si>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</si>
  <si>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</si>
  <si>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</si>
  <si>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</si>
  <si>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</si>
  <si>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</si>
  <si>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</si>
  <si>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</si>
  <si>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</si>
  <si>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</si>
  <si>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</si>
  <si>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</si>
  <si>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</si>
  <si>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</si>
  <si>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</si>
  <si>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</si>
  <si>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</si>
  <si>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</si>
  <si>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</si>
  <si>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</si>
  <si>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</si>
  <si>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</si>
  <si>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</si>
  <si>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</si>
  <si>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</si>
  <si>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</si>
  <si>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</si>
  <si>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</si>
  <si>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</si>
  <si>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</si>
  <si>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</si>
  <si>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</si>
  <si>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</si>
  <si>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</si>
  <si>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</si>
  <si>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</si>
  <si>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</si>
  <si>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</si>
  <si>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</si>
  <si>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</si>
  <si>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</si>
  <si>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</si>
  <si>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</si>
  <si>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</si>
  <si>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</si>
  <si>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</si>
  <si>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</si>
  <si>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</si>
  <si>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</si>
  <si>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</si>
  <si>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</si>
  <si>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</si>
  <si>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</si>
  <si>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</si>
  <si>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</si>
  <si>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</si>
  <si>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</si>
  <si>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</si>
  <si>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</si>
  <si>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</si>
  <si>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</si>
  <si>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</si>
  <si>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</si>
  <si>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</si>
  <si>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</si>
  <si>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</si>
  <si>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</si>
  <si>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</si>
  <si>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</si>
  <si>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</si>
  <si>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</si>
  <si>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</si>
  <si>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</si>
  <si>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</si>
  <si>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</si>
  <si>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</si>
  <si>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</si>
  <si>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</si>
  <si>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</si>
  <si>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</si>
  <si>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</si>
  <si>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</si>
  <si>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</si>
  <si>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</si>
  <si>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</si>
  <si>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</si>
  <si>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</si>
  <si>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</si>
  <si>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</si>
  <si>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</si>
  <si>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</si>
  <si>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</si>
  <si>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</si>
  <si>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</si>
  <si>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</si>
  <si>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</si>
  <si>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</si>
  <si>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</si>
  <si>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</si>
  <si>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</si>
  <si>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</si>
  <si>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</si>
  <si>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</si>
  <si>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</si>
  <si>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</si>
  <si>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</si>
  <si>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</si>
  <si>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</si>
  <si>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</si>
  <si>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</si>
  <si>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</si>
  <si>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</si>
  <si>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</si>
  <si>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</si>
  <si>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</si>
  <si>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</si>
  <si>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</si>
  <si>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</si>
  <si>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</si>
  <si>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</si>
  <si>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</si>
  <si>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</si>
  <si>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</si>
  <si>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</si>
  <si>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</si>
  <si>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</si>
  <si>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</si>
  <si>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</si>
  <si>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</si>
  <si>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</si>
  <si>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</si>
  <si>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</si>
  <si>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</si>
  <si>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</si>
  <si>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</si>
  <si>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</si>
  <si>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</si>
  <si>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</si>
  <si>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</si>
  <si>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</si>
  <si>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</si>
  <si>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</si>
  <si>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</si>
  <si>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</si>
  <si>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</si>
  <si>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</si>
  <si>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</si>
  <si>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</si>
  <si>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</si>
  <si>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</si>
  <si>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</si>
  <si>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</si>
  <si>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</si>
  <si>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</si>
  <si>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</si>
  <si>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</si>
  <si>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</si>
  <si>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</si>
  <si>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</si>
  <si>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</si>
  <si>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</si>
  <si>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</si>
  <si>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</si>
  <si>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</si>
  <si>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</si>
  <si>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</si>
  <si>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</si>
  <si>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</si>
  <si>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</si>
  <si>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</si>
  <si>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</si>
  <si>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</si>
  <si>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</si>
  <si>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</si>
  <si>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</si>
  <si>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</si>
  <si>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</si>
  <si>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</si>
  <si>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</si>
  <si>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</si>
  <si>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</si>
  <si>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</si>
  <si>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</si>
  <si>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</si>
  <si>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</si>
  <si>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</si>
  <si>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</si>
  <si>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</si>
  <si>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</si>
  <si>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</si>
  <si>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</si>
  <si>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</si>
  <si>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</si>
  <si>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</si>
  <si>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</si>
  <si>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</si>
  <si>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</si>
  <si>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</si>
  <si>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</si>
  <si>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</si>
  <si>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</si>
  <si>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</si>
  <si>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</si>
  <si>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</si>
  <si>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</si>
  <si>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</si>
  <si>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</si>
  <si>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</si>
  <si>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</si>
  <si>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</si>
  <si>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</si>
  <si>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</si>
  <si>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</si>
  <si>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</si>
  <si>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</si>
  <si>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</si>
  <si>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</si>
  <si>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</si>
  <si>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</si>
  <si>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</si>
  <si>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</si>
  <si>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</si>
  <si>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</si>
  <si>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</si>
  <si>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</si>
  <si>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</si>
  <si>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</si>
  <si>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</si>
  <si>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</si>
  <si>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</si>
  <si>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</si>
  <si>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</si>
  <si>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</si>
  <si>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</si>
  <si>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</si>
  <si>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</si>
  <si>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</si>
  <si>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</si>
  <si>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</si>
  <si>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</si>
  <si>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</si>
  <si>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</si>
  <si>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</si>
  <si>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</si>
  <si>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</si>
  <si>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</si>
  <si>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</si>
  <si>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</si>
  <si>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</si>
  <si>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</si>
  <si>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</si>
  <si>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</si>
  <si>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</si>
  <si>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</si>
  <si>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</si>
  <si>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</si>
  <si>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</si>
  <si>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</si>
  <si>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</si>
  <si>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</si>
  <si>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</si>
  <si>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</si>
  <si>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</si>
  <si>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</si>
  <si>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</si>
  <si>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</si>
  <si>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</si>
  <si>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</si>
  <si>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</si>
  <si>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</si>
  <si>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</si>
  <si>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</si>
  <si>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</si>
  <si>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</si>
  <si>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</si>
  <si>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</si>
  <si>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</si>
  <si>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</si>
  <si>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</si>
  <si>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</si>
  <si>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</si>
  <si>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</si>
  <si>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</si>
  <si>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</si>
  <si>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</si>
  <si>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</si>
  <si>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</si>
  <si>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</si>
  <si>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</si>
  <si>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</si>
  <si>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</si>
  <si>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</si>
  <si>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</si>
  <si>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</si>
  <si>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</si>
  <si>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</si>
  <si>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</si>
  <si>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</si>
  <si>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</si>
  <si>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</si>
  <si>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</si>
  <si>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</si>
  <si>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</si>
  <si>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</si>
  <si>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</si>
  <si>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</si>
  <si>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</si>
  <si>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</si>
  <si>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</si>
  <si>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</si>
  <si>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</si>
  <si>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</si>
  <si>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</si>
  <si>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</si>
  <si>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</si>
  <si>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</si>
  <si>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</si>
  <si>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</si>
  <si>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</si>
  <si>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</si>
  <si>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</si>
  <si>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</si>
  <si>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</si>
  <si>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</si>
  <si>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</si>
  <si>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</si>
  <si>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</si>
  <si>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</si>
  <si>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</si>
  <si>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</si>
  <si>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</si>
  <si>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</si>
  <si>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</si>
  <si>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</si>
  <si>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</si>
  <si>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</si>
  <si>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</si>
  <si>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</si>
  <si>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</si>
  <si>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</si>
  <si>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</si>
  <si>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</si>
  <si>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</si>
  <si>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</si>
  <si>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</si>
  <si>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</si>
  <si>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</si>
  <si>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</si>
  <si>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</si>
  <si>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</si>
  <si>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</si>
  <si>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</si>
  <si>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</si>
  <si>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</si>
  <si>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</si>
  <si>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</si>
  <si>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</si>
  <si>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</si>
  <si>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</si>
  <si>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</si>
  <si>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</si>
  <si>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</si>
  <si>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</si>
  <si>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</si>
  <si>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</si>
  <si>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</si>
  <si>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</si>
  <si>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</si>
  <si>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</si>
  <si>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</si>
  <si>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</si>
  <si>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</si>
  <si>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</si>
  <si>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</si>
  <si>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</si>
  <si>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</si>
  <si>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</si>
  <si>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</si>
  <si>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</si>
  <si>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</si>
  <si>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</si>
  <si>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</si>
  <si>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</si>
  <si>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</si>
  <si>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</si>
  <si>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</si>
  <si>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</si>
  <si>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</si>
  <si>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</si>
  <si>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</si>
  <si>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</si>
  <si>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</si>
  <si>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</si>
  <si>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</si>
  <si>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</si>
  <si>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</si>
  <si>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</si>
  <si>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</si>
  <si>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</si>
  <si>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</si>
  <si>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</si>
  <si>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</si>
  <si>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</si>
  <si>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</si>
  <si>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</si>
  <si>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</si>
  <si>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</si>
  <si>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</si>
  <si>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</si>
  <si>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</si>
  <si>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</si>
  <si>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</si>
  <si>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</si>
  <si>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</si>
  <si>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</si>
  <si>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</si>
  <si>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</si>
  <si>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</si>
  <si>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</si>
  <si>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</si>
  <si>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</si>
  <si>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</si>
  <si>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</si>
  <si>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</si>
  <si>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</si>
  <si>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</si>
  <si>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</si>
  <si>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</si>
  <si>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</si>
  <si>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</si>
  <si>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</si>
  <si>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</si>
  <si>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</si>
  <si>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</si>
  <si>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</si>
  <si>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</si>
  <si>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</si>
  <si>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</si>
  <si>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</si>
  <si>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</si>
  <si>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</si>
  <si>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</si>
  <si>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</si>
  <si>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</si>
  <si>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</si>
  <si>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</si>
  <si>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</si>
  <si>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</si>
  <si>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</si>
  <si>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</si>
  <si>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</si>
  <si>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</si>
  <si>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</si>
  <si>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</si>
  <si>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</si>
  <si>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</si>
  <si>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</si>
  <si>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</si>
  <si>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</si>
  <si>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</si>
  <si>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</si>
  <si>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</si>
  <si>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</si>
  <si>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</si>
  <si>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</si>
  <si>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</si>
  <si>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</si>
  <si>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</si>
  <si>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</si>
  <si>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</si>
  <si>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</si>
  <si>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</si>
  <si>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</si>
  <si>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</si>
  <si>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</si>
  <si>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</si>
  <si>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</si>
  <si>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</si>
  <si>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</si>
  <si>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</si>
  <si>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</si>
  <si>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</si>
  <si>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</si>
  <si>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</si>
  <si>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</si>
  <si>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</si>
  <si>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</si>
  <si>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</si>
  <si>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</si>
  <si>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</si>
  <si>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</si>
  <si>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</si>
  <si>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</si>
  <si>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</si>
  <si>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</si>
  <si>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</si>
  <si>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</si>
  <si>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</si>
  <si>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</si>
  <si>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</si>
  <si>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</si>
  <si>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</si>
  <si>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</si>
  <si>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</si>
  <si>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</si>
  <si>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</si>
  <si>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</si>
  <si>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</si>
  <si>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</si>
  <si>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</si>
  <si>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</si>
  <si>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</si>
  <si>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</si>
  <si>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</si>
  <si>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</si>
  <si>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</si>
  <si>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</si>
  <si>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</si>
  <si>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</si>
  <si>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</si>
  <si>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</si>
  <si>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</si>
  <si>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</si>
  <si>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</si>
  <si>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</si>
  <si>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</si>
  <si>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</si>
  <si>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</si>
  <si>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</si>
  <si>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</si>
  <si>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</si>
  <si>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</si>
  <si>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</si>
  <si>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</si>
  <si>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</si>
  <si>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</si>
  <si>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</si>
  <si>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</si>
  <si>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</si>
  <si>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</si>
  <si>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</si>
  <si>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</si>
  <si>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</si>
  <si>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</si>
  <si>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</si>
  <si>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</si>
  <si>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</si>
  <si>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</si>
  <si>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</si>
  <si>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</si>
  <si>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</si>
  <si>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</si>
  <si>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</si>
  <si>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</si>
  <si>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</si>
  <si>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</si>
  <si>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</si>
  <si>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</si>
  <si>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</si>
  <si>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</si>
  <si>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</si>
  <si>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</si>
  <si>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</si>
  <si>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</si>
  <si>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</si>
  <si>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</si>
  <si>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</si>
  <si>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</si>
  <si>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</si>
  <si>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</si>
  <si>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</si>
  <si>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</si>
  <si>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</si>
  <si>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</si>
  <si>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</si>
  <si>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</si>
  <si>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</si>
  <si>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</si>
  <si>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</si>
  <si>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</si>
  <si>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</si>
  <si>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</si>
  <si>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</si>
  <si>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</si>
  <si>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</si>
  <si>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</si>
  <si>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</si>
  <si>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</si>
  <si>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</si>
  <si>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</si>
  <si>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</si>
  <si>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</si>
  <si>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</si>
  <si>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</si>
  <si>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</si>
  <si>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</si>
  <si>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</si>
  <si>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</si>
  <si>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</si>
  <si>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</si>
  <si>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</si>
  <si>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</si>
  <si>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</si>
  <si>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</si>
  <si>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</si>
  <si>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</si>
  <si>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</si>
  <si>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</si>
  <si>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</si>
  <si>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</si>
  <si>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</si>
  <si>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</si>
  <si>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</si>
  <si>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</si>
  <si>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</si>
  <si>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</si>
  <si>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</si>
  <si>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</si>
  <si>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</si>
  <si>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</si>
  <si>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</si>
  <si>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</si>
  <si>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</si>
  <si>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</si>
  <si>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</si>
  <si>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</si>
  <si>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</si>
  <si>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</si>
  <si>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</si>
  <si>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</si>
  <si>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</si>
  <si>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</si>
  <si>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</si>
  <si>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</si>
  <si>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</si>
  <si>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</si>
  <si>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</si>
  <si>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</si>
  <si>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</si>
  <si>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</si>
  <si>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</si>
  <si>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</si>
  <si>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</si>
  <si>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</si>
  <si>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</si>
  <si>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</si>
  <si>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</si>
  <si>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</si>
  <si>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</si>
  <si>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</si>
  <si>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</si>
  <si>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</si>
  <si>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</si>
  <si>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</si>
  <si>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</si>
  <si>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</si>
  <si>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</si>
  <si>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</si>
  <si>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</si>
  <si>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</si>
  <si>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</si>
  <si>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</si>
  <si>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</si>
  <si>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</si>
  <si>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</si>
  <si>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</si>
  <si>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</si>
  <si>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</si>
  <si>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</si>
  <si>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</si>
  <si>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</si>
  <si>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</si>
  <si>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</si>
  <si>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</si>
  <si>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</si>
  <si>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</si>
  <si>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</si>
  <si>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</si>
  <si>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</si>
  <si>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</si>
  <si>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</si>
  <si>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</si>
  <si>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</si>
  <si>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</si>
  <si>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</si>
  <si>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</si>
  <si>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</si>
  <si>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</si>
  <si>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</si>
  <si>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</si>
  <si>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</si>
  <si>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</si>
  <si>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</si>
  <si>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</si>
  <si>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</si>
  <si>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</si>
  <si>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</si>
  <si>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</si>
  <si>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</si>
  <si>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</si>
  <si>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</si>
  <si>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</si>
  <si>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</si>
  <si>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</si>
  <si>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</si>
  <si>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</si>
  <si>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</si>
  <si>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</si>
  <si>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</si>
  <si>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</si>
  <si>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</si>
  <si>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</si>
  <si>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</si>
  <si>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</si>
  <si>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</si>
  <si>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</si>
  <si>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</si>
  <si>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</si>
  <si>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</si>
  <si>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</si>
  <si>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</si>
  <si>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</si>
  <si>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</si>
  <si>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</si>
  <si>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</si>
  <si>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</si>
  <si>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</si>
  <si>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</si>
  <si>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</si>
  <si>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</si>
  <si>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</si>
  <si>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</si>
  <si>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</si>
  <si>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</si>
  <si>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</si>
  <si>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</si>
  <si>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</si>
  <si>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</si>
  <si>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</si>
  <si>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</si>
  <si>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</si>
  <si>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</si>
  <si>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</si>
  <si>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</si>
  <si>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</si>
  <si>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</si>
  <si>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</si>
  <si>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</si>
  <si>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</si>
  <si>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</si>
  <si>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</si>
  <si>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</si>
  <si>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</si>
  <si>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</si>
  <si>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</si>
  <si>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</si>
  <si>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</si>
  <si>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</si>
  <si>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</si>
  <si>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</si>
  <si>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</si>
  <si>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</si>
  <si>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</si>
  <si>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</si>
  <si>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</si>
  <si>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</si>
  <si>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</si>
  <si>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</si>
  <si>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</si>
  <si>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</si>
  <si>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</si>
  <si>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</si>
  <si>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</si>
  <si>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</si>
  <si>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</si>
  <si>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</si>
  <si>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</si>
  <si>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</si>
  <si>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</si>
  <si>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</si>
  <si>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</si>
  <si>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</si>
  <si>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</si>
  <si>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</si>
  <si>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</si>
  <si>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</si>
  <si>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</si>
  <si>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</si>
  <si>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</si>
  <si>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</si>
  <si>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</si>
  <si>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</si>
  <si>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</si>
  <si>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</si>
  <si>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</si>
  <si>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</si>
  <si>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</si>
  <si>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</si>
  <si>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</si>
  <si>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</si>
  <si>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</si>
  <si>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</si>
  <si>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</si>
  <si>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</si>
  <si>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</si>
  <si>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</si>
  <si>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</si>
  <si>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</si>
  <si>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</si>
  <si>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</si>
  <si>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</si>
  <si>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</si>
  <si>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</si>
  <si>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</si>
  <si>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</si>
  <si>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</si>
  <si>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</si>
  <si>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</si>
  <si>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</si>
  <si>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</si>
  <si>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</si>
  <si>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</si>
  <si>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</si>
  <si>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</si>
  <si>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</si>
  <si>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</si>
  <si>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</si>
  <si>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</si>
  <si>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</si>
  <si>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</si>
  <si>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</si>
  <si>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</si>
  <si>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</si>
  <si>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</si>
  <si>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</si>
  <si>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</si>
  <si>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</si>
  <si>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</si>
  <si>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</si>
  <si>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</si>
  <si>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</si>
  <si>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</si>
  <si>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</si>
  <si>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</si>
  <si>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</si>
  <si>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</si>
  <si>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</si>
  <si>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</si>
  <si>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</si>
  <si>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</si>
  <si>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</si>
  <si>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</si>
  <si>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</si>
  <si>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</si>
  <si>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</si>
  <si>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</si>
  <si>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</si>
  <si>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</si>
  <si>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</si>
  <si>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</si>
  <si>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</si>
  <si>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</si>
  <si>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</si>
  <si>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</si>
  <si>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</si>
  <si>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</si>
  <si>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</si>
  <si>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</si>
  <si>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</si>
  <si>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</si>
  <si>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</si>
  <si>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</si>
  <si>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</si>
  <si>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</si>
  <si>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</si>
  <si>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</si>
  <si>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</si>
  <si>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</si>
  <si>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</si>
  <si>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</si>
  <si>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</si>
  <si>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</si>
  <si>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</si>
  <si>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</si>
  <si>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</si>
  <si>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</si>
  <si>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</si>
  <si>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</si>
  <si>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</si>
  <si>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</si>
  <si>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</si>
  <si>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</si>
  <si>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</si>
  <si>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</si>
  <si>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</si>
  <si>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</si>
  <si>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</si>
  <si>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</si>
  <si>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</si>
  <si>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</si>
  <si>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</si>
  <si>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</si>
  <si>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</si>
  <si>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</si>
  <si>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</si>
  <si>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</si>
  <si>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</si>
  <si>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</si>
  <si>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</si>
  <si>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</si>
  <si>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</si>
  <si>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</si>
  <si>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</si>
  <si>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</si>
  <si>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</si>
  <si>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</si>
  <si>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</si>
  <si>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</si>
  <si>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</si>
  <si>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</si>
  <si>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</si>
  <si>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</si>
  <si>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</si>
  <si>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</si>
  <si>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</si>
  <si>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</si>
  <si>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</si>
  <si>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</si>
  <si>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</si>
  <si>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</si>
  <si>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</si>
  <si>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</si>
  <si>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</si>
  <si>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</si>
  <si>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</si>
  <si>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</si>
  <si>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</si>
  <si>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</si>
  <si>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</si>
  <si>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</si>
  <si>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</si>
  <si>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</si>
  <si>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</si>
  <si>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</si>
  <si>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</si>
  <si>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</si>
  <si>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</si>
  <si>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</si>
  <si>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</si>
  <si>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</si>
  <si>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</si>
  <si>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</si>
  <si>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</si>
  <si>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</si>
  <si>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</si>
  <si>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</si>
  <si>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</si>
  <si>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</si>
  <si>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</si>
  <si>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</si>
  <si>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</si>
  <si>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</si>
  <si>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</si>
  <si>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</si>
  <si>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</si>
  <si>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</si>
  <si>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</si>
  <si>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</si>
  <si>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</si>
  <si>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</si>
  <si>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</si>
  <si>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</si>
  <si>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</si>
  <si>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</si>
  <si>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</si>
  <si>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</si>
  <si>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</si>
  <si>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</si>
  <si>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</si>
  <si>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</si>
  <si>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</si>
  <si>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</si>
  <si>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</si>
  <si>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</si>
  <si>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</si>
  <si>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</si>
  <si>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</si>
  <si>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</si>
  <si>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</si>
  <si>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</si>
  <si>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</si>
  <si>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</si>
  <si>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</si>
  <si>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</si>
  <si>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</si>
  <si>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</si>
  <si>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</si>
  <si>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</si>
  <si>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</si>
  <si>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</si>
  <si>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</si>
  <si>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</si>
  <si>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</si>
  <si>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</si>
  <si>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GFX SE Faceplate</t>
  </si>
  <si>
    <t>FTView SE</t>
  </si>
  <si>
    <t>GFX</t>
  </si>
  <si>
    <t>GGFX SE Graphic Symbols (Launch Buttons)</t>
  </si>
  <si>
    <t>GGFX</t>
  </si>
  <si>
    <t>GGFX SE Toolbox</t>
  </si>
  <si>
    <t>GFX ME Faceplate</t>
  </si>
  <si>
    <t>FTView ME</t>
  </si>
  <si>
    <t>GGFX ME Graphic Symbols</t>
  </si>
  <si>
    <t>GGFX ME Toolbox</t>
  </si>
  <si>
    <t>ViewDesigner File</t>
  </si>
  <si>
    <t>View Designer</t>
  </si>
  <si>
    <t>VPD</t>
  </si>
  <si>
    <t>ViewDesigner Faceplate (within VPD)</t>
  </si>
  <si>
    <t>ACM Asset-Control</t>
  </si>
  <si>
    <t>ACM</t>
  </si>
  <si>
    <t>HSL4</t>
  </si>
  <si>
    <t>ACM LD</t>
  </si>
  <si>
    <t>AOI (instance)</t>
  </si>
  <si>
    <t>Logix Designer</t>
  </si>
  <si>
    <t>L5X</t>
  </si>
  <si>
    <t>Control Strategy (Rung)</t>
  </si>
  <si>
    <t>AOI (Export)</t>
  </si>
  <si>
    <t>Control Strategy (Routine)</t>
  </si>
  <si>
    <t>Not explicitly provided in any Device Object Libraries</t>
  </si>
  <si>
    <t>Control Strategy (Program)</t>
  </si>
  <si>
    <t>Object Name</t>
  </si>
  <si>
    <t>Major Version</t>
  </si>
  <si>
    <t>Minor Version</t>
  </si>
  <si>
    <t>Maintenance Version</t>
  </si>
  <si>
    <t>Object Library</t>
  </si>
  <si>
    <t>Object Type</t>
  </si>
  <si>
    <t>Object Category</t>
  </si>
  <si>
    <t>00</t>
  </si>
  <si>
    <t>Power</t>
  </si>
  <si>
    <t>Analog</t>
  </si>
  <si>
    <t>01</t>
  </si>
  <si>
    <t>Network</t>
  </si>
  <si>
    <t>Operation</t>
  </si>
  <si>
    <t>Digital</t>
  </si>
  <si>
    <t>02</t>
  </si>
  <si>
    <t>IO-Link</t>
  </si>
  <si>
    <t>Technology</t>
  </si>
  <si>
    <t>Communication</t>
  </si>
  <si>
    <t>03</t>
  </si>
  <si>
    <t>IO</t>
  </si>
  <si>
    <t>Module</t>
  </si>
  <si>
    <t>PowerDiscrete</t>
  </si>
  <si>
    <t>04</t>
  </si>
  <si>
    <t>PowerMonitor</t>
  </si>
  <si>
    <t>05</t>
  </si>
  <si>
    <t>Ethernet</t>
  </si>
  <si>
    <t>PowerMotion</t>
  </si>
  <si>
    <t>06</t>
  </si>
  <si>
    <t>Condition-Monitoring</t>
  </si>
  <si>
    <t>PowerVelocity</t>
  </si>
  <si>
    <t>AI</t>
  </si>
  <si>
    <t>Kinetix5100</t>
  </si>
  <si>
    <t>08</t>
  </si>
  <si>
    <t>ACM_2.00</t>
  </si>
  <si>
    <t>09</t>
  </si>
  <si>
    <t>MettlerToledo</t>
  </si>
  <si>
    <t>Switch</t>
  </si>
  <si>
    <t>10</t>
  </si>
  <si>
    <t>Hardy</t>
  </si>
  <si>
    <t>DLR</t>
  </si>
  <si>
    <t>11</t>
  </si>
  <si>
    <t>12</t>
  </si>
  <si>
    <t>POWER DEVICE LIBRARY</t>
  </si>
  <si>
    <t>NETWORK DEVICE LIBRARY</t>
  </si>
  <si>
    <t>IO-LINK DEVICE LIBRARY</t>
  </si>
  <si>
    <t>SAFETY DEVICE LIBRARY</t>
  </si>
  <si>
    <t>IO DEVICE LIBRARY</t>
  </si>
  <si>
    <t>STUDIO 5000 LOGIX DESIGNER</t>
  </si>
  <si>
    <t>AOI Definition General</t>
  </si>
  <si>
    <t>DLR is missing revision notes</t>
  </si>
  <si>
    <t>StratixAll is v12.1?</t>
  </si>
  <si>
    <t>AOI local tags</t>
  </si>
  <si>
    <t>IO-Link has no version reference in local tags</t>
  </si>
  <si>
    <t>Safety has no version reference in local tags</t>
  </si>
  <si>
    <t>StratixAll has no version reference in local tags</t>
  </si>
  <si>
    <t>AOI Help</t>
  </si>
  <si>
    <t>No Revision Notes For DLR and StratixAll</t>
  </si>
  <si>
    <t>No Revision Notes For IO-Link</t>
  </si>
  <si>
    <t>Rung Comment</t>
  </si>
  <si>
    <t>STUDIO 5000 ACM</t>
  </si>
  <si>
    <t>FactoryTalk View SE/ME</t>
  </si>
  <si>
    <t>Version Indentifier Global Object (all)</t>
  </si>
  <si>
    <t>Launch Button</t>
  </si>
  <si>
    <t>Power Device</t>
  </si>
  <si>
    <t>There actuall are no launch buttons for these.  This is from Demo</t>
  </si>
  <si>
    <t>No need for version reference because there is no AOI. Display name called out explictly</t>
  </si>
  <si>
    <t>Power Monitor Device</t>
  </si>
  <si>
    <t>ITEM</t>
  </si>
  <si>
    <t>Generic</t>
  </si>
  <si>
    <t>Device Objects Library Current</t>
  </si>
  <si>
    <t>Device Objects Library Proposed</t>
  </si>
  <si>
    <t>Process Library</t>
  </si>
  <si>
    <t>Machine Builder Library</t>
  </si>
  <si>
    <t>(raLIB-X_YY-SE) raLIB_TYP_NAME-Faceplate.gfx</t>
  </si>
  <si>
    <t>(raC-X_YY-SE) raC_TYP_NAME-Faceplate.gfx
(raC_SE) raC_TYP_NAME-Faceplate.gfx
(raC-SE) raC_TYP_NAME_FP.gfx</t>
  </si>
  <si>
    <t>(raC-X_YY-SE) raC_TYP_NAME-Faceplate.gfx</t>
  </si>
  <si>
    <t>(raP-X_YY-SE) raP_TYP_NAME-Faceplate.gfx</t>
  </si>
  <si>
    <t>(raM-SE) raM_TYP_NAME-Faceplate.gfx</t>
  </si>
  <si>
    <t>(raLIB-X-SE) Graphic Symbols - raLIB_TYP_NAME.ggfx</t>
  </si>
  <si>
    <t>(raC-SE) TYP_CAT-Global.ggfx
NAME.ggfx</t>
  </si>
  <si>
    <t>(raC-X-SE) Graphic Symbols - raC_TYP_NAME.ggfx</t>
  </si>
  <si>
    <t>(raP-X-SE) Graphic Symbols - raP_TYP_NAME.ggfx</t>
  </si>
  <si>
    <t>(raM-SE) raM_TYP_NAME-Global.ggfx</t>
  </si>
  <si>
    <t>(raLIB-X-SE) Toolbox -CAT Objects.ggfx</t>
  </si>
  <si>
    <t>(raC-X-SE) Toolbox - CAT.ggfx</t>
  </si>
  <si>
    <t>(raC-X-SE) Toolbox -CAT Objects.ggfx</t>
  </si>
  <si>
    <t>(raP-X-SE) Toolbox - CAT Objects.ggfx</t>
  </si>
  <si>
    <t>N/A</t>
  </si>
  <si>
    <t>GGFX SE SDK Toolbox</t>
  </si>
  <si>
    <t>(raSDK-X-SE) Toolbox -Common Objects.ggfx</t>
  </si>
  <si>
    <t>(raC-SDK-SE) Toolbox - Framework.ggfx</t>
  </si>
  <si>
    <t>(raSDK-X-SE) Toolbox - Common Objects.ggfx</t>
  </si>
  <si>
    <t>(raLIB-X_YY-ME) raLIB_TYP_NAME-Faceplate.gfx</t>
  </si>
  <si>
    <t>(raC-X_YY-ME) raC_TYP_NAME-Faceplate.gfx
(raC_ME) raC_TYP_NAME-Faceplate.gfx
(raC-ME) raC_TYP_NAME_FP.gfx</t>
  </si>
  <si>
    <t>(raC-X_YY-ME) raC_TYP_NAME-Faceplate.gfx</t>
  </si>
  <si>
    <t>(raM-ME) raM_TYP_NAME-Faceplate.gfx</t>
  </si>
  <si>
    <t>(raLIB-X-ME) Graphic Symbols - raLIB_TYP_NAME.ggfx</t>
  </si>
  <si>
    <t>(raC-ME) TYP_CAT-Global.ggfx
NAME.ggfx</t>
  </si>
  <si>
    <t>(raC-X-ME) Graphic Symbols - raC_TYP_NAME.ggfx</t>
  </si>
  <si>
    <t>(raM-ME) raM_TYP_NAME-Global.ggfx</t>
  </si>
  <si>
    <t>(raLIB-X-ME) Toolbox -CAT Objects.ggfx</t>
  </si>
  <si>
    <t>(raC-X-ME) Toolbox - CAT.ggfx</t>
  </si>
  <si>
    <t>(raC-X-ME) Toolbox -CAT Objects.ggfx</t>
  </si>
  <si>
    <t>GGFX ME SDK Toolbox</t>
  </si>
  <si>
    <t>(raSDK-X-ME) Toolbox -Common Objects.ggfx</t>
  </si>
  <si>
    <t>(raC-SDK-ME) Toolbox - Framework.ggfx</t>
  </si>
  <si>
    <t>ViewDesigner Faceplate</t>
  </si>
  <si>
    <t>(raLIB-X_YY-VD) raLIB_TYP_NAME.vpd</t>
  </si>
  <si>
    <t>raC_TYP_NAME_FP.vpd
raC_TYP_NAME.vpd</t>
  </si>
  <si>
    <t>(raC-X_YY-VD) raC_TYP_NAME.vpd</t>
  </si>
  <si>
    <t>raM_TYP_NAME.vpd</t>
  </si>
  <si>
    <t>(RA-LIB) raLIB_TYP_NAME_X_YY_ZZ_RUNG.L5X</t>
  </si>
  <si>
    <t>raC_TYP_NAME_Rung</t>
  </si>
  <si>
    <t>(RA-LIB) raC_TYP_NAME_X_YY_ZZ_RUNG.L5X</t>
  </si>
  <si>
    <t>(RA-LIB) raLIB_TYP_NAME_X_YY_ZZ_ROUTINE.L5X</t>
  </si>
  <si>
    <t>(RA-LIB) raC_TYP_NAME_X_YY_ZZ_ROUTINE.L5X</t>
  </si>
  <si>
    <t>(RA-LIB)CS_raC_TYP_NAME_X_YY_ZZ_ROUTINE.L5X</t>
  </si>
  <si>
    <t>(RA-LIB) raLIB_TYP_NAME_X_YY_ZZ_PROGRAM.L5X</t>
  </si>
  <si>
    <t>(RA-LIB) raC_TYP_NAME_X_YY_ZZ_PROGRAM.L5X</t>
  </si>
  <si>
    <t>(RA-LIB)CS_raC_TYP_NAME_X_YY_ZZ_PROGRAM.L5X</t>
  </si>
  <si>
    <t>AOI</t>
  </si>
  <si>
    <t>raLIB_TYP_NAME_X.YY.ZZ_AOI.L5X</t>
  </si>
  <si>
    <t>raC_TYP_NAME_AOI
rac_TYP_NAME_AOI_NPDT</t>
  </si>
  <si>
    <t>raC_TYP_NAME_X.YY.ZZ_AOI.L5X</t>
  </si>
  <si>
    <t>raM_TYP_NAME</t>
  </si>
  <si>
    <t>(RA-LIB)_LIBRARY_Asset-Control_CAT_raLIB_TYP_NAME_(X.Y).HSL4</t>
  </si>
  <si>
    <t>(RA-LIB)_Device_Asset-Control_CATEGORY_raC_TYP_NAME_(X.Y).HLS4</t>
  </si>
  <si>
    <t>(RA-LIB)_Device_Asset-Control_CAT_raC_TYP_NAME_(X.Y).HSL4</t>
  </si>
  <si>
    <t>(RA-LIB)_Machine_Asset-Control_CAT_raM_TYP_NAME_(X.Y).HSL4</t>
  </si>
  <si>
    <t>(RA-LIB)_LIBRARY_ACMCAT_CAT_raLIB_LD_NAME_(X.Y).HSL4</t>
  </si>
  <si>
    <t>(RA-LIB)_Device_ACMCAT_CATEGORY_raC_LD_TYP_NAME_(X.Y).HLS4 
(RA-LIB)_Device_ACMCAT_CATEGORY_raC_LD_NAME_(X.Y).HLS4</t>
  </si>
  <si>
    <t>(RA-LIB)_Device_ACMCAT_CAT_raC_LD_NAME_(X.Y).HSL4</t>
  </si>
  <si>
    <t>(RA-LIB)_Process_5_ACMCAT_NAME_(X.Y).HSL4</t>
  </si>
  <si>
    <t>(RA-LIB)_Machine_ACMCAT_CAT_raM_LD_NAME_(X.Y).HSL4</t>
  </si>
  <si>
    <t>*(X.Y) version for ACM is independent of LIB version. Ie: Process Lib 5.0 has HSL4 (1.0)</t>
  </si>
  <si>
    <t>LEGEND</t>
  </si>
  <si>
    <t>NAME</t>
  </si>
  <si>
    <t>Object Name; ie: PMTR, PF755, 1769IF16</t>
  </si>
  <si>
    <t>TYP</t>
  </si>
  <si>
    <t>Object Type; ie: Dvc, Opr, Tec</t>
  </si>
  <si>
    <t>CAT</t>
  </si>
  <si>
    <t>Category; ie: 1769-IO, PwrDiscrete, Common, Motor</t>
  </si>
  <si>
    <t>X</t>
  </si>
  <si>
    <t>Major Revision; ie: 5</t>
  </si>
  <si>
    <t>YY</t>
  </si>
  <si>
    <t>Minor Revision; ie: 02</t>
  </si>
  <si>
    <t>ZZ</t>
  </si>
  <si>
    <t>Maintenance Revision; ie: 03</t>
  </si>
  <si>
    <t>raLIB</t>
  </si>
  <si>
    <t>Rockwell Automation Library; ie: raM, raP, raC</t>
  </si>
  <si>
    <t>LIBRARY</t>
  </si>
  <si>
    <t>Full library name: ie: Machine, Device, Process</t>
  </si>
  <si>
    <t>ACMCAT</t>
  </si>
  <si>
    <t>ACM LD Object categories; ie: Device, Operation, Technology, Equipment Framekwork, Controller, etc</t>
  </si>
  <si>
    <t>DEFINITIONS</t>
  </si>
  <si>
    <t>Library Types:</t>
  </si>
  <si>
    <t>Dvc:</t>
  </si>
  <si>
    <r>
      <rPr>
        <b/>
        <sz val="11"/>
        <color theme="1"/>
        <rFont val="Calibri"/>
        <family val="2"/>
        <scheme val="minor"/>
      </rPr>
      <t>Device</t>
    </r>
    <r>
      <rPr>
        <sz val="11"/>
        <color theme="1"/>
        <rFont val="Calibri"/>
        <family val="2"/>
        <scheme val="minor"/>
      </rPr>
      <t xml:space="preserve"> Objects manage a specific device; ie: PF755</t>
    </r>
  </si>
  <si>
    <t>Opr:</t>
  </si>
  <si>
    <r>
      <rPr>
        <b/>
        <sz val="11"/>
        <color theme="1"/>
        <rFont val="Calibri"/>
        <family val="2"/>
        <scheme val="minor"/>
      </rPr>
      <t>Operation</t>
    </r>
    <r>
      <rPr>
        <sz val="11"/>
        <color theme="1"/>
        <rFont val="Calibri"/>
        <family val="2"/>
        <scheme val="minor"/>
      </rPr>
      <t xml:space="preserve"> objects command device to act, usually there is a direct interface to the device management object.  Often they are methods that have a direct dependence to the device management object.  Example: Datacollection using raC_Opr_CapturePV_REAL, raC_Opr_SafetyGroupMonitor, raC_Opr_NetDLR1, raC_Opr_E300_Energy</t>
    </r>
  </si>
  <si>
    <t>Tec:</t>
  </si>
  <si>
    <r>
      <rPr>
        <b/>
        <sz val="11"/>
        <color theme="1"/>
        <rFont val="Calibri"/>
        <family val="2"/>
        <scheme val="minor"/>
      </rPr>
      <t>Technology</t>
    </r>
    <r>
      <rPr>
        <sz val="11"/>
        <color theme="1"/>
        <rFont val="Calibri"/>
        <family val="2"/>
        <scheme val="minor"/>
      </rPr>
      <t xml:space="preserve"> objects perform specific algorithms or calculations.  Examples: unit conversion using raC_Tec_CnvtLen, raC_Tec_PwrVelocityStateMonitor</t>
    </r>
  </si>
  <si>
    <t>ACMCAT Types:</t>
  </si>
  <si>
    <t>Asset-Control</t>
  </si>
  <si>
    <t>"LOGIX TASK". All Devices, Operations, Technologies, or any other ACM instance requires an Asset-Control instance. Some objects can be exclusively Asset-Control (such as extensions like energy/state monitor). Objects only provided as assets.  Does not add in code to ACM.  Includes controller tags for InfTables (if applicable), add-on instructions (multiple versions if Power UDT/PDT), DataTypes, Attachements (gfx, ggfx, images ref manual.pdf, vpd)</t>
  </si>
  <si>
    <t>Device LD</t>
  </si>
  <si>
    <t>"LOGIX ROUTINE". Used to create a new routine instance in ACM.  Includes all related controller tags (if applicable), logix routine, hw modules (if applicable), SE/ME launch symbols</t>
  </si>
  <si>
    <t>Operation LD</t>
  </si>
  <si>
    <t>"LOGIX ROUTINE". Used to create a new routine instance in ACM.  Includes all logix routine, SE/ME launch symbols (if applicable), Controller Tags (If applicable)</t>
  </si>
  <si>
    <t>Technology LD</t>
  </si>
  <si>
    <t>"LOGIX ROUTINE" Includes Programs.</t>
  </si>
  <si>
    <t xml:space="preserve">Equipment Framework </t>
  </si>
  <si>
    <t>Provides a code infrastructure for equipment control based on industry standards. Combining strategies for the logical subdivision of a piece of equipment or machine with a procedural model to represent operating modes and states allows developers to confidently design machine and equipment control code.</t>
  </si>
  <si>
    <t>Controller</t>
  </si>
  <si>
    <t>ControlStrategies</t>
  </si>
  <si>
    <t>Includes Controller Tags, Tasks, Programs, AOIs, Data Types, FT View, FT Historian, IOSchedule (if applicable), ClassData (if applicable)</t>
  </si>
  <si>
    <t>Hardware Monitoring</t>
  </si>
  <si>
    <t>Historian</t>
  </si>
  <si>
    <t>HMI</t>
  </si>
  <si>
    <t>LogixFunctions</t>
  </si>
  <si>
    <t>Organization</t>
  </si>
  <si>
    <t>Project</t>
  </si>
  <si>
    <t>Libraries</t>
  </si>
  <si>
    <t>raM</t>
  </si>
  <si>
    <t>Rockwell Automation Machine Builder Library</t>
  </si>
  <si>
    <t>raP</t>
  </si>
  <si>
    <t>Rockwell Automation Process Library</t>
  </si>
  <si>
    <t>Rockwell Automation Common Application Library (used by Common Application and Device Objects libraries)</t>
  </si>
  <si>
    <t>Revisions</t>
  </si>
  <si>
    <t>Major:</t>
  </si>
  <si>
    <t>Extreme technology change or user experience change.  Ie: Change from AOI to firmware, following ISA standards</t>
  </si>
  <si>
    <t>Minor:</t>
  </si>
  <si>
    <t>Change that breaks the link between the HMI and the AOI.  AOI may look different/have external parameters.  Ie: changing cmd_src to include external mode</t>
  </si>
  <si>
    <t>Maintenance:</t>
  </si>
  <si>
    <t>A bug or anomaly fix.  A maitenance release should allow the old HMI or AOI file to continue working with the old version.</t>
  </si>
  <si>
    <t>Toolboxes</t>
  </si>
  <si>
    <t>Lib</t>
  </si>
  <si>
    <t>(raC-X-xE) Toolbox - Power Device.ggfx</t>
  </si>
  <si>
    <t>(raC-SDK-xE) Toolbox - Framework.ggfx</t>
  </si>
  <si>
    <t>(raP-X-SE) Toolbox - Alarm Objects.ggfx</t>
  </si>
  <si>
    <t>Process</t>
  </si>
  <si>
    <t>(raP-X-SE) Toolbox - Analog Objects.ggfx</t>
  </si>
  <si>
    <t>(raP-X-SE) Toolbox - Command Source Objects.ggfx</t>
  </si>
  <si>
    <t>(raP-X-SE) Toolbox - Common Adv Objects.ggfx</t>
  </si>
  <si>
    <t>(raP-X-SE) Toolbox - Diagnostic Objects.ggfx</t>
  </si>
  <si>
    <t>(raP-X-SE) Toolbox - Equipment Objects.ggfx</t>
  </si>
  <si>
    <t>(raP-X-SE) Toolbox - Interlock Objects.ggfx</t>
  </si>
  <si>
    <t>(raP-X-SE) Toolbox - Logic Objects.ggfx</t>
  </si>
  <si>
    <t>(raP-X-SE) Toolbox - Misc Objects.ggfx</t>
  </si>
  <si>
    <t>(raP-X-SE) Toolbox - Motor Objects.ggfx</t>
  </si>
  <si>
    <t>(raP-X-SE) Toolbox - Prompt Objects.ggfx</t>
  </si>
  <si>
    <t>(raP-X-SE) Toolbox - Regulatory Objects.ggfx</t>
  </si>
  <si>
    <t>(raP-X-SE) Toolbox -Valve Objects.ggfx</t>
  </si>
  <si>
    <t>(raSDK-1-SE) Toolbox - Common Objects.ggfx</t>
  </si>
  <si>
    <t>(raP-X-SE) Toolbox - ControlLogix Objects.ggfx</t>
  </si>
  <si>
    <t>(raP-X-SE) Toolbox - Organization Objects.ggfx</t>
  </si>
  <si>
    <t>Parameter Type</t>
  </si>
  <si>
    <t>Format</t>
  </si>
  <si>
    <t>Subtype</t>
  </si>
  <si>
    <t>MSG</t>
  </si>
  <si>
    <t>GetAttrSgl</t>
  </si>
  <si>
    <t>ReadIndex</t>
  </si>
  <si>
    <t>CustGetSubIdx</t>
  </si>
  <si>
    <t>ReadSubIndex</t>
  </si>
  <si>
    <t>CustSetIdx</t>
  </si>
  <si>
    <t>Write Index</t>
  </si>
  <si>
    <t>CustSetSubIdx</t>
  </si>
  <si>
    <t>WriteSUbindex</t>
  </si>
  <si>
    <t>Interface</t>
  </si>
  <si>
    <t>Input</t>
  </si>
  <si>
    <t>Output</t>
  </si>
  <si>
    <t>Inf_Table</t>
  </si>
  <si>
    <t xml:space="preserve">Set inputs </t>
  </si>
  <si>
    <t>ViewOnly - Boolean</t>
  </si>
  <si>
    <t>ViewOnly - Analog</t>
  </si>
  <si>
    <t>MSGData</t>
  </si>
  <si>
    <t>Input to AOI - Boolean</t>
  </si>
  <si>
    <t>Output from AOI - Boolean</t>
  </si>
  <si>
    <t>Output from AOI - Bitwise Analog</t>
  </si>
  <si>
    <t>Output from AOI - Analog</t>
  </si>
  <si>
    <t>Config Input to AOI -Analog</t>
  </si>
  <si>
    <t>Setpoints Input to AOI - Analog</t>
  </si>
  <si>
    <t>Local - Analog / Boolean</t>
  </si>
  <si>
    <t>Ref_</t>
  </si>
  <si>
    <t>Msg</t>
  </si>
  <si>
    <t>ServiceType</t>
  </si>
  <si>
    <t>Ref_MsgXxxx</t>
  </si>
  <si>
    <t>Ref_Module</t>
  </si>
  <si>
    <t>SetAttrSgl</t>
  </si>
  <si>
    <t>Ref_Ctrl_Xxx</t>
  </si>
  <si>
    <t>Inp_Xxxx</t>
  </si>
  <si>
    <t>CustGetIdx</t>
  </si>
  <si>
    <t>Out_Xxxx</t>
  </si>
  <si>
    <t>Inf_Lookup</t>
  </si>
  <si>
    <t>Set_Xxxx</t>
  </si>
  <si>
    <t>CustGetAll</t>
  </si>
  <si>
    <t>Sts_Xxxx</t>
  </si>
  <si>
    <t>Val_Xxxx</t>
  </si>
  <si>
    <t>Ref_MsgDataXxx</t>
  </si>
  <si>
    <t>Cmd_Xxx</t>
  </si>
  <si>
    <t>Sts_Xxx</t>
  </si>
  <si>
    <t>Sts_eXxx</t>
  </si>
  <si>
    <t>Val_Xxx</t>
  </si>
  <si>
    <t>Cfg_Xxx</t>
  </si>
  <si>
    <t>Set_Xxx</t>
  </si>
  <si>
    <t>Wrk_Xxx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</si>
</sst>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 style="medium">
        <color rgb="FFA3A3A3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rgb="FFA3A3A3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A3A3A3"/>
      </right>
      <top style="medium">
        <color rgb="FFA3A3A3"/>
      </top>
      <bottom/>
      <diagonal/>
    </border>
  </borders>
  <cellStyleXfs count="2">
    <xf numFmtId="0" fontId="0" fillId="0" borderId="0"/>
    <xf numFmtId="0" fontId="9" fillId="4" borderId="0" applyNumberFormat="0" applyBorder="0" applyAlignment="0" applyProtection="0"/>
  </cellStyleXfs>
  <cellXfs count="2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5" xfId="0" applyFill="1" applyBorder="1"/>
    <xf numFmtId="49" fontId="0" fillId="3" borderId="5" xfId="0" applyNumberFormat="1" applyFill="1" applyBorder="1"/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10" fillId="0" borderId="0" xfId="0" applyFont="1"/>
    <xf numFmtId="0" fontId="11" fillId="0" borderId="0" xfId="0" applyFont="1"/>
    <xf numFmtId="0" fontId="8" fillId="4" borderId="0" xfId="1" applyFont="1"/>
  </cellXfs>
  <cellStyles count="2">
    <cellStyle name="Accent1" xfId="1" builtinId="29"/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border outline="0">
        <left style="medium">
          <color rgb="FFA3A3A3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/>
        <top style="thin">
          <color theme="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3</xdr:col>
      <xdr:colOff>1905</xdr:colOff>
      <xdr:row>25</xdr:row>
      <xdr:rowOff>26670</xdr:rowOff>
    </xdr:to>
    <xdr:pic>
      <xdr:nvPicPr>
        <xdr:cNvPr id="2" name="Picture 1" descr="Graphical user interface, application, Word&#10;&#10;Description automatically generated">
          <a:extLst>
            <a:ext uri="{FF2B5EF4-FFF2-40B4-BE49-F238E27FC236}">
              <a16:creationId xmlns:a16="http://schemas.microsoft.com/office/drawing/2014/main" id="{C91A872F-7FF9-4F19-8B22-B1FC5FE30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0659"/>
        <a:stretch/>
      </xdr:blipFill>
      <xdr:spPr>
        <a:xfrm>
          <a:off x="3299460" y="1097280"/>
          <a:ext cx="4436745" cy="34747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1905</xdr:colOff>
      <xdr:row>25</xdr:row>
      <xdr:rowOff>55245</xdr:rowOff>
    </xdr:to>
    <xdr:pic>
      <xdr:nvPicPr>
        <xdr:cNvPr id="3" name="Picture 2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CF716F17-8CF2-4145-ADF4-C027024F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8120" y="1097280"/>
          <a:ext cx="4436745" cy="34918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4387215</xdr:colOff>
      <xdr:row>25</xdr:row>
      <xdr:rowOff>100965</xdr:rowOff>
    </xdr:to>
    <xdr:pic>
      <xdr:nvPicPr>
        <xdr:cNvPr id="4" name="Picture 3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2217561B-544B-47F2-91D8-E125D0D67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36780" y="1097280"/>
          <a:ext cx="4438650" cy="35280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4364355</xdr:colOff>
      <xdr:row>34</xdr:row>
      <xdr:rowOff>97155</xdr:rowOff>
    </xdr:to>
    <xdr:pic>
      <xdr:nvPicPr>
        <xdr:cNvPr id="5" name="Picture 4" descr="Table&#10;&#10;Description automatically generated">
          <a:extLst>
            <a:ext uri="{FF2B5EF4-FFF2-40B4-BE49-F238E27FC236}">
              <a16:creationId xmlns:a16="http://schemas.microsoft.com/office/drawing/2014/main" id="{B46546B9-529D-4CDF-BFFB-D114ADB9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9460" y="5303520"/>
          <a:ext cx="4360545" cy="1009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4381500</xdr:colOff>
      <xdr:row>35</xdr:row>
      <xdr:rowOff>135255</xdr:rowOff>
    </xdr:to>
    <xdr:pic>
      <xdr:nvPicPr>
        <xdr:cNvPr id="6" name="Picture 5" descr="Table&#10;&#10;Description automatically generated">
          <a:extLst>
            <a:ext uri="{FF2B5EF4-FFF2-40B4-BE49-F238E27FC236}">
              <a16:creationId xmlns:a16="http://schemas.microsoft.com/office/drawing/2014/main" id="{07B823A1-DF07-4BD7-8D12-4CF84E16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8120" y="5303520"/>
          <a:ext cx="4381500" cy="12325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4364355</xdr:colOff>
      <xdr:row>42</xdr:row>
      <xdr:rowOff>96652</xdr:rowOff>
    </xdr:to>
    <xdr:pic>
      <xdr:nvPicPr>
        <xdr:cNvPr id="7" name="Picture 6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B4D52093-2B27-40A9-A5A6-02A663B6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8120" y="6583680"/>
          <a:ext cx="4360545" cy="11729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4387215</xdr:colOff>
      <xdr:row>35</xdr:row>
      <xdr:rowOff>55245</xdr:rowOff>
    </xdr:to>
    <xdr:pic>
      <xdr:nvPicPr>
        <xdr:cNvPr id="8" name="Picture 7" descr="Table&#10;&#10;Description automatically generated">
          <a:extLst>
            <a:ext uri="{FF2B5EF4-FFF2-40B4-BE49-F238E27FC236}">
              <a16:creationId xmlns:a16="http://schemas.microsoft.com/office/drawing/2014/main" id="{3898FB80-309A-41E0-9CE4-136521CC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36780" y="5303520"/>
          <a:ext cx="4400550" cy="1150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4381500</xdr:colOff>
      <xdr:row>65</xdr:row>
      <xdr:rowOff>57150</xdr:rowOff>
    </xdr:to>
    <xdr:pic>
      <xdr:nvPicPr>
        <xdr:cNvPr id="9" name="Picture 8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1BFE1DC9-59A0-4C6B-895F-981AB5F95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99460" y="8412480"/>
          <a:ext cx="4381500" cy="349186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4387215</xdr:colOff>
      <xdr:row>65</xdr:row>
      <xdr:rowOff>95250</xdr:rowOff>
    </xdr:to>
    <xdr:pic>
      <xdr:nvPicPr>
        <xdr:cNvPr id="10" name="Picture 9" descr="Graphical user interface, text, application&#10;&#10;Description automatically generated">
          <a:extLst>
            <a:ext uri="{FF2B5EF4-FFF2-40B4-BE49-F238E27FC236}">
              <a16:creationId xmlns:a16="http://schemas.microsoft.com/office/drawing/2014/main" id="{C89BDAF8-16D4-4C59-8A77-8B815F854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18120" y="8412480"/>
          <a:ext cx="4438650" cy="3524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65</xdr:row>
      <xdr:rowOff>95250</xdr:rowOff>
    </xdr:to>
    <xdr:pic>
      <xdr:nvPicPr>
        <xdr:cNvPr id="11" name="Picture 10" descr="Graphical user interface, text, application&#10;&#10;Description automatically generated">
          <a:extLst>
            <a:ext uri="{FF2B5EF4-FFF2-40B4-BE49-F238E27FC236}">
              <a16:creationId xmlns:a16="http://schemas.microsoft.com/office/drawing/2014/main" id="{65290E29-0632-4A36-B97F-59D1637A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36780" y="8412480"/>
          <a:ext cx="4457700" cy="35299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4387215</xdr:colOff>
      <xdr:row>85</xdr:row>
      <xdr:rowOff>95250</xdr:rowOff>
    </xdr:to>
    <xdr:pic>
      <xdr:nvPicPr>
        <xdr:cNvPr id="12" name="Picture 11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4E2F9B3C-6490-40BB-9B43-8AD942CDB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99460" y="12070080"/>
          <a:ext cx="4438650" cy="3524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4389120</xdr:colOff>
      <xdr:row>105</xdr:row>
      <xdr:rowOff>53340</xdr:rowOff>
    </xdr:to>
    <xdr:pic>
      <xdr:nvPicPr>
        <xdr:cNvPr id="13" name="Picture 12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0ADDEFB6-CE1A-4CEA-8FCC-228B5555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99460" y="15727680"/>
          <a:ext cx="4411980" cy="34880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4</xdr:col>
      <xdr:colOff>0</xdr:colOff>
      <xdr:row>105</xdr:row>
      <xdr:rowOff>20955</xdr:rowOff>
    </xdr:to>
    <xdr:pic>
      <xdr:nvPicPr>
        <xdr:cNvPr id="14" name="Picture 13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AE8B5E85-0CD7-41F6-BA6C-F0644FDEC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8120" y="15727680"/>
          <a:ext cx="4404360" cy="34709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4387215</xdr:colOff>
      <xdr:row>105</xdr:row>
      <xdr:rowOff>53340</xdr:rowOff>
    </xdr:to>
    <xdr:pic>
      <xdr:nvPicPr>
        <xdr:cNvPr id="15" name="Picture 14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4C003F62-2D1A-4DB3-AE55-BFE0FB77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36780" y="15727680"/>
          <a:ext cx="4427220" cy="348043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</xdr:colOff>
      <xdr:row>106</xdr:row>
      <xdr:rowOff>15240</xdr:rowOff>
    </xdr:from>
    <xdr:to>
      <xdr:col>4</xdr:col>
      <xdr:colOff>1</xdr:colOff>
      <xdr:row>113</xdr:row>
      <xdr:rowOff>97909</xdr:rowOff>
    </xdr:to>
    <xdr:pic>
      <xdr:nvPicPr>
        <xdr:cNvPr id="16" name="Picture 15" descr="Graphical user interface, text, application&#10;&#10;Description automatically generated">
          <a:extLst>
            <a:ext uri="{FF2B5EF4-FFF2-40B4-BE49-F238E27FC236}">
              <a16:creationId xmlns:a16="http://schemas.microsoft.com/office/drawing/2014/main" id="{567B0387-FFD0-440F-A3A1-063C236DC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36722"/>
        <a:stretch/>
      </xdr:blipFill>
      <xdr:spPr>
        <a:xfrm>
          <a:off x="7835265" y="19400520"/>
          <a:ext cx="4459606" cy="1357114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</xdr:row>
      <xdr:rowOff>0</xdr:rowOff>
    </xdr:from>
    <xdr:to>
      <xdr:col>6</xdr:col>
      <xdr:colOff>1</xdr:colOff>
      <xdr:row>25</xdr:row>
      <xdr:rowOff>96939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CDF02D6-BB05-408D-A8B1-94233138D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55441" y="1097280"/>
          <a:ext cx="4480560" cy="352593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29</xdr:row>
      <xdr:rowOff>0</xdr:rowOff>
    </xdr:from>
    <xdr:to>
      <xdr:col>6</xdr:col>
      <xdr:colOff>15241</xdr:colOff>
      <xdr:row>40</xdr:row>
      <xdr:rowOff>95702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799DFCD-2E93-4ACE-B185-76D8E0C1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55441" y="5303520"/>
          <a:ext cx="4533900" cy="207309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46</xdr:row>
      <xdr:rowOff>0</xdr:rowOff>
    </xdr:from>
    <xdr:to>
      <xdr:col>6</xdr:col>
      <xdr:colOff>1</xdr:colOff>
      <xdr:row>65</xdr:row>
      <xdr:rowOff>95328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F9EF32-A765-4F33-A33F-B432C1E8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55441" y="8412480"/>
          <a:ext cx="4511040" cy="35300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1</xdr:rowOff>
    </xdr:from>
    <xdr:to>
      <xdr:col>5</xdr:col>
      <xdr:colOff>4389120</xdr:colOff>
      <xdr:row>105</xdr:row>
      <xdr:rowOff>55246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44158BF-FB3F-4967-AE61-0525A9D49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55440" y="15727681"/>
          <a:ext cx="4411980" cy="348996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116</xdr:row>
      <xdr:rowOff>1</xdr:rowOff>
    </xdr:from>
    <xdr:to>
      <xdr:col>6</xdr:col>
      <xdr:colOff>1</xdr:colOff>
      <xdr:row>125</xdr:row>
      <xdr:rowOff>96034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A42F71A-6AA1-44E4-BCAC-24320CDC4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5441" y="21214081"/>
          <a:ext cx="4495800" cy="17286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1</xdr:rowOff>
    </xdr:from>
    <xdr:to>
      <xdr:col>2</xdr:col>
      <xdr:colOff>4389120</xdr:colOff>
      <xdr:row>126</xdr:row>
      <xdr:rowOff>98755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6E56EC-CAF9-430F-AF24-21EC89D06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99460" y="21214081"/>
          <a:ext cx="4450080" cy="1919934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129</xdr:row>
      <xdr:rowOff>167640</xdr:rowOff>
    </xdr:from>
    <xdr:to>
      <xdr:col>6</xdr:col>
      <xdr:colOff>3257144</xdr:colOff>
      <xdr:row>144</xdr:row>
      <xdr:rowOff>1589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967F827-2466-48EE-BF83-22AF8B181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389340" y="23759160"/>
          <a:ext cx="3247619" cy="2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1402081</xdr:colOff>
      <xdr:row>145</xdr:row>
      <xdr:rowOff>0</xdr:rowOff>
    </xdr:from>
    <xdr:to>
      <xdr:col>3</xdr:col>
      <xdr:colOff>1</xdr:colOff>
      <xdr:row>155</xdr:row>
      <xdr:rowOff>18919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E258B5F-93C4-46D6-8CF3-A2AF6C16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1361" y="26700480"/>
          <a:ext cx="4472940" cy="1838194"/>
        </a:xfrm>
        <a:prstGeom prst="rect">
          <a:avLst/>
        </a:prstGeom>
      </xdr:spPr>
    </xdr:pic>
    <xdr:clientData/>
  </xdr:twoCellAnchor>
  <xdr:twoCellAnchor editAs="oneCell">
    <xdr:from>
      <xdr:col>4</xdr:col>
      <xdr:colOff>4465321</xdr:colOff>
      <xdr:row>145</xdr:row>
      <xdr:rowOff>15241</xdr:rowOff>
    </xdr:from>
    <xdr:to>
      <xdr:col>6</xdr:col>
      <xdr:colOff>1</xdr:colOff>
      <xdr:row>165</xdr:row>
      <xdr:rowOff>17868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5591795-9B85-4AAD-B092-266E4BF05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802101" y="26715721"/>
          <a:ext cx="4541520" cy="362784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156</xdr:row>
      <xdr:rowOff>45720</xdr:rowOff>
    </xdr:from>
    <xdr:to>
      <xdr:col>2</xdr:col>
      <xdr:colOff>4387215</xdr:colOff>
      <xdr:row>166</xdr:row>
      <xdr:rowOff>134438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1293595-AA84-42D1-82FA-3D43C8885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14700" y="28757880"/>
          <a:ext cx="4457700" cy="189275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145</xdr:row>
      <xdr:rowOff>0</xdr:rowOff>
    </xdr:from>
    <xdr:to>
      <xdr:col>4</xdr:col>
      <xdr:colOff>1</xdr:colOff>
      <xdr:row>155</xdr:row>
      <xdr:rowOff>56226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C3D9718-7145-4171-8859-85B2827C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18121" y="26700480"/>
          <a:ext cx="4495800" cy="186216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4</xdr:col>
      <xdr:colOff>4389120</xdr:colOff>
      <xdr:row>155</xdr:row>
      <xdr:rowOff>130119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0F186FD-0FBC-40AC-981B-BD86C6350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336780" y="26700480"/>
          <a:ext cx="4411980" cy="194367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7</xdr:col>
      <xdr:colOff>308006</xdr:colOff>
      <xdr:row>155</xdr:row>
      <xdr:rowOff>175012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8AED98B-587A-48CC-B55B-45F1A83F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374100" y="26700480"/>
          <a:ext cx="4828571" cy="19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2956191</xdr:colOff>
      <xdr:row>164</xdr:row>
      <xdr:rowOff>57006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FE5F9C3-65B0-435C-ABB2-79E7FBEE7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374100" y="29077920"/>
          <a:ext cx="2952381" cy="1152381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166</xdr:row>
      <xdr:rowOff>0</xdr:rowOff>
    </xdr:from>
    <xdr:ext cx="4364355" cy="1002030"/>
    <xdr:pic>
      <xdr:nvPicPr>
        <xdr:cNvPr id="31" name="Picture 30" descr="Table&#10;&#10;Description automatically generated">
          <a:extLst>
            <a:ext uri="{FF2B5EF4-FFF2-40B4-BE49-F238E27FC236}">
              <a16:creationId xmlns:a16="http://schemas.microsoft.com/office/drawing/2014/main" id="{9F4DFF0E-C4EE-40A6-BEC5-91847A961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5650" y="5248275"/>
          <a:ext cx="4364355" cy="100203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4381500" cy="1221105"/>
    <xdr:pic>
      <xdr:nvPicPr>
        <xdr:cNvPr id="32" name="Picture 31" descr="Table&#10;&#10;Description automatically generated">
          <a:extLst>
            <a:ext uri="{FF2B5EF4-FFF2-40B4-BE49-F238E27FC236}">
              <a16:creationId xmlns:a16="http://schemas.microsoft.com/office/drawing/2014/main" id="{110E9018-94EE-4F9F-9ACF-1D9475A3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5248275"/>
          <a:ext cx="4381500" cy="122110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173</xdr:row>
      <xdr:rowOff>0</xdr:rowOff>
    </xdr:from>
    <xdr:ext cx="4364355" cy="1182502"/>
    <xdr:pic>
      <xdr:nvPicPr>
        <xdr:cNvPr id="33" name="Picture 32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4DDD878F-897B-4A40-8CF6-5DB6987F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6515100"/>
          <a:ext cx="4364355" cy="11825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0</xdr:colOff>
      <xdr:row>166</xdr:row>
      <xdr:rowOff>0</xdr:rowOff>
    </xdr:from>
    <xdr:ext cx="4396740" cy="1141095"/>
    <xdr:pic>
      <xdr:nvPicPr>
        <xdr:cNvPr id="34" name="Picture 33" descr="Table&#10;&#10;Description automatically generated">
          <a:extLst>
            <a:ext uri="{FF2B5EF4-FFF2-40B4-BE49-F238E27FC236}">
              <a16:creationId xmlns:a16="http://schemas.microsoft.com/office/drawing/2014/main" id="{FD2A6CAA-B6F2-4321-BA22-71476FC3A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25350" y="5248275"/>
          <a:ext cx="4396740" cy="1141095"/>
        </a:xfrm>
        <a:prstGeom prst="rect">
          <a:avLst/>
        </a:prstGeom>
      </xdr:spPr>
    </xdr:pic>
    <xdr:clientData/>
  </xdr:oneCellAnchor>
  <xdr:oneCellAnchor>
    <xdr:from>
      <xdr:col>5</xdr:col>
      <xdr:colOff>1</xdr:colOff>
      <xdr:row>166</xdr:row>
      <xdr:rowOff>0</xdr:rowOff>
    </xdr:from>
    <xdr:ext cx="4530090" cy="2086427"/>
    <xdr:pic>
      <xdr:nvPicPr>
        <xdr:cNvPr id="35" name="Picture 34">
          <a:extLst>
            <a:ext uri="{FF2B5EF4-FFF2-40B4-BE49-F238E27FC236}">
              <a16:creationId xmlns:a16="http://schemas.microsoft.com/office/drawing/2014/main" id="{6D5C2312-E94D-47D7-850D-0C1734861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40201" y="5248275"/>
          <a:ext cx="4530090" cy="208642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omas St.Onge" id="{D566775C-39AA-4C3C-ABA3-30AF632C4281}" userId="TLSt.Onge@rockwellautomation.com" providerId="PeoplePicker"/>
  <person displayName="Padmaraj Patil" id="{5569219A-E5EE-430F-A37B-96F47F6AD7C3}" userId="S::ppatil1@rockwellautomation.com::a8525f13-0fa2-4bdc-9704-f07715a31bff" providerId="AD"/>
  <person displayName="Vikram Rajaram Lokhande" id="{DA2A36D7-1A6E-4109-A9C0-504577078996}" userId="S::VLokhan2@rockwellautomation.com::33806207-6c31-4de0-94a3-f0e600dcaec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A7A59-DFA7-40F3-BBD3-2ED6AFD57B66}" name="Table1" displayName="Table1" ref="A11:XFD26" totalsRowShown="0">
  <autoFilter ref="A11:XFD26" xr:uid="{BE5A7A59-DFA7-40F3-BBD3-2ED6AFD57B66}"/>
  <tableColumns count="16384">
    <tableColumn id="1" xr3:uid="{3E57EAF6-05D0-4492-BA39-5DDFA7C2E69F}" name="File Type" dataDxfId="7"/>
    <tableColumn id="2" xr3:uid="{9ED76B8A-6D9B-44F3-AB8E-8520E2EEE7DD}" name="Application"/>
    <tableColumn id="3" xr3:uid="{ED1555EE-0E1A-429F-A7A4-B226A7F2B037}" name="File Name" dataDxfId="6"/>
    <tableColumn id="4" xr3:uid="{085E01AD-8662-49A0-AE21-3A237776A504}" name="Extension" dataDxfId="5"/>
    <tableColumn id="5" xr3:uid="{9004FCA4-A4ED-49E4-9D63-3B3A66346148}" name="Note"/>
    <tableColumn id="6" xr3:uid="{319AC13A-7CA5-4FC0-B041-9E02FF2941EA}" name="Column1"/>
    <tableColumn id="7" xr3:uid="{305004B3-42DC-46D8-82D4-D119058796E8}" name="Column2"/>
    <tableColumn id="8" xr3:uid="{4315E7E7-8A74-4B0B-96E6-F44088CBE053}" name="Column3"/>
    <tableColumn id="9" xr3:uid="{7EF208F7-681E-4982-A763-FD64A0514390}" name="Column4"/>
    <tableColumn id="10" xr3:uid="{C9F24274-7FDD-4FC3-9CF0-2CE4DD2C5044}" name="Column5"/>
    <tableColumn id="11" xr3:uid="{2F5C03CD-5135-4C8D-AAFE-F916BB73136B}" name="Column6"/>
    <tableColumn id="12" xr3:uid="{40CAF0E6-3E62-44A9-832D-81102A8D8FF8}" name="Column7"/>
    <tableColumn id="13" xr3:uid="{F8947272-9EED-42A5-9CC6-2FC869F33233}" name="Column8"/>
    <tableColumn id="14" xr3:uid="{A25F665A-9140-4AAC-A5A1-75E2AE4B2DCC}" name="Column9"/>
    <tableColumn id="15" xr3:uid="{0A9C0D98-378D-424A-AB68-AE7AB6A81615}" name="Column10"/>
    <tableColumn id="16" xr3:uid="{5C926606-1256-4561-AD8A-5941699DF378}" name="Column11"/>
    <tableColumn id="17" xr3:uid="{595F064A-5361-41CD-9653-5B4586049733}" name="Column12"/>
    <tableColumn id="18" xr3:uid="{C76572F4-91B7-4B02-B988-C7131B7F4AE3}" name="Column13"/>
    <tableColumn id="19" xr3:uid="{D84DDC4A-FDBC-4104-A52E-D7B00B9D2957}" name="Column14"/>
    <tableColumn id="20" xr3:uid="{3B639AB1-6804-424F-9D0A-C6AD66A8EED0}" name="Column15"/>
    <tableColumn id="21" xr3:uid="{5908CDC2-1E81-4464-B03F-745BD03E7028}" name="Column16"/>
    <tableColumn id="22" xr3:uid="{74464CC0-6C18-4C17-9CE2-AB6D3C0BB3A4}" name="Column17"/>
    <tableColumn id="23" xr3:uid="{BF979852-3AEA-4C10-9638-965BC8DB1A6A}" name="Column18"/>
    <tableColumn id="24" xr3:uid="{2F0396EE-F3D9-4C5A-B0A8-07625A3AFDD7}" name="Column19"/>
    <tableColumn id="25" xr3:uid="{43D3BAFE-2D7F-472C-AD97-A19D35B05565}" name="Column20"/>
    <tableColumn id="26" xr3:uid="{A64DFE5C-73DA-4DFB-B21F-DB93DFDD69DF}" name="Column21"/>
    <tableColumn id="27" xr3:uid="{3F3B9D83-239C-496E-939C-4C6D1F93A5F9}" name="Column22"/>
    <tableColumn id="28" xr3:uid="{FACD24A6-FE94-4364-B2FB-42F771ED529B}" name="Column23"/>
    <tableColumn id="29" xr3:uid="{A5FE14E2-E1B5-44B9-A54C-DE21D6CA0E1E}" name="Column24"/>
    <tableColumn id="30" xr3:uid="{D2886675-E723-4C10-9262-AB0E343794EA}" name="Column25"/>
    <tableColumn id="31" xr3:uid="{3A30CB29-32D1-4639-ADE2-FE307DBD6D2A}" name="Column26"/>
    <tableColumn id="32" xr3:uid="{F1712470-6089-49F0-9A82-402C43EAB51C}" name="Column27"/>
    <tableColumn id="33" xr3:uid="{2E51E854-B2A1-4B9D-9A50-3BCB313BEA6C}" name="Column28"/>
    <tableColumn id="34" xr3:uid="{D11C7954-039A-495F-AEA9-F8E30704B067}" name="Column29"/>
    <tableColumn id="35" xr3:uid="{40432DAF-5F0D-4E04-8265-A9E4EA25E48A}" name="Column30"/>
    <tableColumn id="36" xr3:uid="{047014EE-AB57-4E25-BFB9-6D59DE669A28}" name="Column31"/>
    <tableColumn id="37" xr3:uid="{4AF404F6-DF03-4FA4-9BC4-E4FB142DEDF1}" name="Column32"/>
    <tableColumn id="38" xr3:uid="{5E211CD3-E2B1-4347-A670-0CCA7A474CF1}" name="Column33"/>
    <tableColumn id="39" xr3:uid="{A8061A2D-3F1E-4E6C-8CAD-C8E8EFD802B1}" name="Column34"/>
    <tableColumn id="40" xr3:uid="{9420308B-7B87-45C9-9EF8-CCFAD8F5A4ED}" name="Column35"/>
    <tableColumn id="41" xr3:uid="{5E78DF69-4802-42A2-A7A5-40F9A23B9748}" name="Column36"/>
    <tableColumn id="42" xr3:uid="{838133EB-C940-437D-BF84-58A246775273}" name="Column37"/>
    <tableColumn id="43" xr3:uid="{184BC4DE-DABC-4C6B-8EF9-3558245ED09F}" name="Column38"/>
    <tableColumn id="44" xr3:uid="{36E96A73-6555-489E-A62B-2E8CE1820785}" name="Column39"/>
    <tableColumn id="45" xr3:uid="{00A9DAD5-74B7-4CE1-BDD6-50BC535FFDC0}" name="Column40"/>
    <tableColumn id="46" xr3:uid="{DC3EDF9A-DCD0-4EBF-A2A5-927D21A96190}" name="Column41"/>
    <tableColumn id="47" xr3:uid="{6211323E-64FF-4A4A-8E24-C20A55886F9B}" name="Column42"/>
    <tableColumn id="48" xr3:uid="{5CFBD158-607E-466C-BB7B-ED2B4DD1D542}" name="Column43"/>
    <tableColumn id="49" xr3:uid="{43E510DA-D1E6-4A74-9577-F64D3A544AEF}" name="Column44"/>
    <tableColumn id="50" xr3:uid="{676E4BB8-4AD2-441C-B05F-224B7A3BDC5B}" name="Column45"/>
    <tableColumn id="51" xr3:uid="{398B8F5D-5F4F-484A-8CE7-BB5EBF74E330}" name="Column46"/>
    <tableColumn id="52" xr3:uid="{F705A312-9EB3-423F-AA59-E56AD1DD1ECB}" name="Column47"/>
    <tableColumn id="53" xr3:uid="{9F7DC76C-70F2-491E-AE0A-E2AAC030F5FE}" name="Column48"/>
    <tableColumn id="54" xr3:uid="{9022B2F9-9904-4262-9264-0B78AB5BFECE}" name="Column49"/>
    <tableColumn id="55" xr3:uid="{CCF5CCFA-2BFC-4516-A098-2D6D06A75A5B}" name="Column50"/>
    <tableColumn id="56" xr3:uid="{F72F85CE-4301-42ED-B9DD-520AF6B25239}" name="Column51"/>
    <tableColumn id="57" xr3:uid="{1C8DC256-AFB8-42F7-A350-169631CB6DCD}" name="Column52"/>
    <tableColumn id="58" xr3:uid="{2C9B8AAA-66D7-4284-B2A8-B9CFCD411919}" name="Column53"/>
    <tableColumn id="59" xr3:uid="{F3E0F88F-E7CD-437B-AA46-CE148B091DD5}" name="Column54"/>
    <tableColumn id="60" xr3:uid="{CB9B810D-E102-436D-A8F7-4D51E06C7CE3}" name="Column55"/>
    <tableColumn id="61" xr3:uid="{8581C497-9EBA-46EE-8AE9-77BD489D2115}" name="Column56"/>
    <tableColumn id="62" xr3:uid="{86FADC61-BB6A-4682-915A-A40B550B166F}" name="Column57"/>
    <tableColumn id="63" xr3:uid="{F7D5F0C9-7A27-4025-A71E-8FE5BFD0E95A}" name="Column58"/>
    <tableColumn id="64" xr3:uid="{0922AF44-0410-4BCE-9F50-4ADF1FE988B3}" name="Column59"/>
    <tableColumn id="65" xr3:uid="{65B44CD9-1185-4452-AC77-A92DE36B053A}" name="Column60"/>
    <tableColumn id="66" xr3:uid="{BB73DBF4-6CB5-45A0-8A4E-77CAA29F0178}" name="Column61"/>
    <tableColumn id="67" xr3:uid="{A35F8452-C14A-4126-A7B1-A63DB3FBDB7A}" name="Column62"/>
    <tableColumn id="68" xr3:uid="{EDF715AB-0E67-46B9-8D48-856283FA79D0}" name="Column63"/>
    <tableColumn id="69" xr3:uid="{FB51F1B2-375E-4980-8E68-FE3C25BF7113}" name="Column64"/>
    <tableColumn id="70" xr3:uid="{FB066E1F-B52B-45FE-A987-134F47A67977}" name="Column65"/>
    <tableColumn id="71" xr3:uid="{A40C71F7-4643-44C8-B1FB-786DF95D92F0}" name="Column66"/>
    <tableColumn id="72" xr3:uid="{AC64E63F-0F50-471F-A724-540A4714ADF2}" name="Column67"/>
    <tableColumn id="73" xr3:uid="{2E4A64CC-6663-47F6-9D67-E4E2FFBA6914}" name="Column68"/>
    <tableColumn id="74" xr3:uid="{EE400D42-31A6-42C6-8EBC-E6FC31995A03}" name="Column69"/>
    <tableColumn id="75" xr3:uid="{C4A8D4A1-1564-4744-95B9-965E5DC12432}" name="Column70"/>
    <tableColumn id="76" xr3:uid="{557FBD4C-CCCD-453A-87EE-9A4DF75124D2}" name="Column71"/>
    <tableColumn id="77" xr3:uid="{5148FDAF-190A-4689-881A-E79CE5A035DB}" name="Column72"/>
    <tableColumn id="78" xr3:uid="{50138EC1-603E-4B8A-B08E-C16757B19AE8}" name="Column73"/>
    <tableColumn id="79" xr3:uid="{DAC8A88A-C6DF-40D0-BE46-639A784E129D}" name="Column74"/>
    <tableColumn id="80" xr3:uid="{4C0CF437-C157-4FEF-B377-C2A9D35DF5DB}" name="Column75"/>
    <tableColumn id="81" xr3:uid="{BD934218-24C3-4F78-B941-F47C5F4F28EB}" name="Column76"/>
    <tableColumn id="82" xr3:uid="{10362144-379E-490B-A136-86A0A17900E7}" name="Column77"/>
    <tableColumn id="83" xr3:uid="{F1FC9B8D-5FD9-4067-A1D1-422BE73FA04B}" name="Column78"/>
    <tableColumn id="84" xr3:uid="{64FF27C6-FB46-473E-B842-C0253EA01A91}" name="Column79"/>
    <tableColumn id="85" xr3:uid="{B92D3ED6-550B-4C26-B7EB-A9F72826BB3A}" name="Column80"/>
    <tableColumn id="86" xr3:uid="{C703EA4E-DEA5-4062-84F5-17AC4F066335}" name="Column81"/>
    <tableColumn id="87" xr3:uid="{EEC03760-4513-43CC-9705-8E517D4FD3F0}" name="Column82"/>
    <tableColumn id="88" xr3:uid="{41095976-0F11-4F49-AEF1-AB169C94B54D}" name="Column83"/>
    <tableColumn id="89" xr3:uid="{A539CC50-A970-4552-98FB-703E781D7079}" name="Column84"/>
    <tableColumn id="90" xr3:uid="{689DC6CA-DF1D-4304-9E14-D83BDDEE0A10}" name="Column85"/>
    <tableColumn id="91" xr3:uid="{EAD8825E-8253-4E12-A537-C6A9508A1288}" name="Column86"/>
    <tableColumn id="92" xr3:uid="{1CA6D39C-D9A0-4ADA-8BD6-425AD983EF78}" name="Column87"/>
    <tableColumn id="93" xr3:uid="{55E58E31-87E9-4E32-9F12-983563F482C7}" name="Column88"/>
    <tableColumn id="94" xr3:uid="{6F25C68C-DD68-4F40-92BB-15C3B2DD4BEF}" name="Column89"/>
    <tableColumn id="95" xr3:uid="{EDEACFEC-1612-48D4-B2E1-3A6364E03493}" name="Column90"/>
    <tableColumn id="96" xr3:uid="{37589FD1-6B1E-4907-83D7-2F3DA79070A6}" name="Column91"/>
    <tableColumn id="97" xr3:uid="{F3109EB4-6ED8-449D-874E-8BD1FC9B6C5C}" name="Column92"/>
    <tableColumn id="98" xr3:uid="{11E445B7-E68F-41CA-8177-97D0461BDCF6}" name="Column93"/>
    <tableColumn id="99" xr3:uid="{6A98D7E1-D75F-4522-84AB-D9129CF5BC79}" name="Column94"/>
    <tableColumn id="100" xr3:uid="{6EC685AC-5C29-4682-9CB6-C685C404F896}" name="Column95"/>
    <tableColumn id="101" xr3:uid="{B9B6D027-362D-4AAC-BF75-DC153FBC5075}" name="Column96"/>
    <tableColumn id="102" xr3:uid="{958AE3C6-575A-47D6-A3F3-0F30F7362ECF}" name="Column97"/>
    <tableColumn id="103" xr3:uid="{9D43E185-C234-457C-885B-8AE19CACDC6F}" name="Column98"/>
    <tableColumn id="104" xr3:uid="{422C3919-3ACE-4901-9391-EBBF3A12206B}" name="Column99"/>
    <tableColumn id="105" xr3:uid="{8C9F8CA9-413F-4BF8-A75C-CB8F06CA7CB5}" name="Column100"/>
    <tableColumn id="106" xr3:uid="{A510975D-D232-44C7-BEED-B4A07E779456}" name="Column101"/>
    <tableColumn id="107" xr3:uid="{4E42C264-9173-476B-AC08-B5C76EF36CD8}" name="Column102"/>
    <tableColumn id="108" xr3:uid="{7857938A-A60B-4F83-A864-AF520EEDD36F}" name="Column103"/>
    <tableColumn id="109" xr3:uid="{8FCF73FF-29EB-4724-817C-3500695285B2}" name="Column104"/>
    <tableColumn id="110" xr3:uid="{6C79BFA7-9DD9-452F-BFC7-BF9824A6985F}" name="Column105"/>
    <tableColumn id="111" xr3:uid="{A4BE1ED5-8BB2-4DB2-9076-7D1AA1C5FE6B}" name="Column106"/>
    <tableColumn id="112" xr3:uid="{C22D0A8A-2373-4997-8B06-12AFB2C57DCA}" name="Column107"/>
    <tableColumn id="113" xr3:uid="{1F370F58-4482-43D6-A49B-027B720D445E}" name="Column108"/>
    <tableColumn id="114" xr3:uid="{3289881A-E9C9-4523-BB6C-98AB5AF5560D}" name="Column109"/>
    <tableColumn id="115" xr3:uid="{63CF33B3-0965-4EE7-8CCD-C48FD54C5005}" name="Column110"/>
    <tableColumn id="116" xr3:uid="{428D67DE-B689-4B5B-8552-76CC93EB96D4}" name="Column111"/>
    <tableColumn id="117" xr3:uid="{B193C954-A3F1-411A-8D40-DC54BFB7C0B4}" name="Column112"/>
    <tableColumn id="118" xr3:uid="{273AC1C1-F937-4F0C-ABAA-B631BEB97EA5}" name="Column113"/>
    <tableColumn id="119" xr3:uid="{474D47B9-A58C-48EC-B9D0-CD1CE4F90AA6}" name="Column114"/>
    <tableColumn id="120" xr3:uid="{72D584F9-D96B-4F53-8121-68C77B228FAA}" name="Column115"/>
    <tableColumn id="121" xr3:uid="{E86E7D7E-D739-433D-82BC-D265527575EE}" name="Column116"/>
    <tableColumn id="122" xr3:uid="{835877DA-0BC2-4345-B8A5-F44C8C6181D7}" name="Column117"/>
    <tableColumn id="123" xr3:uid="{45FDD907-DC81-46B0-B3EF-725E3A590AB7}" name="Column118"/>
    <tableColumn id="124" xr3:uid="{99AD39DD-8A48-493E-9560-C4711C4409C7}" name="Column119"/>
    <tableColumn id="125" xr3:uid="{0CED97E2-DC7B-4AC7-B9CD-E9D27B8AEF6C}" name="Column120"/>
    <tableColumn id="126" xr3:uid="{C4448E2B-65D2-4E3A-962B-C1D5EB3DD46E}" name="Column121"/>
    <tableColumn id="127" xr3:uid="{4B62E79B-8E8D-442D-AE4E-012A1108349E}" name="Column122"/>
    <tableColumn id="128" xr3:uid="{633E1FAE-D309-4270-B250-682960FBD1DF}" name="Column123"/>
    <tableColumn id="129" xr3:uid="{97AC86CF-9146-4643-8763-CB3E1FA5371A}" name="Column124"/>
    <tableColumn id="130" xr3:uid="{69151DA9-0728-483C-A95D-E3CC5A741D68}" name="Column125"/>
    <tableColumn id="131" xr3:uid="{B151FCE9-BA69-4C88-957A-2A356033075F}" name="Column126"/>
    <tableColumn id="132" xr3:uid="{606448DB-D1DB-4FDD-8B0A-D728F92C3277}" name="Column127"/>
    <tableColumn id="133" xr3:uid="{40D1B1CA-E18E-40D0-AE01-ED504AEAB766}" name="Column128"/>
    <tableColumn id="134" xr3:uid="{E41CCF65-3742-46D1-B423-EF35C14FD518}" name="Column129"/>
    <tableColumn id="135" xr3:uid="{FA8C8B96-9F8C-412C-8ED1-4ECA016A12E2}" name="Column130"/>
    <tableColumn id="136" xr3:uid="{AD833EA6-EA92-42B2-8903-1A0FD13A7268}" name="Column131"/>
    <tableColumn id="137" xr3:uid="{6EB6A881-34A4-4E75-97B5-F03B28FC8F29}" name="Column132"/>
    <tableColumn id="138" xr3:uid="{6AF66444-E1FB-4442-AC69-B12CFC968F16}" name="Column133"/>
    <tableColumn id="139" xr3:uid="{32BE21B8-B415-4200-856B-8BBCDDFBEEDD}" name="Column134"/>
    <tableColumn id="140" xr3:uid="{A2CABCAB-625C-467C-BD1C-485991931606}" name="Column135"/>
    <tableColumn id="141" xr3:uid="{2105D070-6AB1-4306-BC0E-F33FFD946ACF}" name="Column136"/>
    <tableColumn id="142" xr3:uid="{14BF47AD-229F-40AB-8D6D-CCF65AA3EE7C}" name="Column137"/>
    <tableColumn id="143" xr3:uid="{FE5CDF7B-84AF-4EF5-8408-3BCFC60A49A5}" name="Column138"/>
    <tableColumn id="144" xr3:uid="{148378D5-E640-4BD6-822E-6F67815F7347}" name="Column139"/>
    <tableColumn id="145" xr3:uid="{5F9750E8-1277-4E3E-A81C-692FB1D90654}" name="Column140"/>
    <tableColumn id="146" xr3:uid="{C0D0CCCA-1FBC-4D99-A29D-F33C721740FF}" name="Column141"/>
    <tableColumn id="147" xr3:uid="{1175400E-2583-423C-9183-AD566B8B4813}" name="Column142"/>
    <tableColumn id="148" xr3:uid="{E1AE0108-B43F-42B6-B9ED-F62CFCB24B6B}" name="Column143"/>
    <tableColumn id="149" xr3:uid="{9C37A241-43E8-4568-B200-AA0656D1C3A7}" name="Column144"/>
    <tableColumn id="150" xr3:uid="{EC399BE4-8E75-4C1F-BE18-6EC5DEBC9343}" name="Column145"/>
    <tableColumn id="151" xr3:uid="{67E83C82-2596-4DAF-B9B5-2388F3C5B72E}" name="Column146"/>
    <tableColumn id="152" xr3:uid="{0927DC8E-CFA0-4797-B97A-56F1FEFFECD7}" name="Column147"/>
    <tableColumn id="153" xr3:uid="{8A7F7322-4EAE-4F82-A06B-8942C16CBB27}" name="Column148"/>
    <tableColumn id="154" xr3:uid="{6554F244-C021-4565-AAD0-64ADD9827CD7}" name="Column149"/>
    <tableColumn id="155" xr3:uid="{8FA09E9E-D23D-49D7-8C4B-BEBDA9E75BDA}" name="Column150"/>
    <tableColumn id="156" xr3:uid="{2A997D0C-F451-4927-AB5B-B0A8F68093EA}" name="Column151"/>
    <tableColumn id="157" xr3:uid="{DCD774F3-EC99-4A31-8012-98AF6ABB14C2}" name="Column152"/>
    <tableColumn id="158" xr3:uid="{F879E9B4-D09E-49EB-B383-F0D3231D296F}" name="Column153"/>
    <tableColumn id="159" xr3:uid="{57DDB573-BA22-45D9-B5A8-451DB0381C4D}" name="Column154"/>
    <tableColumn id="160" xr3:uid="{90F85BE8-5889-4DDA-9238-8E7400B789F1}" name="Column155"/>
    <tableColumn id="161" xr3:uid="{FD329AAA-5EBF-40CD-B4B3-3479E7825F6B}" name="Column156"/>
    <tableColumn id="162" xr3:uid="{ABBE92FF-15FC-4F26-A1BD-952509FC4D57}" name="Column157"/>
    <tableColumn id="163" xr3:uid="{30051027-9DCD-454D-9918-B756CC3B7D74}" name="Column158"/>
    <tableColumn id="164" xr3:uid="{748ED936-D60F-48A0-A56C-157DB0851FAA}" name="Column159"/>
    <tableColumn id="165" xr3:uid="{701F9197-8D79-42DD-AC3A-5EB8020DE92C}" name="Column160"/>
    <tableColumn id="166" xr3:uid="{5CF67031-2E77-4784-804F-4E16CAC42231}" name="Column161"/>
    <tableColumn id="167" xr3:uid="{A3CEBD07-FBF8-4EB7-98EC-0E94ECCAE2A6}" name="Column162"/>
    <tableColumn id="168" xr3:uid="{5A6D7C0A-85BA-474C-BE0F-C75555F6A7B3}" name="Column163"/>
    <tableColumn id="169" xr3:uid="{5188A4CD-C82D-4C3C-9EF4-4F0F3DD9C780}" name="Column164"/>
    <tableColumn id="170" xr3:uid="{9CEE7417-0622-4B14-9DD3-3AA0AA53B5E8}" name="Column165"/>
    <tableColumn id="171" xr3:uid="{710AAA54-2C06-46E3-A168-1E84E133220B}" name="Column166"/>
    <tableColumn id="172" xr3:uid="{7AD1CC9C-C2D2-49A1-8DA5-8D4B0BAA63E6}" name="Column167"/>
    <tableColumn id="173" xr3:uid="{CFB0C5F5-8835-4045-AB35-65138D607E41}" name="Column168"/>
    <tableColumn id="174" xr3:uid="{BEBBDCE6-7745-46D5-BC52-CCDD0A1C16F5}" name="Column169"/>
    <tableColumn id="175" xr3:uid="{AD03EE60-9B55-411B-91A1-16796AF30C5A}" name="Column170"/>
    <tableColumn id="176" xr3:uid="{3720D6E9-3792-436F-9F7B-9CB1C1A2636B}" name="Column171"/>
    <tableColumn id="177" xr3:uid="{49D73842-D8E0-4EF1-B840-C919F96838C2}" name="Column172"/>
    <tableColumn id="178" xr3:uid="{1632B8AC-20A6-4AE3-A896-265316209608}" name="Column173"/>
    <tableColumn id="179" xr3:uid="{027A6C62-7E66-4A77-B5AD-97BC430EBA81}" name="Column174"/>
    <tableColumn id="180" xr3:uid="{FF6033E7-B8C5-4D00-BA81-5311772AA1A3}" name="Column175"/>
    <tableColumn id="181" xr3:uid="{9D6F050F-9A6A-4E68-823D-CC78BE596783}" name="Column176"/>
    <tableColumn id="182" xr3:uid="{053717DD-B035-4987-9A77-3B5E08025641}" name="Column177"/>
    <tableColumn id="183" xr3:uid="{C401CE6C-8597-41BA-8514-46CA1BEE9E19}" name="Column178"/>
    <tableColumn id="184" xr3:uid="{82BB9C05-51C2-40DA-B56C-ECE289ED2B6D}" name="Column179"/>
    <tableColumn id="185" xr3:uid="{2C1AA83C-AF1E-47C1-AFF5-380ECC4E591F}" name="Column180"/>
    <tableColumn id="186" xr3:uid="{791B2F1D-04D0-4DBA-AB8C-73DABA3D64FB}" name="Column181"/>
    <tableColumn id="187" xr3:uid="{4DC8C689-01FF-4874-B230-EC725B437410}" name="Column182"/>
    <tableColumn id="188" xr3:uid="{B426C929-0286-4606-B379-5FBA0601B7C1}" name="Column183"/>
    <tableColumn id="189" xr3:uid="{3F01BA22-62B1-4258-ACB7-449F820825CD}" name="Column184"/>
    <tableColumn id="190" xr3:uid="{59FCF2D4-8308-49A6-94B1-691D82F96803}" name="Column185"/>
    <tableColumn id="191" xr3:uid="{C636BA02-CD1C-41CA-A917-49AED4FF1FC1}" name="Column186"/>
    <tableColumn id="192" xr3:uid="{B1216DA5-C386-4239-BF77-33D93C21E365}" name="Column187"/>
    <tableColumn id="193" xr3:uid="{CBBEAE6F-6BAE-4B02-A908-F873A43ED785}" name="Column188"/>
    <tableColumn id="194" xr3:uid="{DA8F7572-9638-424F-8F2E-F59BE139801F}" name="Column189"/>
    <tableColumn id="195" xr3:uid="{F3E643BF-32AA-4667-950A-140F9EDD750F}" name="Column190"/>
    <tableColumn id="196" xr3:uid="{3AE44AD7-C428-4517-B9FC-9B88D1D55614}" name="Column191"/>
    <tableColumn id="197" xr3:uid="{35A35FCC-FA0C-4EF1-8A1B-6F4977880013}" name="Column192"/>
    <tableColumn id="198" xr3:uid="{AF359634-02F5-49F3-AAA4-F29FAB57156F}" name="Column193"/>
    <tableColumn id="199" xr3:uid="{1E47B7B8-B8D5-4539-8F09-015B130CAFC8}" name="Column194"/>
    <tableColumn id="200" xr3:uid="{0BC300C5-7864-400F-BD5F-454D7825FFC5}" name="Column195"/>
    <tableColumn id="201" xr3:uid="{29B62A3B-BB61-4543-9088-719CB22FF14A}" name="Column196"/>
    <tableColumn id="202" xr3:uid="{12E74CEF-2F18-4697-B823-8AF3964DA375}" name="Column197"/>
    <tableColumn id="203" xr3:uid="{2F9AA2C0-4154-40E7-91BC-2F7B68040A04}" name="Column198"/>
    <tableColumn id="204" xr3:uid="{5D630E38-2276-4B75-8D67-F988FBA0AAFF}" name="Column199"/>
    <tableColumn id="205" xr3:uid="{6A156380-6AAE-4DC2-A8BA-C9A064609B57}" name="Column200"/>
    <tableColumn id="206" xr3:uid="{C7B0F69D-BD7C-4482-B190-9A311E96D76A}" name="Column201"/>
    <tableColumn id="207" xr3:uid="{1D78239F-910E-45E0-BDB5-9C9E1B91E5A8}" name="Column202"/>
    <tableColumn id="208" xr3:uid="{7B5C7C94-5B33-4137-B63B-963094D997AF}" name="Column203"/>
    <tableColumn id="209" xr3:uid="{B9F15EF2-FA32-48B3-ABC2-08723F1E0CFE}" name="Column204"/>
    <tableColumn id="210" xr3:uid="{E414A572-CA70-4C36-8A6F-0BB3931CFFB0}" name="Column205"/>
    <tableColumn id="211" xr3:uid="{DAB95130-AB23-40E5-AE61-C28A242E9393}" name="Column206"/>
    <tableColumn id="212" xr3:uid="{60AAF021-0E93-424B-9CF6-1599E7C3B406}" name="Column207"/>
    <tableColumn id="213" xr3:uid="{DAF4F588-A438-4334-A370-808A30B244D2}" name="Column208"/>
    <tableColumn id="214" xr3:uid="{A1930F5A-D8BA-4327-B85D-DC4F19DCF19A}" name="Column209"/>
    <tableColumn id="215" xr3:uid="{DE9901A8-E6B2-4E38-B8A1-7154AB2ADC8B}" name="Column210"/>
    <tableColumn id="216" xr3:uid="{71FF76CA-2D13-4DFC-8CF2-4D4EB64BFC95}" name="Column211"/>
    <tableColumn id="217" xr3:uid="{78592E34-E5BD-49A2-B0E3-B5ECB93CC2CB}" name="Column212"/>
    <tableColumn id="218" xr3:uid="{DB8FC18A-D991-4FEE-B536-155E0A9CC3CE}" name="Column213"/>
    <tableColumn id="219" xr3:uid="{72CC7EED-3005-43BA-AAA8-0EA8F88EDC4F}" name="Column214"/>
    <tableColumn id="220" xr3:uid="{C0FE03DB-C4B8-41C7-ADF8-80252B9099B4}" name="Column215"/>
    <tableColumn id="221" xr3:uid="{3A07E645-418C-459B-94BA-6B4266C642C5}" name="Column216"/>
    <tableColumn id="222" xr3:uid="{7E9FA084-4AEF-4C08-A151-2A6257CD9202}" name="Column217"/>
    <tableColumn id="223" xr3:uid="{8D994254-2201-4B24-9AC0-D842B6DEEED5}" name="Column218"/>
    <tableColumn id="224" xr3:uid="{01327D62-F9AF-42CC-A19D-C69E49875F6C}" name="Column219"/>
    <tableColumn id="225" xr3:uid="{C8E75905-BFDA-452A-9E9B-9521C967B419}" name="Column220"/>
    <tableColumn id="226" xr3:uid="{D78E153D-36C4-412C-86D7-CF3D5199F8E3}" name="Column221"/>
    <tableColumn id="227" xr3:uid="{DBE9050E-5944-4800-B208-44BE59291C30}" name="Column222"/>
    <tableColumn id="228" xr3:uid="{A65546BE-FB24-4EE9-AFFD-2A83309E2108}" name="Column223"/>
    <tableColumn id="229" xr3:uid="{97EE591D-DFB0-4C15-BD75-7794DF8D6AA2}" name="Column224"/>
    <tableColumn id="230" xr3:uid="{AAFDC549-A94D-4F74-B3FE-17CCBACD82DC}" name="Column225"/>
    <tableColumn id="231" xr3:uid="{914CBB9A-CC1D-403E-8F2D-6821CE9082CA}" name="Column226"/>
    <tableColumn id="232" xr3:uid="{3AC38BCA-E0E5-400A-8A37-41370648F477}" name="Column227"/>
    <tableColumn id="233" xr3:uid="{9B554274-924E-406B-8EDC-0015D626045D}" name="Column228"/>
    <tableColumn id="234" xr3:uid="{1E002F0B-D187-4852-84D3-3216482BE5BD}" name="Column229"/>
    <tableColumn id="235" xr3:uid="{DCC77853-7C05-4243-8A00-8300CBBF0FA5}" name="Column230"/>
    <tableColumn id="236" xr3:uid="{B1A09B4C-5C22-4648-AC42-C926879B6B76}" name="Column231"/>
    <tableColumn id="237" xr3:uid="{D63C44EB-E8F5-4CC9-8520-0E6AF9E75F5C}" name="Column232"/>
    <tableColumn id="238" xr3:uid="{8E098105-30AD-4604-905A-6B3B68D41A6C}" name="Column233"/>
    <tableColumn id="239" xr3:uid="{DFB88488-9C5C-4AB9-A5A6-35941412E203}" name="Column234"/>
    <tableColumn id="240" xr3:uid="{B2992D2D-1EC9-4D44-8566-52E5E267C6B4}" name="Column235"/>
    <tableColumn id="241" xr3:uid="{45810291-E408-4F93-B0F5-97B90E4E0C7A}" name="Column236"/>
    <tableColumn id="242" xr3:uid="{18A8F284-FF54-4166-A7B9-6F8C4797D1E3}" name="Column237"/>
    <tableColumn id="243" xr3:uid="{8A5797E0-95E7-48F9-BEC6-D8DFC075B33B}" name="Column238"/>
    <tableColumn id="244" xr3:uid="{1BE4ACBE-EF71-41D9-BAFD-42586AFA9820}" name="Column239"/>
    <tableColumn id="245" xr3:uid="{6FFBEA25-9DB2-4398-80F9-FFEFA64E4595}" name="Column240"/>
    <tableColumn id="246" xr3:uid="{8EB103E1-A1A2-4D7C-8BFF-0018E60246E4}" name="Column241"/>
    <tableColumn id="247" xr3:uid="{2E7871AF-D31A-45A2-BF5E-F17E19B13DB2}" name="Column242"/>
    <tableColumn id="248" xr3:uid="{7B533DFC-0776-49CF-B762-C98D658B7D81}" name="Column243"/>
    <tableColumn id="249" xr3:uid="{EC41A505-80BB-40BC-AD3C-C761F1F7D381}" name="Column244"/>
    <tableColumn id="250" xr3:uid="{4EE8E812-C25D-4551-BAA9-4A88F3217A59}" name="Column245"/>
    <tableColumn id="251" xr3:uid="{BF485960-9EF1-446C-B688-803875AA053F}" name="Column246"/>
    <tableColumn id="252" xr3:uid="{F07D18DC-EB14-411D-BBC3-179CC69A4CD5}" name="Column247"/>
    <tableColumn id="253" xr3:uid="{DD7192DB-83B1-4EF8-8D53-D85B3893C3A8}" name="Column248"/>
    <tableColumn id="254" xr3:uid="{F01E36BD-3FAA-4B42-BC89-F3D4968A04FF}" name="Column249"/>
    <tableColumn id="255" xr3:uid="{D5CA8755-5E02-4D03-8E92-429F22AEE4B4}" name="Column250"/>
    <tableColumn id="256" xr3:uid="{93AF4412-75F2-4E59-92AF-FCA8AFB48C0D}" name="Column251"/>
    <tableColumn id="257" xr3:uid="{54E07BD4-77E4-4AC1-91B4-E3FF451D4129}" name="Column252"/>
    <tableColumn id="258" xr3:uid="{2DCE8286-5C87-4641-B5E5-D6E945889B30}" name="Column253"/>
    <tableColumn id="259" xr3:uid="{3CF3113A-7697-44F2-89D8-B17EAB7D0995}" name="Column254"/>
    <tableColumn id="260" xr3:uid="{A7266B2C-4AE4-434D-897E-EB394F57524C}" name="Column255"/>
    <tableColumn id="261" xr3:uid="{A9F642B5-8F09-4DBE-B857-DB58CF561227}" name="Column256"/>
    <tableColumn id="262" xr3:uid="{43F3E440-A936-4854-A205-595D1F612641}" name="Column257"/>
    <tableColumn id="263" xr3:uid="{3423A869-6390-4D75-A4E3-F4A29C74F812}" name="Column258"/>
    <tableColumn id="264" xr3:uid="{0766F898-E646-4A72-A868-C8794F643C24}" name="Column259"/>
    <tableColumn id="265" xr3:uid="{9A277DE0-6A55-4DB7-8D8E-A013B71BF0E1}" name="Column260"/>
    <tableColumn id="266" xr3:uid="{4643B5BD-91B9-48D2-80E6-30BC6CE1BE44}" name="Column261"/>
    <tableColumn id="267" xr3:uid="{2EFD1923-4C19-4455-A24D-3E823EDD546A}" name="Column262"/>
    <tableColumn id="268" xr3:uid="{E7F88067-749A-423E-A27A-2AF45D3295D5}" name="Column263"/>
    <tableColumn id="269" xr3:uid="{BD50DAE5-5496-4B1D-A078-5EFC656B02AA}" name="Column264"/>
    <tableColumn id="270" xr3:uid="{71CD227D-35DC-4ACD-9461-0A096E9EEA61}" name="Column265"/>
    <tableColumn id="271" xr3:uid="{FA7DE72F-30E9-411D-AF60-46DBE4306207}" name="Column266"/>
    <tableColumn id="272" xr3:uid="{0D560749-84FE-41BA-A709-46C7B988EC1E}" name="Column267"/>
    <tableColumn id="273" xr3:uid="{AC85F987-6E30-415A-B1DC-59012F9E0795}" name="Column268"/>
    <tableColumn id="274" xr3:uid="{F3116E4E-9B8A-4DE6-B953-BAD52349FA7A}" name="Column269"/>
    <tableColumn id="275" xr3:uid="{EDDCB444-6881-4A01-A1A7-ABF9CF637487}" name="Column270"/>
    <tableColumn id="276" xr3:uid="{716C7606-E7F2-48DF-ADA2-F4BA2B47B23C}" name="Column271"/>
    <tableColumn id="277" xr3:uid="{7D191963-6D7F-4124-9901-8A7290EB5D98}" name="Column272"/>
    <tableColumn id="278" xr3:uid="{C1738EA2-4767-4502-B67B-4BA83FD3F3BD}" name="Column273"/>
    <tableColumn id="279" xr3:uid="{17C55793-F788-479F-8005-A41C23D6D858}" name="Column274"/>
    <tableColumn id="280" xr3:uid="{688067D2-8FB7-4BA9-AE49-DC93A1E9BB47}" name="Column275"/>
    <tableColumn id="281" xr3:uid="{E3D67FD8-0866-435F-9854-EB8EE2B2DD24}" name="Column276"/>
    <tableColumn id="282" xr3:uid="{C44C5963-B0C7-4D03-9D1A-C91A48CA3B0A}" name="Column277"/>
    <tableColumn id="283" xr3:uid="{9A237A69-5FF4-4815-AFDC-B4FE57227B1F}" name="Column278"/>
    <tableColumn id="284" xr3:uid="{9CE8D9D8-262E-4B60-8732-0E44B6312715}" name="Column279"/>
    <tableColumn id="285" xr3:uid="{6E10545E-06D2-41AE-AAE4-1CFACFF8BB93}" name="Column280"/>
    <tableColumn id="286" xr3:uid="{B278DD40-417C-4E76-B9E2-70C92E6F6A4C}" name="Column281"/>
    <tableColumn id="287" xr3:uid="{FD3E9931-C310-409D-A28F-9F4A45EE4BCA}" name="Column282"/>
    <tableColumn id="288" xr3:uid="{0EAE2A5B-78C6-424D-972E-996655EE03C3}" name="Column283"/>
    <tableColumn id="289" xr3:uid="{3EA160AE-951C-4415-A357-997E2B33E7E0}" name="Column284"/>
    <tableColumn id="290" xr3:uid="{2B4EB61E-EA5C-4C35-BBDC-76099946FC2C}" name="Column285"/>
    <tableColumn id="291" xr3:uid="{6BE6E900-F072-4783-B031-36CB01CA3D0A}" name="Column286"/>
    <tableColumn id="292" xr3:uid="{3CD1457D-38EB-4B5B-BBD7-69D9BFF8CDF5}" name="Column287"/>
    <tableColumn id="293" xr3:uid="{549AD535-F359-4C24-B407-DC84916FD275}" name="Column288"/>
    <tableColumn id="294" xr3:uid="{D0295806-6628-4B84-B589-03C2C835CF92}" name="Column289"/>
    <tableColumn id="295" xr3:uid="{1DBCBEBC-5C47-4E6E-89EC-0E568E32173D}" name="Column290"/>
    <tableColumn id="296" xr3:uid="{08E42389-87E3-4944-A248-FF8303D93678}" name="Column291"/>
    <tableColumn id="297" xr3:uid="{07F6BC55-F85F-428C-9A31-9FC0556B4700}" name="Column292"/>
    <tableColumn id="298" xr3:uid="{133CDD68-F25A-4B60-88F5-B76752EB771C}" name="Column293"/>
    <tableColumn id="299" xr3:uid="{ED6551DC-7054-4DA1-8C90-4CFDDA675102}" name="Column294"/>
    <tableColumn id="300" xr3:uid="{1C4FD29C-5D93-4891-A617-F080153B51BA}" name="Column295"/>
    <tableColumn id="301" xr3:uid="{0D26989D-3B7F-40A9-8CFE-28DE09F344C8}" name="Column296"/>
    <tableColumn id="302" xr3:uid="{3FCBA509-C9ED-4810-93B1-E4649CD649D5}" name="Column297"/>
    <tableColumn id="303" xr3:uid="{710E762C-918C-4CCC-88FC-68C5E359E00E}" name="Column298"/>
    <tableColumn id="304" xr3:uid="{C81F96DC-81C7-4FB9-B1B5-00961AF548DC}" name="Column299"/>
    <tableColumn id="305" xr3:uid="{54E1D20D-7AB3-40C9-8F24-9F00D07CC3DE}" name="Column300"/>
    <tableColumn id="306" xr3:uid="{57905262-8D49-4DC9-9CC2-7290D2938A28}" name="Column301"/>
    <tableColumn id="307" xr3:uid="{E9D8BFBB-9309-4D30-9207-08691CA897E5}" name="Column302"/>
    <tableColumn id="308" xr3:uid="{C3E6B9C8-CB38-4415-97F6-2109E8EDC0CF}" name="Column303"/>
    <tableColumn id="309" xr3:uid="{CA21FB7E-941F-48A0-82EE-F73B78D6AAC0}" name="Column304"/>
    <tableColumn id="310" xr3:uid="{01AAFC47-EDFF-483F-B32E-AB473AB171C0}" name="Column305"/>
    <tableColumn id="311" xr3:uid="{32F52915-BF5E-489D-B4E6-1DB2C46ABD4F}" name="Column306"/>
    <tableColumn id="312" xr3:uid="{92570BC3-1ECB-44EE-B2FA-C35A9F2D0EC0}" name="Column307"/>
    <tableColumn id="313" xr3:uid="{E10EABAB-CBF3-41AE-9246-6DDABCE10167}" name="Column308"/>
    <tableColumn id="314" xr3:uid="{8C3504B3-617B-4CBE-BC5C-AFEC8D7494DC}" name="Column309"/>
    <tableColumn id="315" xr3:uid="{90C0A05D-B714-4EED-9009-EA8ED27769A7}" name="Column310"/>
    <tableColumn id="316" xr3:uid="{0322AC0E-74ED-4461-98C2-54C3B40CA30E}" name="Column311"/>
    <tableColumn id="317" xr3:uid="{17A27956-0FBF-420C-AFDF-92ACCE690015}" name="Column312"/>
    <tableColumn id="318" xr3:uid="{2DC8BC4A-3E5D-40D6-AC27-5A505D749834}" name="Column313"/>
    <tableColumn id="319" xr3:uid="{4CF88979-9ED5-47EC-82FE-746F79EDE299}" name="Column314"/>
    <tableColumn id="320" xr3:uid="{9F4D0DFF-DA4F-4CCE-BC9A-DE848F8D2740}" name="Column315"/>
    <tableColumn id="321" xr3:uid="{F43B475D-3D06-4C33-AA8B-07A9157ECCDE}" name="Column316"/>
    <tableColumn id="322" xr3:uid="{A22D59D6-F23C-4397-9D9A-59DFE09DE10E}" name="Column317"/>
    <tableColumn id="323" xr3:uid="{B9D23AFA-6E75-49F7-9267-410D754FC3B0}" name="Column318"/>
    <tableColumn id="324" xr3:uid="{42C8FEBC-2BFE-471B-A1D9-37C11357FD69}" name="Column319"/>
    <tableColumn id="325" xr3:uid="{8A2E288B-1C4D-4AC4-B0BC-E8A444C7238F}" name="Column320"/>
    <tableColumn id="326" xr3:uid="{FFC6B696-8D58-4DEB-BC8C-BC2B20E7F4FE}" name="Column321"/>
    <tableColumn id="327" xr3:uid="{B0ECC753-FC66-4751-9706-222BCE3EA085}" name="Column322"/>
    <tableColumn id="328" xr3:uid="{BFAFD637-9A34-4284-9A1E-8A4488B3C860}" name="Column323"/>
    <tableColumn id="329" xr3:uid="{13F9AE0B-3465-463A-A6F7-71B6B01F7325}" name="Column324"/>
    <tableColumn id="330" xr3:uid="{91F41C49-FE80-4BAD-8B85-2255ACFE81F9}" name="Column325"/>
    <tableColumn id="331" xr3:uid="{E303ED52-81CB-4317-B0AD-C832FFFB7836}" name="Column326"/>
    <tableColumn id="332" xr3:uid="{D683E9CA-E932-4AA2-A8C9-044D6919C00B}" name="Column327"/>
    <tableColumn id="333" xr3:uid="{D3DC003B-6C63-4B8B-B5EC-2AAD312EA60F}" name="Column328"/>
    <tableColumn id="334" xr3:uid="{FC818C0C-8AF4-4C7F-897F-3CA4859025F6}" name="Column329"/>
    <tableColumn id="335" xr3:uid="{8263A798-DDA1-40AA-81F4-780B00E4A4C0}" name="Column330"/>
    <tableColumn id="336" xr3:uid="{70C06A67-F743-44C0-8A7B-07B96D51296B}" name="Column331"/>
    <tableColumn id="337" xr3:uid="{5DE60D2E-BC40-4481-AA85-49C91B21210F}" name="Column332"/>
    <tableColumn id="338" xr3:uid="{A7C0602F-894E-4609-B896-4A4A95FE0553}" name="Column333"/>
    <tableColumn id="339" xr3:uid="{D8249B09-5A30-47B9-887A-2AA644C0CC3D}" name="Column334"/>
    <tableColumn id="340" xr3:uid="{47DB7A15-A0E8-42DF-95B1-A02E2F1C76CF}" name="Column335"/>
    <tableColumn id="341" xr3:uid="{5BD424E4-E526-4019-9E01-CD749375D995}" name="Column336"/>
    <tableColumn id="342" xr3:uid="{847AEDEB-5E53-4062-B673-68D11BF49A02}" name="Column337"/>
    <tableColumn id="343" xr3:uid="{29EDAE1B-CE43-4F5E-A484-2463F2534D72}" name="Column338"/>
    <tableColumn id="344" xr3:uid="{4863176A-3254-46A6-92AB-A1BF7A95112C}" name="Column339"/>
    <tableColumn id="345" xr3:uid="{A45D95BC-273C-4D2D-9555-B76625EF38AD}" name="Column340"/>
    <tableColumn id="346" xr3:uid="{93809F5A-53DC-4DB3-BEBE-4FD722D2FA0A}" name="Column341"/>
    <tableColumn id="347" xr3:uid="{DED54A80-C083-4725-BC6D-8F5AE2DE9E21}" name="Column342"/>
    <tableColumn id="348" xr3:uid="{7E1171A7-F3C6-4D8B-B493-C709A0CF851D}" name="Column343"/>
    <tableColumn id="349" xr3:uid="{98E7018D-3AE9-4482-BDCA-7C2CEE597C76}" name="Column344"/>
    <tableColumn id="350" xr3:uid="{B3B56F41-A940-4263-901C-053833D5EBA8}" name="Column345"/>
    <tableColumn id="351" xr3:uid="{B00CECF2-FC8B-4566-BFAC-6068B26DFC6C}" name="Column346"/>
    <tableColumn id="352" xr3:uid="{DF02C5A8-73B4-4947-990E-4D12A957AA34}" name="Column347"/>
    <tableColumn id="353" xr3:uid="{21E1189D-70FA-4DD7-858E-8507A44A069B}" name="Column348"/>
    <tableColumn id="354" xr3:uid="{6273B88E-0E9B-4DC1-976B-A9038B4BFF66}" name="Column349"/>
    <tableColumn id="355" xr3:uid="{1CE3FE91-78EC-49F9-8134-0109DF62C3FB}" name="Column350"/>
    <tableColumn id="356" xr3:uid="{E09C07FE-5502-49F5-94A6-FBA7CEB07AF9}" name="Column351"/>
    <tableColumn id="357" xr3:uid="{357B170F-4ED4-4710-97F0-A59CA2F01045}" name="Column352"/>
    <tableColumn id="358" xr3:uid="{9DD34906-C684-4668-95F1-7F1374B7E69C}" name="Column353"/>
    <tableColumn id="359" xr3:uid="{E22E3D2C-7D18-48A2-915F-B15B4865A5DC}" name="Column354"/>
    <tableColumn id="360" xr3:uid="{AF6330CA-4ECA-470A-A94F-C19EF454C144}" name="Column355"/>
    <tableColumn id="361" xr3:uid="{98DE6B6D-4EC5-48F5-B50A-9FD2C41303C9}" name="Column356"/>
    <tableColumn id="362" xr3:uid="{C270A3E9-9B41-4A8F-8E83-A6247D05E164}" name="Column357"/>
    <tableColumn id="363" xr3:uid="{117EA9E4-1018-46CC-8E09-AF2750B71B9F}" name="Column358"/>
    <tableColumn id="364" xr3:uid="{EE892FF4-68E8-4EBF-BE60-2A014562FC42}" name="Column359"/>
    <tableColumn id="365" xr3:uid="{6A34FFD4-E520-4466-9449-FB6327DA1A25}" name="Column360"/>
    <tableColumn id="366" xr3:uid="{6092804F-DB99-47D6-9CDB-F0B6404156A6}" name="Column361"/>
    <tableColumn id="367" xr3:uid="{01DC5C95-DFD9-4733-B24D-29A49D47684E}" name="Column362"/>
    <tableColumn id="368" xr3:uid="{6BFB4B2B-764A-4315-B5BE-8BB6ADCDC296}" name="Column363"/>
    <tableColumn id="369" xr3:uid="{633FC1A8-D3FA-4B0E-8230-8643B83E21F0}" name="Column364"/>
    <tableColumn id="370" xr3:uid="{9C55866B-EC12-41B2-9EF1-74A6CA9868FB}" name="Column365"/>
    <tableColumn id="371" xr3:uid="{AB1DAD5F-623F-4616-87A6-0A8EC6A27A18}" name="Column366"/>
    <tableColumn id="372" xr3:uid="{3991EB52-5638-49CB-8CF4-27853C21573D}" name="Column367"/>
    <tableColumn id="373" xr3:uid="{0FFF9620-1BF8-4638-800D-7D34A3990376}" name="Column368"/>
    <tableColumn id="374" xr3:uid="{673606A3-8167-4111-855C-93DEAC912A64}" name="Column369"/>
    <tableColumn id="375" xr3:uid="{6D055A24-E4D8-445B-821D-F6F53F535B0E}" name="Column370"/>
    <tableColumn id="376" xr3:uid="{8F7B69B0-B47A-4304-9DEF-414B05D97D44}" name="Column371"/>
    <tableColumn id="377" xr3:uid="{BCFF2E83-0D06-4366-A03A-9F426D3E10E0}" name="Column372"/>
    <tableColumn id="378" xr3:uid="{C4BCA9C3-C40E-4B49-BE8B-CAF170AB938D}" name="Column373"/>
    <tableColumn id="379" xr3:uid="{B34F305C-4B7F-4870-8684-5CEC71E1C2CE}" name="Column374"/>
    <tableColumn id="380" xr3:uid="{C4222C58-2239-4EAE-B85B-C9B9AEAC7FBA}" name="Column375"/>
    <tableColumn id="381" xr3:uid="{60895F85-64C4-4513-AAE9-43FC57C5E895}" name="Column376"/>
    <tableColumn id="382" xr3:uid="{8D89A5BA-DA7B-4F91-8DD2-9ABBB63CFDEC}" name="Column377"/>
    <tableColumn id="383" xr3:uid="{922ED890-0BE2-4023-8176-A8D1979703B7}" name="Column378"/>
    <tableColumn id="384" xr3:uid="{C2E322FB-F751-4B3B-B5F6-B1C2A2287B76}" name="Column379"/>
    <tableColumn id="385" xr3:uid="{BA71929D-071F-4ED8-8F14-A93A78A97573}" name="Column380"/>
    <tableColumn id="386" xr3:uid="{CCC0D022-A2B6-4142-9521-5D6DF477A4EC}" name="Column381"/>
    <tableColumn id="387" xr3:uid="{10BB8EF1-214B-4B36-8AF5-395D797ADDF2}" name="Column382"/>
    <tableColumn id="388" xr3:uid="{A17168BA-829A-4C5A-8F34-D069FEB07E3A}" name="Column383"/>
    <tableColumn id="389" xr3:uid="{B41BE6BE-C8B7-4C41-AE58-4CEF438E20BB}" name="Column384"/>
    <tableColumn id="390" xr3:uid="{0C88BA92-A58A-4B05-8E12-62BBDF31D50F}" name="Column385"/>
    <tableColumn id="391" xr3:uid="{0AC02DB4-2DFC-4EF0-876C-F93A83E9D13C}" name="Column386"/>
    <tableColumn id="392" xr3:uid="{274C250A-6E9A-41E7-88A8-A83B9777A553}" name="Column387"/>
    <tableColumn id="393" xr3:uid="{517EA9ED-D6BC-4E5A-BCBF-D860039F2332}" name="Column388"/>
    <tableColumn id="394" xr3:uid="{4F665C4D-9F02-45B3-B9FA-63C253939FA9}" name="Column389"/>
    <tableColumn id="395" xr3:uid="{12ED6C71-3AD6-4C92-A75E-16FEFDC6907A}" name="Column390"/>
    <tableColumn id="396" xr3:uid="{F715B448-B32F-44AF-919F-788D21F9344A}" name="Column391"/>
    <tableColumn id="397" xr3:uid="{5A6E360F-1735-4B02-8790-374B54597A77}" name="Column392"/>
    <tableColumn id="398" xr3:uid="{CDA41880-8E78-4E56-8417-7A662F1C866C}" name="Column393"/>
    <tableColumn id="399" xr3:uid="{8C314650-3FBC-4575-9EE1-AFAA4CB9EF98}" name="Column394"/>
    <tableColumn id="400" xr3:uid="{DA69B666-5441-422E-9AD5-12E2F54BD3F0}" name="Column395"/>
    <tableColumn id="401" xr3:uid="{ECB7FE2B-B91C-4803-B85F-6495FA483C71}" name="Column396"/>
    <tableColumn id="402" xr3:uid="{56A80DEB-1309-4D60-8AFB-41C716F32B3D}" name="Column397"/>
    <tableColumn id="403" xr3:uid="{1530CEFF-61D4-40E4-83F6-05AD36FBC908}" name="Column398"/>
    <tableColumn id="404" xr3:uid="{E5440CB2-B123-47C1-A314-54C37E75EA81}" name="Column399"/>
    <tableColumn id="405" xr3:uid="{F1F7358D-04E8-4E5B-9057-13599384B819}" name="Column400"/>
    <tableColumn id="406" xr3:uid="{E3114EAA-236D-47A6-8E6C-3F6D14E1DC10}" name="Column401"/>
    <tableColumn id="407" xr3:uid="{8FF412F7-A7A0-41F8-AB0E-9C36C1113BCD}" name="Column402"/>
    <tableColumn id="408" xr3:uid="{1A82EEA4-3083-432E-BEDD-1D086E9F27CE}" name="Column403"/>
    <tableColumn id="409" xr3:uid="{203556EC-522D-4E7C-B853-7A6464746AD9}" name="Column404"/>
    <tableColumn id="410" xr3:uid="{B31BF77F-35A2-4E25-B6D0-8BE67AD4FB66}" name="Column405"/>
    <tableColumn id="411" xr3:uid="{025EDF12-BAD0-4B72-8FC5-B10608BF1A3B}" name="Column406"/>
    <tableColumn id="412" xr3:uid="{05BDE4C6-59E6-4964-A796-9C6553E3799B}" name="Column407"/>
    <tableColumn id="413" xr3:uid="{3E960C90-F8C3-47E7-9408-33AAD69209E1}" name="Column408"/>
    <tableColumn id="414" xr3:uid="{18663759-32CF-4960-B7B8-235D0344E547}" name="Column409"/>
    <tableColumn id="415" xr3:uid="{2869D5F8-02CE-4FD8-9F18-C0598D186783}" name="Column410"/>
    <tableColumn id="416" xr3:uid="{70027CB2-FBC0-4F10-A65F-D2EB243DE3C5}" name="Column411"/>
    <tableColumn id="417" xr3:uid="{8A59FCC6-A320-455D-86F6-35795390C3C5}" name="Column412"/>
    <tableColumn id="418" xr3:uid="{171583AD-B9E1-4201-B876-A89C6A9E22BF}" name="Column413"/>
    <tableColumn id="419" xr3:uid="{1C6DF546-F6F8-4FE7-97DA-984B630A6387}" name="Column414"/>
    <tableColumn id="420" xr3:uid="{1610F2ED-F3D8-4F6B-ADBD-C49800FCA8AB}" name="Column415"/>
    <tableColumn id="421" xr3:uid="{E07276ED-5109-4C4B-A18B-81A564190503}" name="Column416"/>
    <tableColumn id="422" xr3:uid="{640224C8-3A48-4B7D-9A14-B4AC384F66AE}" name="Column417"/>
    <tableColumn id="423" xr3:uid="{616859A3-F7B1-44F0-A05E-6E92FA1EA688}" name="Column418"/>
    <tableColumn id="424" xr3:uid="{6E81AA9D-0E53-434B-85F7-A0A028DE7F58}" name="Column419"/>
    <tableColumn id="425" xr3:uid="{6830E3BA-253D-4CFD-9664-22A67C29C5C2}" name="Column420"/>
    <tableColumn id="426" xr3:uid="{EABA271E-2F52-4B22-87A5-A16831CDD013}" name="Column421"/>
    <tableColumn id="427" xr3:uid="{C428E90C-8854-4529-B33F-7B2B1A5F4063}" name="Column422"/>
    <tableColumn id="428" xr3:uid="{38D419F2-4C1F-41BB-A21E-901B1FBB7AB1}" name="Column423"/>
    <tableColumn id="429" xr3:uid="{4DFBB4B3-9DC0-4E8A-AF53-1828F3BA8833}" name="Column424"/>
    <tableColumn id="430" xr3:uid="{FD9E714C-5AFD-4513-AC47-42A7C250E65A}" name="Column425"/>
    <tableColumn id="431" xr3:uid="{A8E06FE8-2E2A-4EC3-9130-A2186204EF2C}" name="Column426"/>
    <tableColumn id="432" xr3:uid="{1E89FA0B-6E53-46A6-9BD2-A575BA867E0D}" name="Column427"/>
    <tableColumn id="433" xr3:uid="{BA69F717-161D-4BCF-A49D-8B024E18AF1C}" name="Column428"/>
    <tableColumn id="434" xr3:uid="{CE065B56-CF17-4D6A-8210-22B17DF2E7DF}" name="Column429"/>
    <tableColumn id="435" xr3:uid="{EDC34DE9-84D8-4CBC-B0A2-FF8C6EFBE381}" name="Column430"/>
    <tableColumn id="436" xr3:uid="{4D591DEF-D8FD-450B-9221-EAA12DF41A56}" name="Column431"/>
    <tableColumn id="437" xr3:uid="{C52DA24C-1823-4236-9C5C-54B38C894913}" name="Column432"/>
    <tableColumn id="438" xr3:uid="{FFBD6DF5-0AE7-4D64-AA56-494659D90872}" name="Column433"/>
    <tableColumn id="439" xr3:uid="{81075ED5-B7EC-4768-966C-DA1C1C41DCB0}" name="Column434"/>
    <tableColumn id="440" xr3:uid="{49661467-6D62-4D06-B7EE-419A66EB60F0}" name="Column435"/>
    <tableColumn id="441" xr3:uid="{8FA7161B-510E-4D57-8862-A3E63CFFDA78}" name="Column436"/>
    <tableColumn id="442" xr3:uid="{42C3C873-4C25-4970-B5CD-CB13F2E95751}" name="Column437"/>
    <tableColumn id="443" xr3:uid="{C18A74E5-7A8A-4790-89BA-D001EE749999}" name="Column438"/>
    <tableColumn id="444" xr3:uid="{5954020C-F2CA-4ADA-9CEC-A6E2211BF03B}" name="Column439"/>
    <tableColumn id="445" xr3:uid="{0B77AF36-1219-4321-902E-64BD5BFE1051}" name="Column440"/>
    <tableColumn id="446" xr3:uid="{04E3E3D3-FD8D-4CD0-AA84-DC4F32F41754}" name="Column441"/>
    <tableColumn id="447" xr3:uid="{E6C08A10-224D-40F8-896A-E0742842EEA7}" name="Column442"/>
    <tableColumn id="448" xr3:uid="{E41AD052-6206-4EC9-BFE1-00DE2FFB8884}" name="Column443"/>
    <tableColumn id="449" xr3:uid="{197741B8-6BA2-428D-8A4E-8D9596A4A12B}" name="Column444"/>
    <tableColumn id="450" xr3:uid="{259CB358-8EDC-48BF-AE07-34E6C9BC95B5}" name="Column445"/>
    <tableColumn id="451" xr3:uid="{1F1EE036-7132-4E6D-91B7-643C7A5D0265}" name="Column446"/>
    <tableColumn id="452" xr3:uid="{8135EDCC-AD97-4848-AC45-DEA4DA427CE3}" name="Column447"/>
    <tableColumn id="453" xr3:uid="{08A6B91D-3384-4F26-92BA-57E81E9CE9B9}" name="Column448"/>
    <tableColumn id="454" xr3:uid="{2CE68DA7-0A13-4986-90AE-B6486344F844}" name="Column449"/>
    <tableColumn id="455" xr3:uid="{7417E67F-8F43-4EC1-A2A6-78400501B6B6}" name="Column450"/>
    <tableColumn id="456" xr3:uid="{799754BF-34A0-4872-98FF-F1841EB11F6A}" name="Column451"/>
    <tableColumn id="457" xr3:uid="{DA687959-63B9-476B-B9C9-5FC1C4C7D684}" name="Column452"/>
    <tableColumn id="458" xr3:uid="{5C8D89DE-E8ED-45F9-AF65-0D0180B0E237}" name="Column453"/>
    <tableColumn id="459" xr3:uid="{95D4434C-5BF4-4864-BDFF-AD497E4B26BF}" name="Column454"/>
    <tableColumn id="460" xr3:uid="{42420A89-5C2F-4147-B089-F63DAE0194D7}" name="Column455"/>
    <tableColumn id="461" xr3:uid="{BB7FFFD7-0612-4D99-AA43-877C01E05B73}" name="Column456"/>
    <tableColumn id="462" xr3:uid="{0440F6C9-C52C-42DA-9E72-31312D29A35B}" name="Column457"/>
    <tableColumn id="463" xr3:uid="{DD46DADB-FF1E-4B4F-8CA2-2E1767A07E98}" name="Column458"/>
    <tableColumn id="464" xr3:uid="{7CD78D4D-F7F5-43CC-A237-A3A24312FFD0}" name="Column459"/>
    <tableColumn id="465" xr3:uid="{41B66BEC-6769-43A1-A9E3-2743EE33624A}" name="Column460"/>
    <tableColumn id="466" xr3:uid="{7B2F2AC6-2D5D-4272-859F-84876854F1F8}" name="Column461"/>
    <tableColumn id="467" xr3:uid="{7B7F62A1-E0C9-4BC9-8494-F17C20408A75}" name="Column462"/>
    <tableColumn id="468" xr3:uid="{A4BC8D6C-4D57-4422-983C-8F9195A5513C}" name="Column463"/>
    <tableColumn id="469" xr3:uid="{099B62BD-A400-4DCC-960A-26D39949EB64}" name="Column464"/>
    <tableColumn id="470" xr3:uid="{CF9747A8-539A-417E-ACC1-681EB7F2CDAB}" name="Column465"/>
    <tableColumn id="471" xr3:uid="{31CFD22C-C3A8-45A5-B9D3-8421792475DA}" name="Column466"/>
    <tableColumn id="472" xr3:uid="{79EB3A75-F9C9-48A0-ACE9-7E5A7C2C9820}" name="Column467"/>
    <tableColumn id="473" xr3:uid="{F42888E7-FE16-488E-8293-46EE248E7941}" name="Column468"/>
    <tableColumn id="474" xr3:uid="{6B0A8C1B-B69A-43D8-A11A-46A55A5D8A83}" name="Column469"/>
    <tableColumn id="475" xr3:uid="{6457B33A-7E11-46C4-B962-F22B80932C0B}" name="Column470"/>
    <tableColumn id="476" xr3:uid="{25FD8E88-0A75-4BE2-B8B4-0825EF6D8533}" name="Column471"/>
    <tableColumn id="477" xr3:uid="{D1F23951-72AD-4994-9BED-B55D992DF5DE}" name="Column472"/>
    <tableColumn id="478" xr3:uid="{DFABF00E-2C81-46E4-9AE1-3374BA456F00}" name="Column473"/>
    <tableColumn id="479" xr3:uid="{F708CBCB-482A-4BC6-8C5C-3677E73EF2E3}" name="Column474"/>
    <tableColumn id="480" xr3:uid="{E7FFBD17-F75F-4565-A974-E6913DA39495}" name="Column475"/>
    <tableColumn id="481" xr3:uid="{AEC0A852-2333-4737-ACE8-462DAD1201B3}" name="Column476"/>
    <tableColumn id="482" xr3:uid="{8AAE017F-0C1B-45DF-A833-5BD9F8155CEE}" name="Column477"/>
    <tableColumn id="483" xr3:uid="{311239C9-1309-4947-A1EF-C93D7B8BCA90}" name="Column478"/>
    <tableColumn id="484" xr3:uid="{2385F886-166C-44BD-B2A5-18DEF95E46B8}" name="Column479"/>
    <tableColumn id="485" xr3:uid="{9BE79299-6AED-4A04-9CF4-63314F1838BB}" name="Column480"/>
    <tableColumn id="486" xr3:uid="{80490DA5-966D-4E34-904F-A0D37BE27BF7}" name="Column481"/>
    <tableColumn id="487" xr3:uid="{AC67A1F8-6A6F-4E0B-88EB-60F612B40015}" name="Column482"/>
    <tableColumn id="488" xr3:uid="{01663565-19B9-4534-A397-2848B2A7ECBB}" name="Column483"/>
    <tableColumn id="489" xr3:uid="{4EBF282B-D405-41F5-BFA1-1DD83E64A48F}" name="Column484"/>
    <tableColumn id="490" xr3:uid="{85D381FC-710C-43E0-8763-4E01F4CAC79F}" name="Column485"/>
    <tableColumn id="491" xr3:uid="{5BDCEE07-8A32-49C0-8868-70EEC0E39513}" name="Column486"/>
    <tableColumn id="492" xr3:uid="{89B56334-299F-4FA7-A8DE-4D4B9350F99E}" name="Column487"/>
    <tableColumn id="493" xr3:uid="{F05BB85D-8DE7-4482-9D88-3B6B6264D5D8}" name="Column488"/>
    <tableColumn id="494" xr3:uid="{239357D8-6B29-4ECF-8B04-55D3312375D5}" name="Column489"/>
    <tableColumn id="495" xr3:uid="{F5E7CFA4-56DE-419D-A47B-B5744F6CE0B6}" name="Column490"/>
    <tableColumn id="496" xr3:uid="{B8512BDF-472D-4A2A-82EB-8A9FE66D010B}" name="Column491"/>
    <tableColumn id="497" xr3:uid="{259AAF01-353E-4918-ACD6-02119D487C01}" name="Column492"/>
    <tableColumn id="498" xr3:uid="{FD8A0F85-AFC1-4D1F-9351-D55670AC2F23}" name="Column493"/>
    <tableColumn id="499" xr3:uid="{7962A466-C55E-45DC-A343-BA6A64F84300}" name="Column494"/>
    <tableColumn id="500" xr3:uid="{9437C8CC-48AC-4AA7-8FB3-CA486473CC3F}" name="Column495"/>
    <tableColumn id="501" xr3:uid="{EF4D7B49-5A50-4878-9122-6785BEBEDF7B}" name="Column496"/>
    <tableColumn id="502" xr3:uid="{840BEF27-3DD4-4878-AB6F-BAAE404C9938}" name="Column497"/>
    <tableColumn id="503" xr3:uid="{862F59FD-0933-4563-A742-183F8A27E3AD}" name="Column498"/>
    <tableColumn id="504" xr3:uid="{CA5B5E3E-37BC-4748-AF9E-723E050734F5}" name="Column499"/>
    <tableColumn id="505" xr3:uid="{6AF92DC0-CC03-4047-BA41-175DC8F6AF76}" name="Column500"/>
    <tableColumn id="506" xr3:uid="{5A2C1525-DCF8-4843-B27B-4C99598188B5}" name="Column501"/>
    <tableColumn id="507" xr3:uid="{8C32545E-27FC-4A5E-AA04-3D115B807B00}" name="Column502"/>
    <tableColumn id="508" xr3:uid="{B3319DE9-8928-4807-BAE4-FDF2289201B9}" name="Column503"/>
    <tableColumn id="509" xr3:uid="{93D0BD46-BF43-4EF4-B1B1-1C90365132A9}" name="Column504"/>
    <tableColumn id="510" xr3:uid="{0AF1FD57-3B4A-4CE5-BFB6-EF55B0AFC399}" name="Column505"/>
    <tableColumn id="511" xr3:uid="{21BE12BF-E2BC-4290-B09F-6646969F6B0E}" name="Column506"/>
    <tableColumn id="512" xr3:uid="{6F912A73-C14F-4451-8A02-E6C131E80B63}" name="Column507"/>
    <tableColumn id="513" xr3:uid="{EA7EBE5B-7556-424D-BCC3-910107F206E0}" name="Column508"/>
    <tableColumn id="514" xr3:uid="{F9767BAE-E975-432E-8B3B-C444629D093D}" name="Column509"/>
    <tableColumn id="515" xr3:uid="{D4A1D777-5A3F-4515-ACF4-54CC3FA0F0F7}" name="Column510"/>
    <tableColumn id="516" xr3:uid="{779E9276-6988-457A-A065-4C9D1C3A5CF5}" name="Column511"/>
    <tableColumn id="517" xr3:uid="{8B26B2A9-BA8C-4E9D-8815-0C23B6818957}" name="Column512"/>
    <tableColumn id="518" xr3:uid="{061D087B-8E6A-4D4F-BDBD-1C1B69D4AA6D}" name="Column513"/>
    <tableColumn id="519" xr3:uid="{CD135490-5186-4918-86C4-C93CB4FDF322}" name="Column514"/>
    <tableColumn id="520" xr3:uid="{37D91743-05F4-4E11-9F2E-947EF9059D2E}" name="Column515"/>
    <tableColumn id="521" xr3:uid="{2CBEC78D-41C0-484F-B6AD-4ECC110DD10B}" name="Column516"/>
    <tableColumn id="522" xr3:uid="{07119548-278C-42B5-8A06-19F3761BEE72}" name="Column517"/>
    <tableColumn id="523" xr3:uid="{0FA43AE1-3281-41CD-AB75-F6BB42F56AB2}" name="Column518"/>
    <tableColumn id="524" xr3:uid="{6F966B36-9667-486C-B194-7EF40A172088}" name="Column519"/>
    <tableColumn id="525" xr3:uid="{50E21DB9-C81C-47EE-A85D-494CCFC9A6FD}" name="Column520"/>
    <tableColumn id="526" xr3:uid="{9D7183DE-05BC-4404-81E0-98EF0578A547}" name="Column521"/>
    <tableColumn id="527" xr3:uid="{0415FDCA-5909-487E-98C4-91DE6F537378}" name="Column522"/>
    <tableColumn id="528" xr3:uid="{8CBB1C42-0608-4AE7-A8E5-AF74E2DC8229}" name="Column523"/>
    <tableColumn id="529" xr3:uid="{415E1506-02B9-4FAF-A900-1F653583A698}" name="Column524"/>
    <tableColumn id="530" xr3:uid="{779C429B-22E2-455D-AE54-016F9B1D3E56}" name="Column525"/>
    <tableColumn id="531" xr3:uid="{68CC4AD9-6EE6-48D7-8F81-224F787E75C0}" name="Column526"/>
    <tableColumn id="532" xr3:uid="{1AD067F5-70A2-40DA-95F8-953F98CA56DD}" name="Column527"/>
    <tableColumn id="533" xr3:uid="{A3F0DEA3-1CB5-4599-A626-B10228C713B5}" name="Column528"/>
    <tableColumn id="534" xr3:uid="{49205B55-BFC9-481F-B306-481C2392B041}" name="Column529"/>
    <tableColumn id="535" xr3:uid="{678FED75-6C11-4ACE-9169-961BD54301DD}" name="Column530"/>
    <tableColumn id="536" xr3:uid="{B407B64C-81A3-41CD-94A1-96F34F249455}" name="Column531"/>
    <tableColumn id="537" xr3:uid="{60C60E3B-F57A-43B7-BF2D-D6A17F6DEF0C}" name="Column532"/>
    <tableColumn id="538" xr3:uid="{C674831C-FEEB-496B-BBD0-7D3C537129CA}" name="Column533"/>
    <tableColumn id="539" xr3:uid="{84F3754B-8D43-4C48-A8F7-334626569D0F}" name="Column534"/>
    <tableColumn id="540" xr3:uid="{7F8A1564-0631-46E8-9900-ED712CDED467}" name="Column535"/>
    <tableColumn id="541" xr3:uid="{1AEB1408-627B-4961-847D-8AD1A733FF56}" name="Column536"/>
    <tableColumn id="542" xr3:uid="{4DD9F5AE-7E45-4839-8A26-33AFE6A3808A}" name="Column537"/>
    <tableColumn id="543" xr3:uid="{4787BB90-9F92-4133-943C-E781ACAA7A1F}" name="Column538"/>
    <tableColumn id="544" xr3:uid="{6092F2D1-C542-484B-A0B7-D9C099EF7AA9}" name="Column539"/>
    <tableColumn id="545" xr3:uid="{2D833FD0-09A8-43C3-B6D3-C7A79572C116}" name="Column540"/>
    <tableColumn id="546" xr3:uid="{EBDD777A-0DCF-4109-969D-BC3DE0792B61}" name="Column541"/>
    <tableColumn id="547" xr3:uid="{522FDD32-2D0B-48D1-AD31-64472D96DD36}" name="Column542"/>
    <tableColumn id="548" xr3:uid="{86911D40-51F4-47CF-9FF7-24FFD8EB0442}" name="Column543"/>
    <tableColumn id="549" xr3:uid="{AB630676-B6E6-43B8-9CD1-F46501383470}" name="Column544"/>
    <tableColumn id="550" xr3:uid="{64643525-2DF1-466A-8207-94D3314B0F15}" name="Column545"/>
    <tableColumn id="551" xr3:uid="{1FC0B30D-6CD5-4CB7-AE8F-D0CD66A6BDC7}" name="Column546"/>
    <tableColumn id="552" xr3:uid="{3FE4A878-5D4F-4753-A852-F00286913497}" name="Column547"/>
    <tableColumn id="553" xr3:uid="{FFC151A8-4236-4DC4-9721-BE6CFB822B80}" name="Column548"/>
    <tableColumn id="554" xr3:uid="{FD541D17-C313-4BD7-8387-25C2BC9AF856}" name="Column549"/>
    <tableColumn id="555" xr3:uid="{DE6E74E5-F7B5-4715-B207-09F8CCDD2B7F}" name="Column550"/>
    <tableColumn id="556" xr3:uid="{52B0FAF8-D05D-46D7-8BD7-F0FAF225A51D}" name="Column551"/>
    <tableColumn id="557" xr3:uid="{21601B43-8D41-492A-95CF-CA297F3107A5}" name="Column552"/>
    <tableColumn id="558" xr3:uid="{6BE90773-08C0-449C-9ADF-6782E00204D9}" name="Column553"/>
    <tableColumn id="559" xr3:uid="{466701E6-F388-441B-900B-B2A52C3E423C}" name="Column554"/>
    <tableColumn id="560" xr3:uid="{D9F54C96-AC39-41B9-A06E-068B5050906F}" name="Column555"/>
    <tableColumn id="561" xr3:uid="{5D17AA44-4D94-404D-938F-EF72C7992927}" name="Column556"/>
    <tableColumn id="562" xr3:uid="{EDC7E3D1-C4A5-4E1E-8ED1-6E1D1FAF635E}" name="Column557"/>
    <tableColumn id="563" xr3:uid="{CBEC41D9-84FD-4AAD-B60B-96C64F6406F5}" name="Column558"/>
    <tableColumn id="564" xr3:uid="{0CDC308E-96B6-4DD3-9989-0EC1035483A9}" name="Column559"/>
    <tableColumn id="565" xr3:uid="{F86A42CE-B766-4DBB-9CC6-9244D4EFA522}" name="Column560"/>
    <tableColumn id="566" xr3:uid="{DE26FBD1-020B-4B89-BA8A-A46AAE9CDDF6}" name="Column561"/>
    <tableColumn id="567" xr3:uid="{40AFF175-144E-4780-BC1A-86B7F9E14994}" name="Column562"/>
    <tableColumn id="568" xr3:uid="{D90DAFF9-0937-4295-9A75-E8D7EBD60017}" name="Column563"/>
    <tableColumn id="569" xr3:uid="{3C6E2FD9-2B9A-4AF2-9412-9F5E4948B2D9}" name="Column564"/>
    <tableColumn id="570" xr3:uid="{03BA0F36-CE47-4E74-8EBB-9C9DBEB0F44E}" name="Column565"/>
    <tableColumn id="571" xr3:uid="{836C818B-33FD-424A-986E-271B87726F42}" name="Column566"/>
    <tableColumn id="572" xr3:uid="{9A4FBDF1-DE7B-4C69-ADC7-2A96A6092988}" name="Column567"/>
    <tableColumn id="573" xr3:uid="{791D4ABA-7E5C-498B-8AB2-333947772201}" name="Column568"/>
    <tableColumn id="574" xr3:uid="{A83F6FCF-E0BB-4A3F-9AB3-DDDCFFB11B33}" name="Column569"/>
    <tableColumn id="575" xr3:uid="{D45B551A-E0AC-4FFC-A710-D390B145BF62}" name="Column570"/>
    <tableColumn id="576" xr3:uid="{9874F4AB-4EA5-48B9-971B-9A591ACEAFDD}" name="Column571"/>
    <tableColumn id="577" xr3:uid="{1B3B126C-157F-4577-B87C-F8F455F558ED}" name="Column572"/>
    <tableColumn id="578" xr3:uid="{89A8B91C-F836-4118-B016-CC57A5FEF6E3}" name="Column573"/>
    <tableColumn id="579" xr3:uid="{5501A17A-A7EE-42B6-89AF-16A7CE008344}" name="Column574"/>
    <tableColumn id="580" xr3:uid="{ABBB2272-88C9-442B-8CC2-B1DB7B2A8325}" name="Column575"/>
    <tableColumn id="581" xr3:uid="{8235114A-3961-408E-B258-067DA2384004}" name="Column576"/>
    <tableColumn id="582" xr3:uid="{A1DFD4BC-4D87-4E6A-8B01-4F1F3BAF2EF0}" name="Column577"/>
    <tableColumn id="583" xr3:uid="{BE5F9007-BDB9-4EDC-BB34-D4AA56C95238}" name="Column578"/>
    <tableColumn id="584" xr3:uid="{0E99A8B9-8CC9-45DF-9170-7A7454DA241F}" name="Column579"/>
    <tableColumn id="585" xr3:uid="{35BDAFC0-1132-4429-8620-A92C7AB6F2D7}" name="Column580"/>
    <tableColumn id="586" xr3:uid="{FC4FD329-37D1-4A17-BB6B-1331FF774C0D}" name="Column581"/>
    <tableColumn id="587" xr3:uid="{1841AA1C-2289-4535-A57D-AB44B8100617}" name="Column582"/>
    <tableColumn id="588" xr3:uid="{79C4EB89-7DAD-47E6-81F6-A689E20ED01F}" name="Column583"/>
    <tableColumn id="589" xr3:uid="{873B6767-2495-4746-B58C-0E130A679C76}" name="Column584"/>
    <tableColumn id="590" xr3:uid="{80A9891D-1860-41C6-A0D0-BED5E310FA81}" name="Column585"/>
    <tableColumn id="591" xr3:uid="{C8FAD68D-0A2C-4698-A1E4-65F9DB7B15A9}" name="Column586"/>
    <tableColumn id="592" xr3:uid="{56F4B0EE-66BC-4D68-B532-E1E0A0D9FFED}" name="Column587"/>
    <tableColumn id="593" xr3:uid="{907B6B04-B8F7-4E41-B1BD-D2F4D5E9D0D9}" name="Column588"/>
    <tableColumn id="594" xr3:uid="{AA60ABF4-F3C3-4ECB-B022-5899ADE0FBAC}" name="Column589"/>
    <tableColumn id="595" xr3:uid="{AB39E3F4-3D48-4646-AF32-F63FE0900EE0}" name="Column590"/>
    <tableColumn id="596" xr3:uid="{8766AC9C-28D4-4F3D-82DC-1C28E6D3E437}" name="Column591"/>
    <tableColumn id="597" xr3:uid="{40920C84-3605-4C6D-95F3-CE010E44A889}" name="Column592"/>
    <tableColumn id="598" xr3:uid="{99A5AEB2-E119-40FC-B8F4-03915AE69C73}" name="Column593"/>
    <tableColumn id="599" xr3:uid="{42DDC6C0-7F6B-4F8F-9E22-CCB8EF1BEAA2}" name="Column594"/>
    <tableColumn id="600" xr3:uid="{21A74029-EC8D-4C23-92C7-16059CA19F73}" name="Column595"/>
    <tableColumn id="601" xr3:uid="{7290489B-D4F9-4233-B531-A003F2CA3204}" name="Column596"/>
    <tableColumn id="602" xr3:uid="{7DF4FF32-7EE9-413D-AB19-F7457AF79D09}" name="Column597"/>
    <tableColumn id="603" xr3:uid="{2FA4D614-0F06-4F79-9382-276260DCEF13}" name="Column598"/>
    <tableColumn id="604" xr3:uid="{3F812698-BEDD-4792-8D4E-836786D15C3F}" name="Column599"/>
    <tableColumn id="605" xr3:uid="{8DFC46B3-BD84-4B74-93B6-EDEB7FB166C8}" name="Column600"/>
    <tableColumn id="606" xr3:uid="{DAC7CDFE-A226-4492-83EC-01D5F989907E}" name="Column601"/>
    <tableColumn id="607" xr3:uid="{18A3E317-A9CA-4BD4-BCC6-C10D54BCD71A}" name="Column602"/>
    <tableColumn id="608" xr3:uid="{746A7F72-68DE-424E-809D-EFFF01690961}" name="Column603"/>
    <tableColumn id="609" xr3:uid="{80F100FC-820C-4038-8B33-DAA2CAEF3606}" name="Column604"/>
    <tableColumn id="610" xr3:uid="{C07D2374-378C-4A34-A345-D7BBFD44D613}" name="Column605"/>
    <tableColumn id="611" xr3:uid="{0CAF75B7-05E5-4D47-8AB8-BA9A3453D90A}" name="Column606"/>
    <tableColumn id="612" xr3:uid="{89254E33-A84E-4E7C-8BF1-D805CADE0D4E}" name="Column607"/>
    <tableColumn id="613" xr3:uid="{A69CE89B-0DE5-4487-99A0-C6A1A2ECDCF8}" name="Column608"/>
    <tableColumn id="614" xr3:uid="{02350754-BBC7-45EF-9D2B-355CA4292449}" name="Column609"/>
    <tableColumn id="615" xr3:uid="{47B06C81-B0AF-4086-BA10-8F430348FC40}" name="Column610"/>
    <tableColumn id="616" xr3:uid="{0478486D-5C92-4D92-997C-2D368C340746}" name="Column611"/>
    <tableColumn id="617" xr3:uid="{B39498BC-5673-4C52-9C41-30974274BA3F}" name="Column612"/>
    <tableColumn id="618" xr3:uid="{B2CD726A-E7FE-454C-B82B-9CA5F79479A7}" name="Column613"/>
    <tableColumn id="619" xr3:uid="{B9F75C99-CEA3-4E16-884A-DDEEFF1E5DE5}" name="Column614"/>
    <tableColumn id="620" xr3:uid="{F4CB1471-0A16-4D9B-9856-9618B72640B3}" name="Column615"/>
    <tableColumn id="621" xr3:uid="{96532657-3374-4AA3-B0F6-0EAA1800B9FC}" name="Column616"/>
    <tableColumn id="622" xr3:uid="{832307DF-7A2C-4CCA-B692-8454747CB89F}" name="Column617"/>
    <tableColumn id="623" xr3:uid="{DE0B5851-9C33-4434-94FB-794453D31D3D}" name="Column618"/>
    <tableColumn id="624" xr3:uid="{F149D433-ADCF-4D5E-9B58-97D9EE669C57}" name="Column619"/>
    <tableColumn id="625" xr3:uid="{FADF0E2E-AB58-404D-8516-32DE4772E418}" name="Column620"/>
    <tableColumn id="626" xr3:uid="{4FA2F87C-35C6-430F-95C2-EE7EA49A1F92}" name="Column621"/>
    <tableColumn id="627" xr3:uid="{149D961E-5062-43DB-BDFB-ADCEE3642D3C}" name="Column622"/>
    <tableColumn id="628" xr3:uid="{BC61F1F6-DF38-4C04-A518-791029181D90}" name="Column623"/>
    <tableColumn id="629" xr3:uid="{744038F8-D8BC-4AD6-B8FC-DA8B142E41A7}" name="Column624"/>
    <tableColumn id="630" xr3:uid="{6AF8AC44-DFFA-477B-80D6-A2AB989485EB}" name="Column625"/>
    <tableColumn id="631" xr3:uid="{6A60335D-773A-4C66-AE1F-D140DAACEC75}" name="Column626"/>
    <tableColumn id="632" xr3:uid="{FC5B2E16-5010-4E6F-B16B-5D8C28E8E489}" name="Column627"/>
    <tableColumn id="633" xr3:uid="{764321DA-B4C8-4C56-BA9E-B9FAF8A1D982}" name="Column628"/>
    <tableColumn id="634" xr3:uid="{A8641D5E-9564-4B00-A1AA-676D82367961}" name="Column629"/>
    <tableColumn id="635" xr3:uid="{9FCB350C-60AD-4BB4-A9E0-DEB5B17B3C44}" name="Column630"/>
    <tableColumn id="636" xr3:uid="{887F5AC6-661C-4832-B8FF-AE1363489289}" name="Column631"/>
    <tableColumn id="637" xr3:uid="{CC8F144B-6E28-4E5F-AD70-6F4AB8C4A8A5}" name="Column632"/>
    <tableColumn id="638" xr3:uid="{52D64D0F-F554-4689-AD21-5B4BAC428E91}" name="Column633"/>
    <tableColumn id="639" xr3:uid="{91A74DD0-1A41-4780-9CB9-AE4967936C68}" name="Column634"/>
    <tableColumn id="640" xr3:uid="{A1871640-6128-43C7-A0C0-198D45EBEA06}" name="Column635"/>
    <tableColumn id="641" xr3:uid="{02E2AF45-E38D-4A5A-954F-B3081443EDB0}" name="Column636"/>
    <tableColumn id="642" xr3:uid="{1785E9FF-A36D-426D-8C47-5BE171AD5677}" name="Column637"/>
    <tableColumn id="643" xr3:uid="{A1E366D1-030D-47EE-9717-1D5BCC1D3997}" name="Column638"/>
    <tableColumn id="644" xr3:uid="{C76B8050-3BD5-4858-9A69-43258618FC71}" name="Column639"/>
    <tableColumn id="645" xr3:uid="{FA743C74-19D7-4EF3-86AB-408E3C71556E}" name="Column640"/>
    <tableColumn id="646" xr3:uid="{D7FB8B14-68C6-45B5-8EF2-AF05F8311D8A}" name="Column641"/>
    <tableColumn id="647" xr3:uid="{6C5682AA-09C1-4E40-BC26-D2BEF13F567D}" name="Column642"/>
    <tableColumn id="648" xr3:uid="{0338BEB3-D2FC-4D40-94A1-D08F31DE6940}" name="Column643"/>
    <tableColumn id="649" xr3:uid="{C464570E-F871-4444-94D4-9D2453BD0FB6}" name="Column644"/>
    <tableColumn id="650" xr3:uid="{2695C726-45E2-4032-B172-C372AC511BA2}" name="Column645"/>
    <tableColumn id="651" xr3:uid="{7F8133CE-C21C-4934-9387-889B98906140}" name="Column646"/>
    <tableColumn id="652" xr3:uid="{73177C37-891C-403D-A49F-903C6441FC98}" name="Column647"/>
    <tableColumn id="653" xr3:uid="{31C597F9-D072-42E5-96EA-19569DA57DB9}" name="Column648"/>
    <tableColumn id="654" xr3:uid="{31333518-0906-4E3C-B678-BA7227769178}" name="Column649"/>
    <tableColumn id="655" xr3:uid="{B5D64C27-674F-4005-8893-07E5C2FA86E5}" name="Column650"/>
    <tableColumn id="656" xr3:uid="{DCB16432-3704-42D8-993A-57FC3BE28471}" name="Column651"/>
    <tableColumn id="657" xr3:uid="{960BF22B-401B-4EB3-9807-A6173785E248}" name="Column652"/>
    <tableColumn id="658" xr3:uid="{389916DA-A55C-4D55-9D7C-BA93EB312E07}" name="Column653"/>
    <tableColumn id="659" xr3:uid="{2FF8C935-F6BB-46CB-8456-A1C47E2A6346}" name="Column654"/>
    <tableColumn id="660" xr3:uid="{A925C48E-848A-4B82-B8B6-7CC12FAE4002}" name="Column655"/>
    <tableColumn id="661" xr3:uid="{63BF58D4-C7FC-4503-B8D9-3138A947D80B}" name="Column656"/>
    <tableColumn id="662" xr3:uid="{F1838D61-917A-4790-9BB7-9C450DB9CF65}" name="Column657"/>
    <tableColumn id="663" xr3:uid="{EB1A6BBF-02E8-42B3-8792-CCE6E4E1B4DE}" name="Column658"/>
    <tableColumn id="664" xr3:uid="{780E6244-7F3E-429B-B938-1A67B5BE04BA}" name="Column659"/>
    <tableColumn id="665" xr3:uid="{F85A0A2A-0B5B-4689-948E-BD83BF3842DB}" name="Column660"/>
    <tableColumn id="666" xr3:uid="{F51EE168-1997-44E7-84A6-32695EF710D4}" name="Column661"/>
    <tableColumn id="667" xr3:uid="{09611B6B-A49A-4093-B402-F528B58D39EB}" name="Column662"/>
    <tableColumn id="668" xr3:uid="{9DFA3BB7-E2EC-4A98-98B3-3977D422FA43}" name="Column663"/>
    <tableColumn id="669" xr3:uid="{D1BB6C3A-7248-4809-ACFF-C1384BB0D098}" name="Column664"/>
    <tableColumn id="670" xr3:uid="{E5CC3438-66B6-45EE-B603-095BC33C0ADE}" name="Column665"/>
    <tableColumn id="671" xr3:uid="{C4B2A485-B959-458A-9EC4-F75CAFF1D6A0}" name="Column666"/>
    <tableColumn id="672" xr3:uid="{3D6ED0FE-C895-4240-ACB7-292923722983}" name="Column667"/>
    <tableColumn id="673" xr3:uid="{DC68150F-D374-40D9-B83B-49BB94EE4E1C}" name="Column668"/>
    <tableColumn id="674" xr3:uid="{7A57794C-9EB9-427E-8DC3-A2913D1BC474}" name="Column669"/>
    <tableColumn id="675" xr3:uid="{8A255288-AD63-4CF2-8765-DD6AC367C22B}" name="Column670"/>
    <tableColumn id="676" xr3:uid="{270CFF67-0960-43B8-8BDD-4983CBC4370E}" name="Column671"/>
    <tableColumn id="677" xr3:uid="{153DF1A1-64B1-4441-BD04-12D9039E7B20}" name="Column672"/>
    <tableColumn id="678" xr3:uid="{FF2FCCEE-7380-4975-84B8-042DA01D6B94}" name="Column673"/>
    <tableColumn id="679" xr3:uid="{CAE76001-97C2-48E7-A3E1-1F753EE88663}" name="Column674"/>
    <tableColumn id="680" xr3:uid="{57E64C53-82F3-4566-96F4-440CDEAC434F}" name="Column675"/>
    <tableColumn id="681" xr3:uid="{533D11CF-126D-4F15-ADE8-06D5DD0FAE72}" name="Column676"/>
    <tableColumn id="682" xr3:uid="{1B42EB46-5B42-41D0-BC1E-B85507EC7BD1}" name="Column677"/>
    <tableColumn id="683" xr3:uid="{D7EFE780-E5C0-4880-803D-DC857FF123CC}" name="Column678"/>
    <tableColumn id="684" xr3:uid="{FE528E84-2363-41BF-B3D4-223373998C46}" name="Column679"/>
    <tableColumn id="685" xr3:uid="{DA123693-096D-4230-B293-EFF1BB5B0248}" name="Column680"/>
    <tableColumn id="686" xr3:uid="{793E4FDE-3EFA-4FE8-BF35-8C10144CE92D}" name="Column681"/>
    <tableColumn id="687" xr3:uid="{8C63302F-929F-46D0-BD13-BD09607198C0}" name="Column682"/>
    <tableColumn id="688" xr3:uid="{F7CF75CB-147A-4654-BDCD-D9425B82CF23}" name="Column683"/>
    <tableColumn id="689" xr3:uid="{D440F7CA-E36E-469E-A7FA-275DCCBE37DB}" name="Column684"/>
    <tableColumn id="690" xr3:uid="{A4029FFB-52C3-4F37-880B-E5FF6EB7B144}" name="Column685"/>
    <tableColumn id="691" xr3:uid="{D454472E-E262-4C4D-B3E8-77079A3FC51E}" name="Column686"/>
    <tableColumn id="692" xr3:uid="{A6FAAE7E-6830-4BA8-B677-11B6083D2EB0}" name="Column687"/>
    <tableColumn id="693" xr3:uid="{402B21A3-1261-413E-8839-C3B19B9734BD}" name="Column688"/>
    <tableColumn id="694" xr3:uid="{AF440004-9FEF-41F7-AA31-F74E4A32950D}" name="Column689"/>
    <tableColumn id="695" xr3:uid="{95FC58A6-1D71-4CF8-BC8D-A67D72614236}" name="Column690"/>
    <tableColumn id="696" xr3:uid="{3827BA8A-BD69-474D-84BB-BCF36B1A5CC9}" name="Column691"/>
    <tableColumn id="697" xr3:uid="{DB680D98-28CE-4D75-A6B5-C508D8A8C58E}" name="Column692"/>
    <tableColumn id="698" xr3:uid="{7137974F-5783-4042-A1D6-AE229121ADC4}" name="Column693"/>
    <tableColumn id="699" xr3:uid="{96AC3069-9E59-49C0-AEFA-82D22E2F3881}" name="Column694"/>
    <tableColumn id="700" xr3:uid="{102F8431-6A49-408C-874B-8D1C107CFA30}" name="Column695"/>
    <tableColumn id="701" xr3:uid="{D23AC30A-95FE-41A2-B4C5-532200430F24}" name="Column696"/>
    <tableColumn id="702" xr3:uid="{3C130EC9-FEE5-445A-B732-E53A68B546EC}" name="Column697"/>
    <tableColumn id="703" xr3:uid="{AAE8DB93-FA97-437F-BACE-EDB5550BDDE6}" name="Column698"/>
    <tableColumn id="704" xr3:uid="{BAA7A2BF-DF07-4D40-828C-D1506CA93C3E}" name="Column699"/>
    <tableColumn id="705" xr3:uid="{4A6E15A5-CF4C-4B11-B703-2FE2B76CCFBF}" name="Column700"/>
    <tableColumn id="706" xr3:uid="{8A122142-FD09-4DC7-AC52-37B70A2F2F8F}" name="Column701"/>
    <tableColumn id="707" xr3:uid="{8FE65844-8EB1-46FD-A6D4-6090CF6C3C7E}" name="Column702"/>
    <tableColumn id="708" xr3:uid="{6C9CBD03-ED2C-4004-9337-10653B5C7E7F}" name="Column703"/>
    <tableColumn id="709" xr3:uid="{80786D04-7C32-44CF-9C07-1FEED2DB0CB0}" name="Column704"/>
    <tableColumn id="710" xr3:uid="{8F8A9E54-E1D1-46EA-82F5-1C84AE99149B}" name="Column705"/>
    <tableColumn id="711" xr3:uid="{6A5AFD4C-C1CA-4100-AA29-E2E8ECA595C8}" name="Column706"/>
    <tableColumn id="712" xr3:uid="{4B6DD01F-92D4-43F9-A7E7-8AEC2EA50514}" name="Column707"/>
    <tableColumn id="713" xr3:uid="{87CB6EC5-A78E-4B84-8418-941736FA0283}" name="Column708"/>
    <tableColumn id="714" xr3:uid="{2F99B1AE-B7BC-45F4-9A5E-C6E3E7BDA819}" name="Column709"/>
    <tableColumn id="715" xr3:uid="{0103D602-BC41-4D5C-B80E-13505F2EC68C}" name="Column710"/>
    <tableColumn id="716" xr3:uid="{5BD3A3E6-19B4-4378-A548-AE6E414ACA66}" name="Column711"/>
    <tableColumn id="717" xr3:uid="{021B0072-DA21-4B30-9838-3E2718685213}" name="Column712"/>
    <tableColumn id="718" xr3:uid="{A1185DE2-FE60-4DE4-8D56-F48AA70442B5}" name="Column713"/>
    <tableColumn id="719" xr3:uid="{9E38907B-1891-45EA-A471-1FA2E2BE6DC5}" name="Column714"/>
    <tableColumn id="720" xr3:uid="{CAAAE30E-2DEF-4697-904E-623A8F90D928}" name="Column715"/>
    <tableColumn id="721" xr3:uid="{1CE08416-F9A3-4ACC-B56F-9B31CF40529A}" name="Column716"/>
    <tableColumn id="722" xr3:uid="{2483F57F-10B9-4F47-91F6-81198B21BBC6}" name="Column717"/>
    <tableColumn id="723" xr3:uid="{59DFD495-4EA5-4369-A964-75F357EB5101}" name="Column718"/>
    <tableColumn id="724" xr3:uid="{1E3189FD-EAAF-4964-99B1-79C7F7F2150E}" name="Column719"/>
    <tableColumn id="725" xr3:uid="{2D029808-CC3F-47DF-8AC0-C2E34597BFBE}" name="Column720"/>
    <tableColumn id="726" xr3:uid="{4654BE9D-0D6E-410F-A3BB-48E3484E5445}" name="Column721"/>
    <tableColumn id="727" xr3:uid="{8F0BE4E6-5528-47BD-A4DC-B76F341BF425}" name="Column722"/>
    <tableColumn id="728" xr3:uid="{4310F871-F2E9-4DA8-B216-4CEC2DA33085}" name="Column723"/>
    <tableColumn id="729" xr3:uid="{9572C882-6609-4E9E-A8D7-2AFD06CC2495}" name="Column724"/>
    <tableColumn id="730" xr3:uid="{4F63ABE2-702A-4810-8363-1FE16567F615}" name="Column725"/>
    <tableColumn id="731" xr3:uid="{F6180B4D-DE42-4014-9C40-8BAA97C995C7}" name="Column726"/>
    <tableColumn id="732" xr3:uid="{C8278834-B1EF-47BA-88D2-D05204B2B72D}" name="Column727"/>
    <tableColumn id="733" xr3:uid="{4A37B615-9C9B-419E-B226-64CFC92AF71B}" name="Column728"/>
    <tableColumn id="734" xr3:uid="{D6FBDF94-097B-4358-B09D-96D95262ECD7}" name="Column729"/>
    <tableColumn id="735" xr3:uid="{E5A9F3EC-83CC-4952-9C85-E89D6B6245D4}" name="Column730"/>
    <tableColumn id="736" xr3:uid="{527D53CC-329E-4B9C-BFF4-5A4731378107}" name="Column731"/>
    <tableColumn id="737" xr3:uid="{907BB79A-1B01-465D-AB23-8D28B3F871D7}" name="Column732"/>
    <tableColumn id="738" xr3:uid="{C02002FE-F4F8-4123-A438-93D72AB31A44}" name="Column733"/>
    <tableColumn id="739" xr3:uid="{1B0D5BED-B03B-4247-A3A3-6511EDF82A19}" name="Column734"/>
    <tableColumn id="740" xr3:uid="{C12E4994-3D7B-49FC-A859-FC858A8C606D}" name="Column735"/>
    <tableColumn id="741" xr3:uid="{F498D987-2526-425D-88F6-6D0257EF2B05}" name="Column736"/>
    <tableColumn id="742" xr3:uid="{9D804B31-3CAA-4DBF-9C8F-79FD498499AB}" name="Column737"/>
    <tableColumn id="743" xr3:uid="{A5E3C81F-EB83-44EB-8421-B068F2F947BD}" name="Column738"/>
    <tableColumn id="744" xr3:uid="{B167275A-2486-4FFF-B17D-AD0FBF50A45E}" name="Column739"/>
    <tableColumn id="745" xr3:uid="{A252B18B-0186-4047-82C0-18C0EA3A99A2}" name="Column740"/>
    <tableColumn id="746" xr3:uid="{40631585-1586-407B-963E-46793FBD6E1B}" name="Column741"/>
    <tableColumn id="747" xr3:uid="{B8F4D353-DCD4-4478-9C06-4107C9CF8094}" name="Column742"/>
    <tableColumn id="748" xr3:uid="{FECAE701-9FFB-4237-9D7C-0B028623DCA6}" name="Column743"/>
    <tableColumn id="749" xr3:uid="{C69A9CE8-9CDA-46D3-9E5D-B9C4C7597D1C}" name="Column744"/>
    <tableColumn id="750" xr3:uid="{BB9523E7-4F29-4FD3-93E4-DC05BD7771B1}" name="Column745"/>
    <tableColumn id="751" xr3:uid="{657EDB11-B59A-4FF7-BDE0-DBC8B69A8EF1}" name="Column746"/>
    <tableColumn id="752" xr3:uid="{4805670F-D797-4AFD-B768-E59EDF7A8835}" name="Column747"/>
    <tableColumn id="753" xr3:uid="{06A069A3-2FB3-407D-BCAD-CB02BD587B32}" name="Column748"/>
    <tableColumn id="754" xr3:uid="{B44C79AA-C8E4-42C7-8049-2D0E0B3E8D09}" name="Column749"/>
    <tableColumn id="755" xr3:uid="{E3A285BE-DB28-4373-A387-EA75CB861171}" name="Column750"/>
    <tableColumn id="756" xr3:uid="{9A3AEE95-43DE-4836-859E-08B46AF0BDD4}" name="Column751"/>
    <tableColumn id="757" xr3:uid="{A196F18E-91DC-4B62-A82E-6307CC26E3AD}" name="Column752"/>
    <tableColumn id="758" xr3:uid="{88C04E81-93D0-4640-B042-6A189F478762}" name="Column753"/>
    <tableColumn id="759" xr3:uid="{F0ABF44C-4FCB-4F24-9F04-FA5D7E572750}" name="Column754"/>
    <tableColumn id="760" xr3:uid="{10843E7E-B721-47F5-960C-DC43C0F5403A}" name="Column755"/>
    <tableColumn id="761" xr3:uid="{0679AEB4-323B-4C2D-A5FD-C3D5488EF974}" name="Column756"/>
    <tableColumn id="762" xr3:uid="{DA8F967A-ACA0-473A-9B63-3627AD898365}" name="Column757"/>
    <tableColumn id="763" xr3:uid="{5E5FF182-18A0-434F-B6D3-453D910483D5}" name="Column758"/>
    <tableColumn id="764" xr3:uid="{01D2A341-6941-4BB1-8AE8-B3F2DFE2E111}" name="Column759"/>
    <tableColumn id="765" xr3:uid="{71AA8193-3574-4F78-9628-C2728FD589D4}" name="Column760"/>
    <tableColumn id="766" xr3:uid="{489425E7-6455-4C70-BE9D-0AD4BC47E967}" name="Column761"/>
    <tableColumn id="767" xr3:uid="{5FD28A45-9455-449B-A600-2EB792458086}" name="Column762"/>
    <tableColumn id="768" xr3:uid="{0C744BE4-009A-4CAD-AF37-0CFA63331FB4}" name="Column763"/>
    <tableColumn id="769" xr3:uid="{0BFA7195-1708-43B3-9494-32C133A26869}" name="Column764"/>
    <tableColumn id="770" xr3:uid="{6314431C-1C35-4872-B3BE-F72E19D3993C}" name="Column765"/>
    <tableColumn id="771" xr3:uid="{98551A43-51DF-47E0-B875-B9104834FAA9}" name="Column766"/>
    <tableColumn id="772" xr3:uid="{ECC6FFCD-1E89-4136-889A-A1FD3120A376}" name="Column767"/>
    <tableColumn id="773" xr3:uid="{41440546-E4DA-412F-A6DC-7349CDF7E5F4}" name="Column768"/>
    <tableColumn id="774" xr3:uid="{64AC0F20-3DA7-48E5-97E2-E4B9B5A18A73}" name="Column769"/>
    <tableColumn id="775" xr3:uid="{367A6869-F616-4081-A738-85FD7A863966}" name="Column770"/>
    <tableColumn id="776" xr3:uid="{B6862345-5B7F-4565-A954-6885451A1581}" name="Column771"/>
    <tableColumn id="777" xr3:uid="{B8D641FD-8C37-40E7-80BB-2BFB895CDDB6}" name="Column772"/>
    <tableColumn id="778" xr3:uid="{FCED6B1A-2DD8-46BB-A29A-6E800E88D40F}" name="Column773"/>
    <tableColumn id="779" xr3:uid="{BE834FED-ECE4-4C99-96B8-204317E72FD3}" name="Column774"/>
    <tableColumn id="780" xr3:uid="{003F1269-667C-4029-BA49-A776D199E008}" name="Column775"/>
    <tableColumn id="781" xr3:uid="{1C4F73CB-6857-47B2-A5EF-E69CB82E630F}" name="Column776"/>
    <tableColumn id="782" xr3:uid="{60FAA19F-5875-4B1A-ADA9-3DB99C044FB9}" name="Column777"/>
    <tableColumn id="783" xr3:uid="{65D727E5-CC34-47F5-96BB-8C55AB5B1EF1}" name="Column778"/>
    <tableColumn id="784" xr3:uid="{A6323DBD-25A9-4049-8067-CFFF125629F2}" name="Column779"/>
    <tableColumn id="785" xr3:uid="{0B4C9B02-9C1A-4681-B19B-097216B542B4}" name="Column780"/>
    <tableColumn id="786" xr3:uid="{53A6668F-7537-45DB-BB46-C26DAACFB7C5}" name="Column781"/>
    <tableColumn id="787" xr3:uid="{FC992C5A-3DA7-4BD9-8D1B-0D9192BECD8F}" name="Column782"/>
    <tableColumn id="788" xr3:uid="{82CB7E6E-9DDE-48A7-87E8-5124D3C5625E}" name="Column783"/>
    <tableColumn id="789" xr3:uid="{EB007073-2D13-43D4-A351-2A9DBF323690}" name="Column784"/>
    <tableColumn id="790" xr3:uid="{CD048DAC-F3F0-4B58-AE93-EBFB001EFD5E}" name="Column785"/>
    <tableColumn id="791" xr3:uid="{DD771F5F-E4BD-446A-BEF4-605E1A79B237}" name="Column786"/>
    <tableColumn id="792" xr3:uid="{C8E61BF7-2D18-4FF4-B5D9-7ADABCA7C238}" name="Column787"/>
    <tableColumn id="793" xr3:uid="{464A39EB-FF92-4C40-811A-E588DD88D6A1}" name="Column788"/>
    <tableColumn id="794" xr3:uid="{F78144C4-8819-41EE-83C8-1C63F11DE5ED}" name="Column789"/>
    <tableColumn id="795" xr3:uid="{CC64CA15-A8CB-4D0B-BD16-8AF024754BB8}" name="Column790"/>
    <tableColumn id="796" xr3:uid="{343CFD86-9045-43E6-BB4A-AACEA3B0F38C}" name="Column791"/>
    <tableColumn id="797" xr3:uid="{11BBA900-9EEE-4E03-9315-35F772E48557}" name="Column792"/>
    <tableColumn id="798" xr3:uid="{81FA0B9E-D789-44C2-9E46-8A7F3F1D6681}" name="Column793"/>
    <tableColumn id="799" xr3:uid="{C0148E84-5D5D-48AE-8D25-F310432A2D5A}" name="Column794"/>
    <tableColumn id="800" xr3:uid="{291CC201-74E9-48D6-8657-88978EFFD5E1}" name="Column795"/>
    <tableColumn id="801" xr3:uid="{8B106015-77C3-4A39-9603-4BF5C45E3CB0}" name="Column796"/>
    <tableColumn id="802" xr3:uid="{61EC8BDE-3B12-4AC4-85CC-F09F8F475922}" name="Column797"/>
    <tableColumn id="803" xr3:uid="{9D0B7743-E809-4C86-9922-D2519A0D7B95}" name="Column798"/>
    <tableColumn id="804" xr3:uid="{B75FDF6C-9979-4D00-9A37-5F4E170B077A}" name="Column799"/>
    <tableColumn id="805" xr3:uid="{1AEF95A3-B24A-4C73-9786-B7BD5DB1D965}" name="Column800"/>
    <tableColumn id="806" xr3:uid="{370EB744-092A-4DB2-B29A-E3A17052AA2A}" name="Column801"/>
    <tableColumn id="807" xr3:uid="{019C455F-3CF1-4FFC-84D4-C84B5EE39802}" name="Column802"/>
    <tableColumn id="808" xr3:uid="{86200DAE-728B-4843-BD34-8C5695F4CAD7}" name="Column803"/>
    <tableColumn id="809" xr3:uid="{3DCD12D9-7840-40F3-AA9F-3B45ABF3E21D}" name="Column804"/>
    <tableColumn id="810" xr3:uid="{4174B7D4-BF08-46E5-AC46-1DCF528A3225}" name="Column805"/>
    <tableColumn id="811" xr3:uid="{2E0C489E-150F-4EA2-88FA-A4D26096477B}" name="Column806"/>
    <tableColumn id="812" xr3:uid="{29DC8DE5-94C0-450F-8ECC-129CD426201E}" name="Column807"/>
    <tableColumn id="813" xr3:uid="{0E7E9FB5-33B7-4558-AB01-97AB261FFF9D}" name="Column808"/>
    <tableColumn id="814" xr3:uid="{7C601452-139F-4315-A2AC-0938A2C9CB41}" name="Column809"/>
    <tableColumn id="815" xr3:uid="{C8DC8FC5-4B26-4233-AFA9-9E2078FA2A1D}" name="Column810"/>
    <tableColumn id="816" xr3:uid="{CBDBE603-B5EE-4EF5-9597-B5C13EAF8780}" name="Column811"/>
    <tableColumn id="817" xr3:uid="{FBCE779C-A61B-4B03-8A04-71117C538338}" name="Column812"/>
    <tableColumn id="818" xr3:uid="{3535301C-F1EE-44F9-B7C0-7BFCEBD3583C}" name="Column813"/>
    <tableColumn id="819" xr3:uid="{1E5364D3-98FE-4F98-8075-5B7D63FD9214}" name="Column814"/>
    <tableColumn id="820" xr3:uid="{A205B2C2-A854-4E58-8E46-085791F90B1B}" name="Column815"/>
    <tableColumn id="821" xr3:uid="{52B7F415-0F30-409F-9013-A0453544277A}" name="Column816"/>
    <tableColumn id="822" xr3:uid="{C4B3A02F-B89F-4500-97C5-F0A6507690A7}" name="Column817"/>
    <tableColumn id="823" xr3:uid="{2217EFAB-5B70-4AB3-BBE6-19F144B6E570}" name="Column818"/>
    <tableColumn id="824" xr3:uid="{786F5AC5-A893-4B2A-B6C8-DEC04C637318}" name="Column819"/>
    <tableColumn id="825" xr3:uid="{7FF60657-F10A-4C2B-BD3D-9152AA797B97}" name="Column820"/>
    <tableColumn id="826" xr3:uid="{033B5615-CD41-4692-9690-59DF0683E5B0}" name="Column821"/>
    <tableColumn id="827" xr3:uid="{12920C72-CCCF-4CCA-A46B-DC620824A2A7}" name="Column822"/>
    <tableColumn id="828" xr3:uid="{DBB44F55-D34D-4549-967F-BD7AD043A4C5}" name="Column823"/>
    <tableColumn id="829" xr3:uid="{A230D10D-55E2-4B00-BBDA-ACE2A1B5C490}" name="Column824"/>
    <tableColumn id="830" xr3:uid="{4C7E1A6B-27EF-4F39-9AB9-063DDD8A0C6C}" name="Column825"/>
    <tableColumn id="831" xr3:uid="{580EBF93-82E0-44B3-BADC-E7299EDC263B}" name="Column826"/>
    <tableColumn id="832" xr3:uid="{F193C66E-8174-4727-99F0-6C2CBB3EC45B}" name="Column827"/>
    <tableColumn id="833" xr3:uid="{ACB9F7A0-DA01-47A2-9CD1-5343E964EA77}" name="Column828"/>
    <tableColumn id="834" xr3:uid="{1679EA75-F67A-4297-A226-90DFE942040A}" name="Column829"/>
    <tableColumn id="835" xr3:uid="{EAB3E1F6-6410-43AB-B6CC-6CB757016926}" name="Column830"/>
    <tableColumn id="836" xr3:uid="{1262087C-7180-49F2-9F14-C27CE9859AB9}" name="Column831"/>
    <tableColumn id="837" xr3:uid="{DF918D8A-B5B9-4B47-80F6-F8DCA3908E0A}" name="Column832"/>
    <tableColumn id="838" xr3:uid="{6AC28F5A-A809-4155-8717-7F181C8F62E1}" name="Column833"/>
    <tableColumn id="839" xr3:uid="{5C8548DE-C033-4E57-BA58-71F6503EFF33}" name="Column834"/>
    <tableColumn id="840" xr3:uid="{C1E3C15E-B723-4454-85B2-EEDD57EA9EAC}" name="Column835"/>
    <tableColumn id="841" xr3:uid="{1A20822A-E36D-4CF8-9A23-92180E9DEB58}" name="Column836"/>
    <tableColumn id="842" xr3:uid="{F9B9E0F4-2324-4F97-AFD9-59054C1DFB85}" name="Column837"/>
    <tableColumn id="843" xr3:uid="{3112A084-62FC-4874-9791-114CAEA91167}" name="Column838"/>
    <tableColumn id="844" xr3:uid="{CB3FB157-A372-4422-B21D-12D6F8C36D92}" name="Column839"/>
    <tableColumn id="845" xr3:uid="{6733391B-8D28-481E-BB86-FD2EAA7B6F8F}" name="Column840"/>
    <tableColumn id="846" xr3:uid="{BDB6947D-B7E0-456F-BC5B-7EF164AE2011}" name="Column841"/>
    <tableColumn id="847" xr3:uid="{D551006C-500A-4868-9AE5-7FAC17E82826}" name="Column842"/>
    <tableColumn id="848" xr3:uid="{04B6EB81-FA32-46E2-A74C-191C36909779}" name="Column843"/>
    <tableColumn id="849" xr3:uid="{017FE6DE-D381-44CC-A0AD-07AC094B85C8}" name="Column844"/>
    <tableColumn id="850" xr3:uid="{7594D2EA-DFDF-49A8-A8B3-F04FA6826578}" name="Column845"/>
    <tableColumn id="851" xr3:uid="{C6F68E68-662B-4BF0-ACD2-83E7CCC81EF1}" name="Column846"/>
    <tableColumn id="852" xr3:uid="{3FF35821-BBEA-4D0F-8252-610D686B48FB}" name="Column847"/>
    <tableColumn id="853" xr3:uid="{F30B0366-143D-4295-AB19-8BA2375C82F8}" name="Column848"/>
    <tableColumn id="854" xr3:uid="{56473D50-15BA-450B-BEC4-A5986759DE4B}" name="Column849"/>
    <tableColumn id="855" xr3:uid="{267C36D9-BF6A-4C58-8D26-BF06F1CCBE4B}" name="Column850"/>
    <tableColumn id="856" xr3:uid="{E06243DC-53A9-40D0-9DC8-3C7D2F9D61D6}" name="Column851"/>
    <tableColumn id="857" xr3:uid="{ED1FDE6F-F5D3-4797-92E1-51486BA021A3}" name="Column852"/>
    <tableColumn id="858" xr3:uid="{FD13DADE-65C7-444B-8186-82C812713A94}" name="Column853"/>
    <tableColumn id="859" xr3:uid="{9961438B-12A0-486A-8CC5-CE5429D80812}" name="Column854"/>
    <tableColumn id="860" xr3:uid="{69CE5049-DD4E-4B84-9F2C-75CCDF9CC7D0}" name="Column855"/>
    <tableColumn id="861" xr3:uid="{81150C9D-5DA2-4149-838C-E30FFBC77041}" name="Column856"/>
    <tableColumn id="862" xr3:uid="{32537DCA-121D-4271-B8F2-A1AA9E345478}" name="Column857"/>
    <tableColumn id="863" xr3:uid="{BD7D2329-04F7-4006-8346-A3191151D0A3}" name="Column858"/>
    <tableColumn id="864" xr3:uid="{F0C85AA7-AE95-4218-82C5-B5BA09C8C283}" name="Column859"/>
    <tableColumn id="865" xr3:uid="{4C5F351E-CB6D-419A-AA03-0F3B7ED31C6B}" name="Column860"/>
    <tableColumn id="866" xr3:uid="{2F7DD464-CDB4-4DD7-B69C-5578AAEC0A96}" name="Column861"/>
    <tableColumn id="867" xr3:uid="{4E2BF381-95F2-4684-B639-2FB51B6039E6}" name="Column862"/>
    <tableColumn id="868" xr3:uid="{B1730980-F439-4E6E-A1B2-8025026CDE17}" name="Column863"/>
    <tableColumn id="869" xr3:uid="{73DA669B-3D49-4E88-960C-185E39CDDD23}" name="Column864"/>
    <tableColumn id="870" xr3:uid="{F8B425FD-B988-4A1F-A518-E639CA72FC76}" name="Column865"/>
    <tableColumn id="871" xr3:uid="{77D11A63-AB76-473F-9127-DEE2DD05669C}" name="Column866"/>
    <tableColumn id="872" xr3:uid="{D4D65C70-6CB4-4072-978A-0CECD5282630}" name="Column867"/>
    <tableColumn id="873" xr3:uid="{828CC973-A3F1-44CD-85F2-832DF5363718}" name="Column868"/>
    <tableColumn id="874" xr3:uid="{0595D746-4D17-4AAF-ADD1-4E329CB90088}" name="Column869"/>
    <tableColumn id="875" xr3:uid="{4311DDC5-4F5B-4B7B-9E14-E00B34BA8955}" name="Column870"/>
    <tableColumn id="876" xr3:uid="{528AAD06-1FFE-4188-9CA6-11A42BF4345F}" name="Column871"/>
    <tableColumn id="877" xr3:uid="{3AD77527-4B16-4D7D-83BE-A74347842050}" name="Column872"/>
    <tableColumn id="878" xr3:uid="{86AF2239-D357-42B5-AF31-C8B56808D4D3}" name="Column873"/>
    <tableColumn id="879" xr3:uid="{389B7B76-60BD-4168-B28E-7AC9EDE225D4}" name="Column874"/>
    <tableColumn id="880" xr3:uid="{86769BE6-ABE0-45BD-A2B1-CB59C874208B}" name="Column875"/>
    <tableColumn id="881" xr3:uid="{3A471570-4F04-44E2-A084-2D450295CFC7}" name="Column876"/>
    <tableColumn id="882" xr3:uid="{51CDD438-DB98-43BF-9E46-219779DE21EA}" name="Column877"/>
    <tableColumn id="883" xr3:uid="{4DE58DDE-8DE3-4942-BA75-197EEC81E740}" name="Column878"/>
    <tableColumn id="884" xr3:uid="{27F235AA-7F4A-4A17-B511-AB0E3A5E5DAD}" name="Column879"/>
    <tableColumn id="885" xr3:uid="{67CEC7D5-C226-403A-A15E-B420E1AC80E1}" name="Column880"/>
    <tableColumn id="886" xr3:uid="{4C9238F7-F445-4EE9-A720-C0FA7B0612EB}" name="Column881"/>
    <tableColumn id="887" xr3:uid="{5A65BFA5-0DF3-4845-BDB4-97AFB954AFD2}" name="Column882"/>
    <tableColumn id="888" xr3:uid="{6DF80D82-A12E-42A5-97C0-F754A8AC7247}" name="Column883"/>
    <tableColumn id="889" xr3:uid="{D30E963F-2714-4226-9186-53D1039CFC7E}" name="Column884"/>
    <tableColumn id="890" xr3:uid="{3889B1C6-863C-4298-A42D-9E9941D7A71F}" name="Column885"/>
    <tableColumn id="891" xr3:uid="{8544E6D1-2A09-4650-88C7-08E10BCC7A76}" name="Column886"/>
    <tableColumn id="892" xr3:uid="{8463283C-B06E-43F8-9D27-4946E47464D5}" name="Column887"/>
    <tableColumn id="893" xr3:uid="{CE2FBE9E-C558-4073-9C26-73F7DF4E7958}" name="Column888"/>
    <tableColumn id="894" xr3:uid="{1E8ED07C-C3DA-4FA6-B3F3-600EF782DF52}" name="Column889"/>
    <tableColumn id="895" xr3:uid="{7ED3C9FA-8316-4981-B74F-D791BC62B3A4}" name="Column890"/>
    <tableColumn id="896" xr3:uid="{E398868F-D4EF-43D9-8DB4-68ADC09D7D80}" name="Column891"/>
    <tableColumn id="897" xr3:uid="{F682C940-EBA4-417E-8259-B4402DA06873}" name="Column892"/>
    <tableColumn id="898" xr3:uid="{8D6C076D-177E-471F-AEAA-B18FA14EAA66}" name="Column893"/>
    <tableColumn id="899" xr3:uid="{82C40838-A04D-4923-AFBC-C338065F58BC}" name="Column894"/>
    <tableColumn id="900" xr3:uid="{29A9A22C-8239-4662-AEC4-3F58B1D87C96}" name="Column895"/>
    <tableColumn id="901" xr3:uid="{5B663DB7-51F7-495C-9009-04158BF21532}" name="Column896"/>
    <tableColumn id="902" xr3:uid="{ACDA3849-FAD4-4BF4-B116-CC459198A19C}" name="Column897"/>
    <tableColumn id="903" xr3:uid="{32B87F3A-1C6B-4A27-84C4-CD3D506D0029}" name="Column898"/>
    <tableColumn id="904" xr3:uid="{2821217B-C151-4DC1-993D-B9DCC7F199CF}" name="Column899"/>
    <tableColumn id="905" xr3:uid="{C354707A-0453-485C-8395-C4CB45F9046C}" name="Column900"/>
    <tableColumn id="906" xr3:uid="{1D666E41-E0E8-41D0-81F1-7E2FFC66B012}" name="Column901"/>
    <tableColumn id="907" xr3:uid="{33925F14-7BA4-4675-8210-DCD2AAE54896}" name="Column902"/>
    <tableColumn id="908" xr3:uid="{7E71013C-19F5-43E3-B1CC-9341C38412EB}" name="Column903"/>
    <tableColumn id="909" xr3:uid="{85F7EDA8-BB01-47A2-A9BE-F920AF517D9F}" name="Column904"/>
    <tableColumn id="910" xr3:uid="{F3EB1730-5180-4046-9F5C-D5B6E7F7E9FC}" name="Column905"/>
    <tableColumn id="911" xr3:uid="{703B99B7-B841-4587-A120-C55C255FAF4D}" name="Column906"/>
    <tableColumn id="912" xr3:uid="{E9109699-6D91-46CB-B23F-5C31FE8225C7}" name="Column907"/>
    <tableColumn id="913" xr3:uid="{CEDA2872-E821-4775-9B71-2BF232EC000E}" name="Column908"/>
    <tableColumn id="914" xr3:uid="{28C478BA-4AEE-4892-AC4B-4A8C3BF27428}" name="Column909"/>
    <tableColumn id="915" xr3:uid="{18F441FF-7F11-47DB-B7BB-E1B1B4C5535F}" name="Column910"/>
    <tableColumn id="916" xr3:uid="{4F97EE4B-9770-4875-BB45-5F1CCFC49CBE}" name="Column911"/>
    <tableColumn id="917" xr3:uid="{A37CDBD1-8F9A-4D08-9143-39632FDCA0B5}" name="Column912"/>
    <tableColumn id="918" xr3:uid="{9A26E2E1-920F-43FE-9F8C-6CFD4DA9548C}" name="Column913"/>
    <tableColumn id="919" xr3:uid="{FA7B1376-4EB9-49F1-99A5-44906C62AAEA}" name="Column914"/>
    <tableColumn id="920" xr3:uid="{2B57C466-3050-4489-A5F2-3913D6F36B9A}" name="Column915"/>
    <tableColumn id="921" xr3:uid="{C75959DF-A024-4E67-88CC-1188F0F91373}" name="Column916"/>
    <tableColumn id="922" xr3:uid="{211A9A44-A284-48DF-B6D1-18F241897100}" name="Column917"/>
    <tableColumn id="923" xr3:uid="{F07C5BFF-2A97-4AA5-B82C-9958762ABBD7}" name="Column918"/>
    <tableColumn id="924" xr3:uid="{0D2E1295-9569-4A61-8B0F-AFEF2DFA1511}" name="Column919"/>
    <tableColumn id="925" xr3:uid="{6403C586-7405-4C16-9C27-B813AB5DFCFB}" name="Column920"/>
    <tableColumn id="926" xr3:uid="{30CF025B-73EC-405D-97B9-CE4E3DFAFD2B}" name="Column921"/>
    <tableColumn id="927" xr3:uid="{E76ECFC5-5A3E-43F4-9355-9033464C006E}" name="Column922"/>
    <tableColumn id="928" xr3:uid="{C0D0E1C6-6E25-4F9F-92B3-CAE7A9ABCB8E}" name="Column923"/>
    <tableColumn id="929" xr3:uid="{7B5D9C68-91F0-4128-A97A-E7CC26B0DDB6}" name="Column924"/>
    <tableColumn id="930" xr3:uid="{F42C2AE5-34A0-49CA-852D-02DDCEAFDB6B}" name="Column925"/>
    <tableColumn id="931" xr3:uid="{ACF2928D-3B93-429A-82C5-A5A89FBA3BC4}" name="Column926"/>
    <tableColumn id="932" xr3:uid="{838F8639-9AAA-48F4-B7AE-6A10A6502D57}" name="Column927"/>
    <tableColumn id="933" xr3:uid="{D7DDDF61-449B-4EB4-8DE6-8447271B9442}" name="Column928"/>
    <tableColumn id="934" xr3:uid="{B670A0FD-3E38-4226-BF8B-39F7A6A4A65A}" name="Column929"/>
    <tableColumn id="935" xr3:uid="{8040C648-60F4-48A2-BB9F-EAC529B53E31}" name="Column930"/>
    <tableColumn id="936" xr3:uid="{FD42778D-2CAF-42D8-8D81-69AB41A1D304}" name="Column931"/>
    <tableColumn id="937" xr3:uid="{A1E23188-F116-4D5E-877F-4477AC5BF63E}" name="Column932"/>
    <tableColumn id="938" xr3:uid="{5A71FC99-8662-4132-997A-143837085256}" name="Column933"/>
    <tableColumn id="939" xr3:uid="{101C27EA-7420-4572-AC99-262B6343F765}" name="Column934"/>
    <tableColumn id="940" xr3:uid="{D2563B1E-2A56-438E-8483-419F5C6E93DB}" name="Column935"/>
    <tableColumn id="941" xr3:uid="{3CE4E093-0AB1-410E-9F2B-A2AC4C3E8A31}" name="Column936"/>
    <tableColumn id="942" xr3:uid="{94981D5E-46A3-4974-BBF8-6473493F399D}" name="Column937"/>
    <tableColumn id="943" xr3:uid="{9233A003-44D3-4134-970C-FBC6889356DC}" name="Column938"/>
    <tableColumn id="944" xr3:uid="{C95A37FA-5496-40F7-B8D7-9FCB28C8C24F}" name="Column939"/>
    <tableColumn id="945" xr3:uid="{D6D844A2-8299-4760-AD26-BD274E6AC8C8}" name="Column940"/>
    <tableColumn id="946" xr3:uid="{9E502398-1C68-4A80-ABA6-BBD79537D01D}" name="Column941"/>
    <tableColumn id="947" xr3:uid="{08103431-EF78-4E2A-A151-E7686A363746}" name="Column942"/>
    <tableColumn id="948" xr3:uid="{77A7386C-B75F-46AD-B3EA-1A7B499AA424}" name="Column943"/>
    <tableColumn id="949" xr3:uid="{6D0AC92B-DB53-4776-A94E-6158FDC45715}" name="Column944"/>
    <tableColumn id="950" xr3:uid="{476B304C-B4F3-4204-87D7-7BD24BE83D2B}" name="Column945"/>
    <tableColumn id="951" xr3:uid="{3417AC11-D3F5-4622-924D-83D8375E4758}" name="Column946"/>
    <tableColumn id="952" xr3:uid="{2C33BF13-650D-4266-AE13-E2E3E8C078B5}" name="Column947"/>
    <tableColumn id="953" xr3:uid="{634D9846-01DE-4819-BFD3-217764AA59AA}" name="Column948"/>
    <tableColumn id="954" xr3:uid="{414E6E7D-73E4-4BB1-9941-F64C0438F44B}" name="Column949"/>
    <tableColumn id="955" xr3:uid="{C88F5DE1-DB6F-4E67-9357-313E242A48DA}" name="Column950"/>
    <tableColumn id="956" xr3:uid="{0E05787E-865A-48E3-99E9-A9148D418C09}" name="Column951"/>
    <tableColumn id="957" xr3:uid="{69B77CF3-08F1-4AFD-AAA4-05540D4BF559}" name="Column952"/>
    <tableColumn id="958" xr3:uid="{DF6779F4-A62A-4355-8F92-7A4C1DF17BD3}" name="Column953"/>
    <tableColumn id="959" xr3:uid="{39703152-8B5E-43F0-990A-2F591211D473}" name="Column954"/>
    <tableColumn id="960" xr3:uid="{D3EEDC43-F9A1-40E8-88D7-E8C75927CD69}" name="Column955"/>
    <tableColumn id="961" xr3:uid="{29DDC835-D23D-4949-83F1-0B873A39B407}" name="Column956"/>
    <tableColumn id="962" xr3:uid="{778C501F-5D58-4B0F-B4E0-4D01707B04B3}" name="Column957"/>
    <tableColumn id="963" xr3:uid="{A3FB3B85-696B-437C-9D3A-8A4184C90CFB}" name="Column958"/>
    <tableColumn id="964" xr3:uid="{565DFF57-E870-4C88-827B-437015AAF869}" name="Column959"/>
    <tableColumn id="965" xr3:uid="{16B993DA-7B3C-4E21-B248-A6238A5DA6D8}" name="Column960"/>
    <tableColumn id="966" xr3:uid="{01ADE6A1-0725-4A64-83A6-2E50D656BAD1}" name="Column961"/>
    <tableColumn id="967" xr3:uid="{9AF783E9-FDD1-419C-801A-1310BB45B47C}" name="Column962"/>
    <tableColumn id="968" xr3:uid="{FEFC1E2F-B023-4586-BDAE-FB2014BAFC0D}" name="Column963"/>
    <tableColumn id="969" xr3:uid="{71205534-05C9-448D-8A80-87FDB3A54383}" name="Column964"/>
    <tableColumn id="970" xr3:uid="{732F757F-EF60-4CCF-BF21-5269AB9C36F7}" name="Column965"/>
    <tableColumn id="971" xr3:uid="{78BA0C46-9DE9-4ED8-A034-ACA72637053D}" name="Column966"/>
    <tableColumn id="972" xr3:uid="{E33E0516-37A7-4D45-9F98-D7ECD8DD19B4}" name="Column967"/>
    <tableColumn id="973" xr3:uid="{B469A370-DCEF-4A37-BF73-A82BFB6E8DA4}" name="Column968"/>
    <tableColumn id="974" xr3:uid="{C7C730B0-15F3-4488-9F42-E28DC35222E6}" name="Column969"/>
    <tableColumn id="975" xr3:uid="{4C5A53D4-0F0F-4F18-8390-20FBE01D17D9}" name="Column970"/>
    <tableColumn id="976" xr3:uid="{D2414B13-2186-43ED-B417-49C3D287C11E}" name="Column971"/>
    <tableColumn id="977" xr3:uid="{E9B05014-8F26-4F27-9C43-0D4582DDAEAC}" name="Column972"/>
    <tableColumn id="978" xr3:uid="{5B6DF9DF-3A7E-4B94-99BB-02CB5A2D9BE3}" name="Column973"/>
    <tableColumn id="979" xr3:uid="{FC365AD5-B93E-47F7-933D-43003B953E01}" name="Column974"/>
    <tableColumn id="980" xr3:uid="{C7205F0B-9B35-4342-B63D-DEABD6BC19E1}" name="Column975"/>
    <tableColumn id="981" xr3:uid="{9E2351B9-F904-49F0-8598-5AEA9BB53C26}" name="Column976"/>
    <tableColumn id="982" xr3:uid="{157FE0E7-112E-400A-ABDD-888893B198B7}" name="Column977"/>
    <tableColumn id="983" xr3:uid="{FB9D0368-00FE-4071-8BF9-07923EB4666F}" name="Column978"/>
    <tableColumn id="984" xr3:uid="{6060489C-FA84-4AF4-A776-58F1FAAA3E39}" name="Column979"/>
    <tableColumn id="985" xr3:uid="{654A8072-C387-4CEB-BF06-B9519F640EE6}" name="Column980"/>
    <tableColumn id="986" xr3:uid="{806FEB4B-F5A5-4EEB-8F3C-434B345CC6A0}" name="Column981"/>
    <tableColumn id="987" xr3:uid="{D74D77D8-4B3B-43C1-82F3-A44E035783BB}" name="Column982"/>
    <tableColumn id="988" xr3:uid="{E713B78C-050F-4B8F-A4FE-469D8A5E4AF3}" name="Column983"/>
    <tableColumn id="989" xr3:uid="{650B5FBA-31C7-4FB6-B57C-6C3CE6B3A4CD}" name="Column984"/>
    <tableColumn id="990" xr3:uid="{EF1FD63B-9D9C-4C4D-BBFA-693A349E585F}" name="Column985"/>
    <tableColumn id="991" xr3:uid="{29A1DF50-B0B5-4AF9-AFBE-741DBA21EB64}" name="Column986"/>
    <tableColumn id="992" xr3:uid="{137F3D0D-7AEA-4FFC-A7B5-B35A3AEF2DA7}" name="Column987"/>
    <tableColumn id="993" xr3:uid="{27544824-E52D-4B8A-B016-AE92C14538D4}" name="Column988"/>
    <tableColumn id="994" xr3:uid="{D8EAFDD6-0CAB-434F-B366-9C5BB681E7EF}" name="Column989"/>
    <tableColumn id="995" xr3:uid="{3AB02C0D-3B8C-4A7D-9ABF-DDA202A137D7}" name="Column990"/>
    <tableColumn id="996" xr3:uid="{A1ED13CD-5EBE-4B34-8F93-CEF48B6C5984}" name="Column991"/>
    <tableColumn id="997" xr3:uid="{DEA2A54E-FF8E-4485-857C-072E8F67E006}" name="Column992"/>
    <tableColumn id="998" xr3:uid="{B23C182F-91B9-453B-8585-D43B6D9A042E}" name="Column993"/>
    <tableColumn id="999" xr3:uid="{6211F1A4-B47B-4230-8BD6-9305F8A25AE4}" name="Column994"/>
    <tableColumn id="1000" xr3:uid="{9F2F02D5-440C-475E-AB7A-D188B4C46117}" name="Column995"/>
    <tableColumn id="1001" xr3:uid="{A0975A6E-4E10-4C3F-B0FC-1E2C4CAEBEDA}" name="Column996"/>
    <tableColumn id="1002" xr3:uid="{D025E457-8E4B-4792-896B-8D98DB9AF6CF}" name="Column997"/>
    <tableColumn id="1003" xr3:uid="{FED285F7-4991-4261-B996-921EDC5BB288}" name="Column998"/>
    <tableColumn id="1004" xr3:uid="{2C426008-4E4F-4DDF-A3B2-3DDE9964D59D}" name="Column999"/>
    <tableColumn id="1005" xr3:uid="{B9B58756-16A2-4BFF-839E-4855DF684D5D}" name="Column1000"/>
    <tableColumn id="1006" xr3:uid="{7B0F4175-B45C-4D6C-90CA-6BC46444A9DE}" name="Column1001"/>
    <tableColumn id="1007" xr3:uid="{4AA80CC0-7607-40D2-9C6C-FC33ED07157B}" name="Column1002"/>
    <tableColumn id="1008" xr3:uid="{13F3ABEC-6F6A-4100-8CBC-7F9BC4078695}" name="Column1003"/>
    <tableColumn id="1009" xr3:uid="{3F69D385-6A17-4734-A3E6-602DE906E096}" name="Column1004"/>
    <tableColumn id="1010" xr3:uid="{A4C4DF72-FD97-419C-B47D-D8BF55531580}" name="Column1005"/>
    <tableColumn id="1011" xr3:uid="{0851027F-3791-4335-A5B8-B036301453D6}" name="Column1006"/>
    <tableColumn id="1012" xr3:uid="{A43E221C-215F-4F72-BDDF-2289D2FDCDF0}" name="Column1007"/>
    <tableColumn id="1013" xr3:uid="{98797291-67F7-4075-BEB8-E1A32FF022EC}" name="Column1008"/>
    <tableColumn id="1014" xr3:uid="{4EF800CB-8C15-47A8-B1D2-6A50034CF5C9}" name="Column1009"/>
    <tableColumn id="1015" xr3:uid="{DB91B6C0-5D29-4D6E-B597-C59A93ECAE66}" name="Column1010"/>
    <tableColumn id="1016" xr3:uid="{C0FDC58A-3C62-4608-B93F-A7D500967319}" name="Column1011"/>
    <tableColumn id="1017" xr3:uid="{188613DD-A945-4218-8023-25C46905A7AD}" name="Column1012"/>
    <tableColumn id="1018" xr3:uid="{4260CA7D-6579-417C-A994-4B83237C0264}" name="Column1013"/>
    <tableColumn id="1019" xr3:uid="{44F41EF1-36C9-400F-A18C-0EEAAED43C62}" name="Column1014"/>
    <tableColumn id="1020" xr3:uid="{92EEB80E-4F0B-4BAF-AA57-674FC624EFD6}" name="Column1015"/>
    <tableColumn id="1021" xr3:uid="{5C9247E2-3DDF-4325-AA14-E8A24B638787}" name="Column1016"/>
    <tableColumn id="1022" xr3:uid="{A9011454-41B4-4CA6-B74B-F1B9F8BDF0D5}" name="Column1017"/>
    <tableColumn id="1023" xr3:uid="{5D6D7C51-F09B-445E-9A30-BC8377B2FA63}" name="Column1018"/>
    <tableColumn id="1024" xr3:uid="{44AAD088-DD96-4094-8F15-E1A9E416E346}" name="Column1019"/>
    <tableColumn id="1025" xr3:uid="{B1071E3E-1265-4326-BFFC-18013ED7CE0A}" name="Column1020"/>
    <tableColumn id="1026" xr3:uid="{B66872FC-ED66-4C1E-B9BC-2D09C47331DD}" name="Column1021"/>
    <tableColumn id="1027" xr3:uid="{7D18B6A4-382A-4E10-8C4B-FF135FEB6C21}" name="Column1022"/>
    <tableColumn id="1028" xr3:uid="{4C5518FD-17C5-4E11-8807-C95FC2AC79B8}" name="Column1023"/>
    <tableColumn id="1029" xr3:uid="{D2CCD57D-9229-4006-89E1-E22490E1FEEF}" name="Column1024"/>
    <tableColumn id="1030" xr3:uid="{AF1D7223-C9AF-42F8-833A-D560EE49247C}" name="Column1025"/>
    <tableColumn id="1031" xr3:uid="{06D954D6-7A3B-4E49-92D2-F514FA148F95}" name="Column1026"/>
    <tableColumn id="1032" xr3:uid="{EFBB638E-CB3E-4086-856C-D421A9A5AF59}" name="Column1027"/>
    <tableColumn id="1033" xr3:uid="{EEF1BBA3-43F5-4CFB-A7BF-E54DC3CE82EC}" name="Column1028"/>
    <tableColumn id="1034" xr3:uid="{F7E85BE3-15CE-47EB-86FD-7AC9719079B5}" name="Column1029"/>
    <tableColumn id="1035" xr3:uid="{984CE56C-E590-4B82-8FDF-7E078F8EC6A0}" name="Column1030"/>
    <tableColumn id="1036" xr3:uid="{6B2C37AB-9F13-4252-8A14-C3C0312C7D73}" name="Column1031"/>
    <tableColumn id="1037" xr3:uid="{ACEC3C62-C160-4260-A965-E7255F40D019}" name="Column1032"/>
    <tableColumn id="1038" xr3:uid="{D0FAC7DD-4D7C-4B67-9007-49CA9757D766}" name="Column1033"/>
    <tableColumn id="1039" xr3:uid="{6C24FE30-28F5-45C5-A8AB-88D2331FFC4C}" name="Column1034"/>
    <tableColumn id="1040" xr3:uid="{75F8095D-8C66-4E67-BFC8-B6C9D393E17B}" name="Column1035"/>
    <tableColumn id="1041" xr3:uid="{D4A09FDE-7B31-41E3-8B5B-6B2533B58699}" name="Column1036"/>
    <tableColumn id="1042" xr3:uid="{6D3F5DC6-9D54-4888-BA3B-756B2BEB1880}" name="Column1037"/>
    <tableColumn id="1043" xr3:uid="{E0954BB3-01BA-4991-A0EB-D1749E50D5FE}" name="Column1038"/>
    <tableColumn id="1044" xr3:uid="{7B41206D-D8B3-463F-A0CE-353FA2593C9D}" name="Column1039"/>
    <tableColumn id="1045" xr3:uid="{9B4823EF-502C-4559-B366-AE820A47DA76}" name="Column1040"/>
    <tableColumn id="1046" xr3:uid="{3EC69743-F605-4245-8A4B-8EB40AB7BA57}" name="Column1041"/>
    <tableColumn id="1047" xr3:uid="{458D9764-C8C3-4007-A613-D666B417B0E1}" name="Column1042"/>
    <tableColumn id="1048" xr3:uid="{2492AD99-B55E-4367-898E-FC196F3508E1}" name="Column1043"/>
    <tableColumn id="1049" xr3:uid="{FD1623E4-26AD-4748-8E57-5F6ACA1375B3}" name="Column1044"/>
    <tableColumn id="1050" xr3:uid="{DC8279FB-CA19-445D-98AF-32C531073520}" name="Column1045"/>
    <tableColumn id="1051" xr3:uid="{C4531818-3444-43C0-976A-8F2363398210}" name="Column1046"/>
    <tableColumn id="1052" xr3:uid="{DE9E26A1-6E86-4FD2-8B04-0E90FA49E2A2}" name="Column1047"/>
    <tableColumn id="1053" xr3:uid="{F4554D64-6827-4902-A88A-A96327E1B653}" name="Column1048"/>
    <tableColumn id="1054" xr3:uid="{9B6E6B44-D6C2-43C3-9653-3BD97E998BF0}" name="Column1049"/>
    <tableColumn id="1055" xr3:uid="{51578431-022B-4584-B9BC-1B45002A285A}" name="Column1050"/>
    <tableColumn id="1056" xr3:uid="{5FB5CC6F-420F-47CD-B093-5C114F962C6D}" name="Column1051"/>
    <tableColumn id="1057" xr3:uid="{838D72BA-2395-48B5-8CCC-46092F40E876}" name="Column1052"/>
    <tableColumn id="1058" xr3:uid="{ED65C582-0D4F-44B2-81B3-776860C7CDA8}" name="Column1053"/>
    <tableColumn id="1059" xr3:uid="{BC6A01A7-D4C1-4944-882B-97B6DF335CF5}" name="Column1054"/>
    <tableColumn id="1060" xr3:uid="{ACFFF20C-9EDF-4385-A497-B35332449798}" name="Column1055"/>
    <tableColumn id="1061" xr3:uid="{2DED3C39-203D-460A-856F-CEEE8799BBD8}" name="Column1056"/>
    <tableColumn id="1062" xr3:uid="{39E8ACB8-2CE3-4E15-8A60-4627885AF035}" name="Column1057"/>
    <tableColumn id="1063" xr3:uid="{0EC30774-DD56-4F04-9CD3-2F0C112F0C16}" name="Column1058"/>
    <tableColumn id="1064" xr3:uid="{15210B4F-C211-43DB-9F9A-9860A862367B}" name="Column1059"/>
    <tableColumn id="1065" xr3:uid="{1CEB3260-D940-4F5D-BEB6-C606730BA72F}" name="Column1060"/>
    <tableColumn id="1066" xr3:uid="{4730A51C-5648-47BA-AB54-700F606ED3F9}" name="Column1061"/>
    <tableColumn id="1067" xr3:uid="{887237CD-4A15-41FC-98C4-EC7A689CC3A3}" name="Column1062"/>
    <tableColumn id="1068" xr3:uid="{D6C94F31-43DE-48A3-9741-6E05E4A1E24E}" name="Column1063"/>
    <tableColumn id="1069" xr3:uid="{ACBC5157-C500-407C-8282-5F77A1554201}" name="Column1064"/>
    <tableColumn id="1070" xr3:uid="{2826FCCD-9856-44E1-9678-93C58698571B}" name="Column1065"/>
    <tableColumn id="1071" xr3:uid="{A154B712-DC47-4E80-BFF2-258D3C9A98CB}" name="Column1066"/>
    <tableColumn id="1072" xr3:uid="{BA1A5D11-92CF-498D-845F-1022DCB1F41F}" name="Column1067"/>
    <tableColumn id="1073" xr3:uid="{FFBC9589-36F5-4E49-8CFF-9E01F6D14050}" name="Column1068"/>
    <tableColumn id="1074" xr3:uid="{7AA510E5-58FC-432A-B5DB-DD10857645DA}" name="Column1069"/>
    <tableColumn id="1075" xr3:uid="{6CD5B5D8-DD8A-4DE4-8598-017D3B9B195D}" name="Column1070"/>
    <tableColumn id="1076" xr3:uid="{691A26B9-EA15-4A81-B011-36B153C11DD9}" name="Column1071"/>
    <tableColumn id="1077" xr3:uid="{A130DFE4-74B3-4B54-B26D-5CC01807ECE8}" name="Column1072"/>
    <tableColumn id="1078" xr3:uid="{7218C5FF-C172-42BA-8A62-F3AE07387BD1}" name="Column1073"/>
    <tableColumn id="1079" xr3:uid="{A3F961E0-4249-4E34-A899-6A78AD8C28B8}" name="Column1074"/>
    <tableColumn id="1080" xr3:uid="{D3F302C9-E191-49A2-BE8D-EB417B66B76C}" name="Column1075"/>
    <tableColumn id="1081" xr3:uid="{13FEFBA5-D722-4736-A024-8F46B5E00D57}" name="Column1076"/>
    <tableColumn id="1082" xr3:uid="{52F73E55-593B-45AB-944D-5C8E83DFC2F4}" name="Column1077"/>
    <tableColumn id="1083" xr3:uid="{362BED04-E115-465E-8144-C46F89CD51DD}" name="Column1078"/>
    <tableColumn id="1084" xr3:uid="{5960219B-1B4C-4700-AF50-5FD548CC2A64}" name="Column1079"/>
    <tableColumn id="1085" xr3:uid="{1E6103F5-5E13-460C-81C3-EDF9BE7B14B6}" name="Column1080"/>
    <tableColumn id="1086" xr3:uid="{4FA74BA3-A6ED-463A-8ABC-1BD4A2EB2B5E}" name="Column1081"/>
    <tableColumn id="1087" xr3:uid="{2A763A7A-E7DF-4B74-9B54-B090F4A085DD}" name="Column1082"/>
    <tableColumn id="1088" xr3:uid="{FF03B584-774F-44E8-8259-B6D7E0F1439D}" name="Column1083"/>
    <tableColumn id="1089" xr3:uid="{A4DEA9C9-25C2-4162-9601-331E87EE1A38}" name="Column1084"/>
    <tableColumn id="1090" xr3:uid="{3E833A71-B702-416D-8D6D-9121B821E850}" name="Column1085"/>
    <tableColumn id="1091" xr3:uid="{8D24CB21-127B-4E47-BF48-23CF61FC49BC}" name="Column1086"/>
    <tableColumn id="1092" xr3:uid="{84096D89-DE64-4E1F-A30B-BF945D6D6E76}" name="Column1087"/>
    <tableColumn id="1093" xr3:uid="{8EC6AE3C-5E9D-4B86-8BEE-02E52521D252}" name="Column1088"/>
    <tableColumn id="1094" xr3:uid="{62A30B5D-9A5F-47E7-86CC-E9C82097DF69}" name="Column1089"/>
    <tableColumn id="1095" xr3:uid="{443AE3C7-CCE0-4A01-884C-772764190B5F}" name="Column1090"/>
    <tableColumn id="1096" xr3:uid="{E21F362F-7596-4BA5-B8AD-CD317F617B59}" name="Column1091"/>
    <tableColumn id="1097" xr3:uid="{8E85E32B-4E89-4777-8D36-E47C06C67E62}" name="Column1092"/>
    <tableColumn id="1098" xr3:uid="{CAA0EBD3-80E5-4D52-BE8F-77E9048D9C59}" name="Column1093"/>
    <tableColumn id="1099" xr3:uid="{8E19643A-C468-4AFD-BA76-842FE6A144A7}" name="Column1094"/>
    <tableColumn id="1100" xr3:uid="{F50F9950-DDFD-4C22-92B8-78517B1A2531}" name="Column1095"/>
    <tableColumn id="1101" xr3:uid="{2A013410-356E-40B6-9ECA-6F2986CE74E2}" name="Column1096"/>
    <tableColumn id="1102" xr3:uid="{B9B43752-B584-460D-8D90-2F101C974334}" name="Column1097"/>
    <tableColumn id="1103" xr3:uid="{6FF8C5D7-BB7E-4540-8F65-C17F01F96787}" name="Column1098"/>
    <tableColumn id="1104" xr3:uid="{5917C667-819F-4228-974C-7F2317C18B23}" name="Column1099"/>
    <tableColumn id="1105" xr3:uid="{7CB51C36-C07F-4E74-BF00-16DAED175522}" name="Column1100"/>
    <tableColumn id="1106" xr3:uid="{0556E8E7-C53D-4F05-AE51-2823A350C1C5}" name="Column1101"/>
    <tableColumn id="1107" xr3:uid="{66E13241-367C-428E-92A2-F79B60AED27F}" name="Column1102"/>
    <tableColumn id="1108" xr3:uid="{279A6511-400D-43A6-B8E8-5C930E4EC7BB}" name="Column1103"/>
    <tableColumn id="1109" xr3:uid="{A9E8A0AE-101B-4726-A9C2-8A94F42626A1}" name="Column1104"/>
    <tableColumn id="1110" xr3:uid="{DB41C055-6BF9-40CD-8780-B780531D14F5}" name="Column1105"/>
    <tableColumn id="1111" xr3:uid="{8BF96DE2-A405-432A-83EA-4FA220ACE061}" name="Column1106"/>
    <tableColumn id="1112" xr3:uid="{CA4A6848-B4F6-4C73-A88C-E949E3754A93}" name="Column1107"/>
    <tableColumn id="1113" xr3:uid="{9C86A805-B755-4FE0-B157-0988CDCBA10D}" name="Column1108"/>
    <tableColumn id="1114" xr3:uid="{278B008F-6256-4072-93AF-63632500E61C}" name="Column1109"/>
    <tableColumn id="1115" xr3:uid="{68D1A9B2-278A-4628-9BF9-A8CED4B1BBB2}" name="Column1110"/>
    <tableColumn id="1116" xr3:uid="{BAFCBB57-BB21-463C-AFAA-94CAD1773AED}" name="Column1111"/>
    <tableColumn id="1117" xr3:uid="{B4B90F07-B153-406F-AACB-9EDBC556A7A8}" name="Column1112"/>
    <tableColumn id="1118" xr3:uid="{51B57E9C-846A-496A-85A4-00CF159A02B1}" name="Column1113"/>
    <tableColumn id="1119" xr3:uid="{65EAB9CF-756E-44ED-913A-DDC3BC5D93D2}" name="Column1114"/>
    <tableColumn id="1120" xr3:uid="{594908DA-76E9-47CA-A4E8-6E046C24D5A5}" name="Column1115"/>
    <tableColumn id="1121" xr3:uid="{53E1F770-83C4-41CD-B065-4C850ACC0956}" name="Column1116"/>
    <tableColumn id="1122" xr3:uid="{EED40A99-9B26-4558-983A-8165E94A6BD4}" name="Column1117"/>
    <tableColumn id="1123" xr3:uid="{987366E4-A007-4D24-B3B0-14DFF80B8D5D}" name="Column1118"/>
    <tableColumn id="1124" xr3:uid="{A93BCBBD-FDA3-4793-9DB6-C674703A11E7}" name="Column1119"/>
    <tableColumn id="1125" xr3:uid="{8675A204-3B3C-4F1C-B391-F17B585576ED}" name="Column1120"/>
    <tableColumn id="1126" xr3:uid="{E08033F9-E41E-4880-BBD1-5A3BA436409D}" name="Column1121"/>
    <tableColumn id="1127" xr3:uid="{3014E948-8DAD-4788-A5DC-6BFF77076869}" name="Column1122"/>
    <tableColumn id="1128" xr3:uid="{A7B4B0C3-7A16-47DC-ACF5-8B48540E610B}" name="Column1123"/>
    <tableColumn id="1129" xr3:uid="{01ED5284-2537-4CCE-BD7C-F1CF24A0142C}" name="Column1124"/>
    <tableColumn id="1130" xr3:uid="{5DCE0CBC-4ACD-4E15-9AAD-111466D02723}" name="Column1125"/>
    <tableColumn id="1131" xr3:uid="{6BE693DB-2BFE-4A6C-8051-7AA0CA926A32}" name="Column1126"/>
    <tableColumn id="1132" xr3:uid="{3B2D7ED9-523F-46A6-8BB9-2E45273A74B6}" name="Column1127"/>
    <tableColumn id="1133" xr3:uid="{7DAD697C-90A5-4390-AD14-9D41BC7249FB}" name="Column1128"/>
    <tableColumn id="1134" xr3:uid="{6E449C3B-B4EC-4AD3-93E5-60899AE67455}" name="Column1129"/>
    <tableColumn id="1135" xr3:uid="{1B2DBBF8-E319-4D3B-9BE9-BCD2FD4FA436}" name="Column1130"/>
    <tableColumn id="1136" xr3:uid="{84CE1828-172F-4578-ACB3-4B4CCEE47C66}" name="Column1131"/>
    <tableColumn id="1137" xr3:uid="{5C9DD688-1E5A-4294-AFAE-48A1A97DCFF2}" name="Column1132"/>
    <tableColumn id="1138" xr3:uid="{FB55DF38-2C62-43DA-82C8-E1FAC5BE68F0}" name="Column1133"/>
    <tableColumn id="1139" xr3:uid="{F313D2AC-3E7D-423E-AB82-715540AAFE64}" name="Column1134"/>
    <tableColumn id="1140" xr3:uid="{6A1DDC2D-672B-463A-AF96-5C07FD2C7800}" name="Column1135"/>
    <tableColumn id="1141" xr3:uid="{111DDD56-BD4D-4F1E-9E9D-872AD93EFEAD}" name="Column1136"/>
    <tableColumn id="1142" xr3:uid="{842CE6CA-E8D4-43E6-BFF7-D41DC7FF39D7}" name="Column1137"/>
    <tableColumn id="1143" xr3:uid="{0769AA50-EA2D-4AC5-903B-05C4090A16CE}" name="Column1138"/>
    <tableColumn id="1144" xr3:uid="{CC61A569-6034-4378-80B8-4EA442745668}" name="Column1139"/>
    <tableColumn id="1145" xr3:uid="{0AD7BE3C-9AE0-4009-B7CB-B5BFB831E807}" name="Column1140"/>
    <tableColumn id="1146" xr3:uid="{B9EF9CC0-C05A-4397-9D3D-B7D6D3023004}" name="Column1141"/>
    <tableColumn id="1147" xr3:uid="{2238555F-2BF9-4BD5-8734-553A879F812F}" name="Column1142"/>
    <tableColumn id="1148" xr3:uid="{4A08F841-068F-491B-B288-5E1F2CED1315}" name="Column1143"/>
    <tableColumn id="1149" xr3:uid="{70865BD5-F3F1-43DC-9799-56FD9A092410}" name="Column1144"/>
    <tableColumn id="1150" xr3:uid="{57FC87E1-7571-408A-BAF5-27A1843E4E23}" name="Column1145"/>
    <tableColumn id="1151" xr3:uid="{75AD9A57-6E95-49F7-9C51-AC8052E04EFD}" name="Column1146"/>
    <tableColumn id="1152" xr3:uid="{283529F2-EA46-4091-955F-DAB9640D385E}" name="Column1147"/>
    <tableColumn id="1153" xr3:uid="{5E0AFFDF-16D4-4846-80E1-6B2AF161D2E5}" name="Column1148"/>
    <tableColumn id="1154" xr3:uid="{537C40D8-8DE1-4DB6-9607-BF7A137D4E4E}" name="Column1149"/>
    <tableColumn id="1155" xr3:uid="{C0CE06F0-7205-4E39-AC6F-B78A3684D4C3}" name="Column1150"/>
    <tableColumn id="1156" xr3:uid="{E3C2BA96-5E50-45DF-BFF9-8C45FFEA515C}" name="Column1151"/>
    <tableColumn id="1157" xr3:uid="{B8752062-1D97-48EB-A266-E9AE593C81F9}" name="Column1152"/>
    <tableColumn id="1158" xr3:uid="{13F6D9D4-03D9-4A1E-9859-95156A1BEB2E}" name="Column1153"/>
    <tableColumn id="1159" xr3:uid="{8D85DE6E-D8DB-494C-A820-2835BF60F456}" name="Column1154"/>
    <tableColumn id="1160" xr3:uid="{62A75F7F-E8B7-4270-82CD-20752BC999D4}" name="Column1155"/>
    <tableColumn id="1161" xr3:uid="{F91AA777-661B-455A-8912-CE2A9B313E08}" name="Column1156"/>
    <tableColumn id="1162" xr3:uid="{1E5132DE-C231-4651-ABB6-A4EE948FB4CD}" name="Column1157"/>
    <tableColumn id="1163" xr3:uid="{0A612C67-0EE7-4E1A-B72B-7321741E0AD9}" name="Column1158"/>
    <tableColumn id="1164" xr3:uid="{984E2A3C-143E-4085-A616-CDEEE7673037}" name="Column1159"/>
    <tableColumn id="1165" xr3:uid="{62A1BC7B-C3BD-45BE-AE10-49BC872F3F26}" name="Column1160"/>
    <tableColumn id="1166" xr3:uid="{1E3EA55D-F7EE-48C0-856B-8F8D5B3BAC99}" name="Column1161"/>
    <tableColumn id="1167" xr3:uid="{8DC2DC3D-5C79-443A-8108-56924DEFD006}" name="Column1162"/>
    <tableColumn id="1168" xr3:uid="{7DF5BDE0-7623-4CE2-AE41-ECACCF21E258}" name="Column1163"/>
    <tableColumn id="1169" xr3:uid="{FBF05F0C-D0B7-472D-B21C-E7BF2D315CFE}" name="Column1164"/>
    <tableColumn id="1170" xr3:uid="{8D960C82-D802-454F-AC28-68691235F445}" name="Column1165"/>
    <tableColumn id="1171" xr3:uid="{89F80173-4A38-412C-A9A6-E34F4FE5C249}" name="Column1166"/>
    <tableColumn id="1172" xr3:uid="{C13AC67D-ECD4-4604-B9B8-A1E5959F2F9D}" name="Column1167"/>
    <tableColumn id="1173" xr3:uid="{105AA017-EA34-4232-8A05-0024415E9EF5}" name="Column1168"/>
    <tableColumn id="1174" xr3:uid="{4378FEBD-1B06-417C-A466-53E23F074E24}" name="Column1169"/>
    <tableColumn id="1175" xr3:uid="{8D236D98-2502-4505-AE27-8D5B2256E15A}" name="Column1170"/>
    <tableColumn id="1176" xr3:uid="{73D71C6A-2C47-403C-8ECF-493D30DC38A1}" name="Column1171"/>
    <tableColumn id="1177" xr3:uid="{7AF5E143-753A-4A5E-A09A-D031FAF0FFCD}" name="Column1172"/>
    <tableColumn id="1178" xr3:uid="{02774C48-7AE9-442A-9954-A6173D2B9641}" name="Column1173"/>
    <tableColumn id="1179" xr3:uid="{BCA9D30B-0BDD-42F8-9D76-2F52E32F8008}" name="Column1174"/>
    <tableColumn id="1180" xr3:uid="{5F7E3EDD-936B-43F9-B11E-CECE6F314FF3}" name="Column1175"/>
    <tableColumn id="1181" xr3:uid="{805648A8-51FC-44D4-81BA-6DCF1437D613}" name="Column1176"/>
    <tableColumn id="1182" xr3:uid="{C3E7475C-12F5-4B57-B58C-2CEE7BA79024}" name="Column1177"/>
    <tableColumn id="1183" xr3:uid="{1FC0E8C9-0D2F-473C-B755-BF8CF2281384}" name="Column1178"/>
    <tableColumn id="1184" xr3:uid="{E3942FAF-1F44-4185-9060-B034700B6D85}" name="Column1179"/>
    <tableColumn id="1185" xr3:uid="{8F37096E-31E1-4958-BE46-B3E4C92BA7C8}" name="Column1180"/>
    <tableColumn id="1186" xr3:uid="{FE54DBAC-99D8-4F02-9818-0ADCBBE708CD}" name="Column1181"/>
    <tableColumn id="1187" xr3:uid="{29BC74AB-F75A-4EFB-A29A-9E18B9966CD1}" name="Column1182"/>
    <tableColumn id="1188" xr3:uid="{10970774-6CA7-4D6F-A159-4004FB5957E1}" name="Column1183"/>
    <tableColumn id="1189" xr3:uid="{9C949542-310B-4F6E-9C1E-EDB357C3D1BA}" name="Column1184"/>
    <tableColumn id="1190" xr3:uid="{C9F8DD23-727A-404C-BC8D-2F6E99306097}" name="Column1185"/>
    <tableColumn id="1191" xr3:uid="{AFE27E12-3E74-4597-AA0A-AF9190155E5A}" name="Column1186"/>
    <tableColumn id="1192" xr3:uid="{7DE7C666-11AF-404A-82D4-5C13646FF812}" name="Column1187"/>
    <tableColumn id="1193" xr3:uid="{74B30FC4-99C7-4E84-920C-3E7BF024E5F9}" name="Column1188"/>
    <tableColumn id="1194" xr3:uid="{6B05CC44-3322-4EC0-9DB6-BF73FE974181}" name="Column1189"/>
    <tableColumn id="1195" xr3:uid="{743F062C-A57D-44B3-B00E-BE8526BB9D0E}" name="Column1190"/>
    <tableColumn id="1196" xr3:uid="{06A0654C-D35D-4A1E-B596-07B262B3F6C4}" name="Column1191"/>
    <tableColumn id="1197" xr3:uid="{A63D6D37-CC5E-475E-8EEC-05843F7DB733}" name="Column1192"/>
    <tableColumn id="1198" xr3:uid="{F7DDDB65-C8D5-4203-AB2F-4E522B399700}" name="Column1193"/>
    <tableColumn id="1199" xr3:uid="{2E7A1AA6-1027-4AA4-952E-B13436CE68DD}" name="Column1194"/>
    <tableColumn id="1200" xr3:uid="{17E78967-2A86-4CED-9231-0C7A5081660B}" name="Column1195"/>
    <tableColumn id="1201" xr3:uid="{AD25FA4D-A6F9-4082-9B0E-73BD126232A1}" name="Column1196"/>
    <tableColumn id="1202" xr3:uid="{7D518065-B9BA-4CCD-B949-6D3E97D75753}" name="Column1197"/>
    <tableColumn id="1203" xr3:uid="{034C3B87-BE57-4023-8F90-FC548204D831}" name="Column1198"/>
    <tableColumn id="1204" xr3:uid="{152326DD-5854-4575-A18C-DF64E96F9670}" name="Column1199"/>
    <tableColumn id="1205" xr3:uid="{7A399832-7F00-4CEA-87CC-448D862AFE1B}" name="Column1200"/>
    <tableColumn id="1206" xr3:uid="{7534CC7F-AAD4-49DC-9640-62937856A8D6}" name="Column1201"/>
    <tableColumn id="1207" xr3:uid="{6B99D141-9206-4F94-852F-C85DC746D4C4}" name="Column1202"/>
    <tableColumn id="1208" xr3:uid="{2040FA66-9B4A-45D3-82A3-71EBC9DA5B11}" name="Column1203"/>
    <tableColumn id="1209" xr3:uid="{D67D0A04-269B-4A5C-A58C-BE75F41B2829}" name="Column1204"/>
    <tableColumn id="1210" xr3:uid="{98DEDFFF-B74F-411C-9D26-D91C5166F50E}" name="Column1205"/>
    <tableColumn id="1211" xr3:uid="{FDA8AE42-A954-4587-8D93-81B1267D87B6}" name="Column1206"/>
    <tableColumn id="1212" xr3:uid="{DA37ECC3-8568-4BF0-8A44-2A045395C2A6}" name="Column1207"/>
    <tableColumn id="1213" xr3:uid="{899B0A7D-9B08-48C5-9730-1E1104DE162D}" name="Column1208"/>
    <tableColumn id="1214" xr3:uid="{8F7217CE-29CF-4057-AAEE-9A02AD8E441B}" name="Column1209"/>
    <tableColumn id="1215" xr3:uid="{19B02CFC-00EF-47CB-9095-D78692844FBB}" name="Column1210"/>
    <tableColumn id="1216" xr3:uid="{C6352E62-4EA0-4739-B34C-4097AEC477CA}" name="Column1211"/>
    <tableColumn id="1217" xr3:uid="{8E2AF64F-3DC6-4077-8753-E928F7FED539}" name="Column1212"/>
    <tableColumn id="1218" xr3:uid="{3EB5082A-A5CD-4BF2-941E-0DE6FD6489A4}" name="Column1213"/>
    <tableColumn id="1219" xr3:uid="{C1CF93FD-DE5A-41FC-AFD4-6E65C0BC1419}" name="Column1214"/>
    <tableColumn id="1220" xr3:uid="{BE729C3C-F782-4571-8D34-1F9D72CAB745}" name="Column1215"/>
    <tableColumn id="1221" xr3:uid="{6AD37D84-2FE0-43D6-9CF2-5FDCB0313D76}" name="Column1216"/>
    <tableColumn id="1222" xr3:uid="{35EFC0E8-0A87-4A28-ACDD-B501ADC7E69A}" name="Column1217"/>
    <tableColumn id="1223" xr3:uid="{1E89A6ED-77FD-45AC-AD73-DFE18BDB7A44}" name="Column1218"/>
    <tableColumn id="1224" xr3:uid="{9762DC36-BC7B-4691-8227-594D065AFEB5}" name="Column1219"/>
    <tableColumn id="1225" xr3:uid="{3F23FFD3-5145-400F-A367-E3B56F5CD881}" name="Column1220"/>
    <tableColumn id="1226" xr3:uid="{E4B3A510-BE57-4D36-B9CA-58BE1D7FF338}" name="Column1221"/>
    <tableColumn id="1227" xr3:uid="{6283D29F-19CF-489D-AC7B-F5024B6DEE31}" name="Column1222"/>
    <tableColumn id="1228" xr3:uid="{D0033BD7-ED8D-438F-8F85-4F57029A5902}" name="Column1223"/>
    <tableColumn id="1229" xr3:uid="{1D806906-DC4C-4B2B-88B6-317AD9DE6864}" name="Column1224"/>
    <tableColumn id="1230" xr3:uid="{FE60A7D4-CAB0-4509-8808-715214DAB9BC}" name="Column1225"/>
    <tableColumn id="1231" xr3:uid="{614F6E26-D553-412C-A3EC-F7C33DAF3D99}" name="Column1226"/>
    <tableColumn id="1232" xr3:uid="{D80B03C5-1AD1-4269-8391-B9511A86C62D}" name="Column1227"/>
    <tableColumn id="1233" xr3:uid="{CA9438CF-C9FD-4A24-935A-E0E8D1766A46}" name="Column1228"/>
    <tableColumn id="1234" xr3:uid="{6BC3E0E4-16FB-4EA0-8C45-8224677A8B1E}" name="Column1229"/>
    <tableColumn id="1235" xr3:uid="{812EAED5-0C22-458B-9A74-B63A11329FA5}" name="Column1230"/>
    <tableColumn id="1236" xr3:uid="{C7151A0E-D9C3-4FBA-96CA-D75DB2F8055A}" name="Column1231"/>
    <tableColumn id="1237" xr3:uid="{B83B683D-D13C-4B31-B07E-219E917C64D4}" name="Column1232"/>
    <tableColumn id="1238" xr3:uid="{6E1DDD12-A19A-430F-BDFE-335EBA24BA54}" name="Column1233"/>
    <tableColumn id="1239" xr3:uid="{44EB2C11-3868-4EA0-BB31-D3CAA61075C7}" name="Column1234"/>
    <tableColumn id="1240" xr3:uid="{151B6D72-479D-476A-812A-FA82E63898D5}" name="Column1235"/>
    <tableColumn id="1241" xr3:uid="{2834EEA6-C18F-4211-96DC-1D50E3A283C5}" name="Column1236"/>
    <tableColumn id="1242" xr3:uid="{999F35C9-E1A2-4452-BB1C-6E19C3521D9F}" name="Column1237"/>
    <tableColumn id="1243" xr3:uid="{A811DC6E-9ABB-4BE3-83F7-856A62008273}" name="Column1238"/>
    <tableColumn id="1244" xr3:uid="{6FE0804F-823A-4279-95A2-17805E3E8FD7}" name="Column1239"/>
    <tableColumn id="1245" xr3:uid="{F80D8DDD-2CA8-4E4E-A47F-E765E6887432}" name="Column1240"/>
    <tableColumn id="1246" xr3:uid="{4F4C06B9-1A2D-4D78-91BF-4792568EF2D7}" name="Column1241"/>
    <tableColumn id="1247" xr3:uid="{4F97D711-0725-405F-8139-9DAD7C790720}" name="Column1242"/>
    <tableColumn id="1248" xr3:uid="{05A4F28A-619F-4F1E-AE1A-F40175D57EFD}" name="Column1243"/>
    <tableColumn id="1249" xr3:uid="{D7F28194-7381-4DF6-A4C3-021C132EA579}" name="Column1244"/>
    <tableColumn id="1250" xr3:uid="{D67F0207-1B6F-4C34-B7BA-7D0E839CF868}" name="Column1245"/>
    <tableColumn id="1251" xr3:uid="{D9F88C67-E8D9-40B9-8DAA-4E19A7D4AE16}" name="Column1246"/>
    <tableColumn id="1252" xr3:uid="{7C4C82BB-0184-428D-B54D-A30B201614F1}" name="Column1247"/>
    <tableColumn id="1253" xr3:uid="{FBCAC788-26A6-438F-9EC9-AA0B0CFEDE73}" name="Column1248"/>
    <tableColumn id="1254" xr3:uid="{C059D786-EA34-4454-91F3-2C0FF2020E47}" name="Column1249"/>
    <tableColumn id="1255" xr3:uid="{5C46E655-2612-4356-8B05-63F81DA77BF0}" name="Column1250"/>
    <tableColumn id="1256" xr3:uid="{5BF6913A-2E31-4169-9E28-1F5EE729564F}" name="Column1251"/>
    <tableColumn id="1257" xr3:uid="{C247E70E-8286-4A6C-9CEA-F2B321983751}" name="Column1252"/>
    <tableColumn id="1258" xr3:uid="{618C27D1-1FE8-4F25-8D57-3484DD361B70}" name="Column1253"/>
    <tableColumn id="1259" xr3:uid="{DA6D46CC-4B81-4F94-BB2D-9D999F3433D4}" name="Column1254"/>
    <tableColumn id="1260" xr3:uid="{80CA2E3B-8DC3-472A-9F7B-8CDC7DFAEDA9}" name="Column1255"/>
    <tableColumn id="1261" xr3:uid="{E6FEF718-2FBB-416E-A118-64E18DBCF9A1}" name="Column1256"/>
    <tableColumn id="1262" xr3:uid="{2271B23F-3244-4AC6-86AC-65C803248CD6}" name="Column1257"/>
    <tableColumn id="1263" xr3:uid="{0011E186-1AF2-4E3B-B808-628B8C0C212D}" name="Column1258"/>
    <tableColumn id="1264" xr3:uid="{D2505A7C-FC90-4E89-AFF6-70852ACEF806}" name="Column1259"/>
    <tableColumn id="1265" xr3:uid="{0C7C0A70-45AE-418C-9E57-16817FEA1EB2}" name="Column1260"/>
    <tableColumn id="1266" xr3:uid="{87C3513E-15E5-4972-B786-484858FB79E2}" name="Column1261"/>
    <tableColumn id="1267" xr3:uid="{7E4212E8-DC55-469E-A910-E0D7915CDDB4}" name="Column1262"/>
    <tableColumn id="1268" xr3:uid="{0BF9A80D-89B0-4A8A-A187-32A7FA2B96DA}" name="Column1263"/>
    <tableColumn id="1269" xr3:uid="{31FEC5A9-9FD7-4339-9B71-5CAE1BD53E12}" name="Column1264"/>
    <tableColumn id="1270" xr3:uid="{D0D82C8D-34A3-4668-BD7D-0511C4BC6BC3}" name="Column1265"/>
    <tableColumn id="1271" xr3:uid="{BBAC6824-EBBE-4423-8478-1EB6BB57E75F}" name="Column1266"/>
    <tableColumn id="1272" xr3:uid="{09622D1E-55F3-47F9-AD83-38F1E8855BB8}" name="Column1267"/>
    <tableColumn id="1273" xr3:uid="{B29905B8-30BD-4FBD-A68F-1BB29299E841}" name="Column1268"/>
    <tableColumn id="1274" xr3:uid="{B1C655B6-6AE7-49A6-9A8B-47BCE7BFB69A}" name="Column1269"/>
    <tableColumn id="1275" xr3:uid="{F4F70738-5A68-439B-A9EA-249815485161}" name="Column1270"/>
    <tableColumn id="1276" xr3:uid="{BE8FCE6A-F460-4765-9113-73FCAD63A081}" name="Column1271"/>
    <tableColumn id="1277" xr3:uid="{68B594B2-7B74-4263-8443-8A15468BDF9C}" name="Column1272"/>
    <tableColumn id="1278" xr3:uid="{7E22B669-D245-474A-B8CD-C739792CFFEF}" name="Column1273"/>
    <tableColumn id="1279" xr3:uid="{515324B3-2DFB-4435-8504-FDA6D5564792}" name="Column1274"/>
    <tableColumn id="1280" xr3:uid="{42CCB183-C806-46A3-99F1-4EDEDD58B5EF}" name="Column1275"/>
    <tableColumn id="1281" xr3:uid="{CED8A36D-B4D6-4112-B405-34DCF0283A78}" name="Column1276"/>
    <tableColumn id="1282" xr3:uid="{606DF91F-2DC0-4663-98FD-E2E9D354236B}" name="Column1277"/>
    <tableColumn id="1283" xr3:uid="{A23CFBB6-6282-4C95-8659-864FE83850D5}" name="Column1278"/>
    <tableColumn id="1284" xr3:uid="{F4EF6006-A04F-4CA5-833A-0C9F6F83C7BE}" name="Column1279"/>
    <tableColumn id="1285" xr3:uid="{10A518CC-0FAE-4741-8D79-E5250E2ACB37}" name="Column1280"/>
    <tableColumn id="1286" xr3:uid="{3B1FFE4C-4634-4D43-8925-D58AD9B0E0F7}" name="Column1281"/>
    <tableColumn id="1287" xr3:uid="{F156B9A9-335A-48C7-AD01-3DA7749F8739}" name="Column1282"/>
    <tableColumn id="1288" xr3:uid="{ACABD329-6D64-40B4-8636-474A03C29522}" name="Column1283"/>
    <tableColumn id="1289" xr3:uid="{1E708C36-8D5F-43CD-A4CA-C64CCCB5D3E3}" name="Column1284"/>
    <tableColumn id="1290" xr3:uid="{B7894A56-A705-45E7-9E50-8FC08BBC2E05}" name="Column1285"/>
    <tableColumn id="1291" xr3:uid="{320DC960-B69D-4464-AE1D-EC1E05F4AF5E}" name="Column1286"/>
    <tableColumn id="1292" xr3:uid="{C7CAB079-82F3-48CD-A47E-9A24234306EB}" name="Column1287"/>
    <tableColumn id="1293" xr3:uid="{8CEE0286-DDCD-4192-9B9D-41DF857C76D8}" name="Column1288"/>
    <tableColumn id="1294" xr3:uid="{2D57EE79-9F30-405D-BA69-1F2057D532C0}" name="Column1289"/>
    <tableColumn id="1295" xr3:uid="{442CBA28-619A-46B9-8CFE-834E0E37320E}" name="Column1290"/>
    <tableColumn id="1296" xr3:uid="{255D6B3D-C17D-42E2-B127-AD38346D3EE9}" name="Column1291"/>
    <tableColumn id="1297" xr3:uid="{5CFD32C7-FDB9-4275-AEA8-75A14CEAC9FC}" name="Column1292"/>
    <tableColumn id="1298" xr3:uid="{6256653A-394B-43FB-93CE-D850E729E1F6}" name="Column1293"/>
    <tableColumn id="1299" xr3:uid="{AF1D9265-7075-47C4-A862-A9BB78F767BF}" name="Column1294"/>
    <tableColumn id="1300" xr3:uid="{BF60DF33-5E75-420D-A324-D366A5AC8092}" name="Column1295"/>
    <tableColumn id="1301" xr3:uid="{4CC9CF0A-C9AB-4784-95A9-64BA2CA9A60D}" name="Column1296"/>
    <tableColumn id="1302" xr3:uid="{096EE32F-86DB-4AFF-B9B0-AACDFCC0E5EA}" name="Column1297"/>
    <tableColumn id="1303" xr3:uid="{43631658-C811-4E13-A47B-A05375F945E9}" name="Column1298"/>
    <tableColumn id="1304" xr3:uid="{D34B0868-51DF-4564-9735-8C5C789A4A77}" name="Column1299"/>
    <tableColumn id="1305" xr3:uid="{C0F5F5A7-A202-4B4D-BCE3-0DAFD917DCFA}" name="Column1300"/>
    <tableColumn id="1306" xr3:uid="{5E277F4D-B049-48E2-B222-2AC061647865}" name="Column1301"/>
    <tableColumn id="1307" xr3:uid="{156BE1A2-B68F-4797-AD85-B454C8B6D114}" name="Column1302"/>
    <tableColumn id="1308" xr3:uid="{BB168C16-CC46-463E-B7EF-93CE04242B37}" name="Column1303"/>
    <tableColumn id="1309" xr3:uid="{26114585-41EF-437B-9566-15A2881B9EB9}" name="Column1304"/>
    <tableColumn id="1310" xr3:uid="{2E9AE142-E287-4DF1-B310-F7EB17940FD4}" name="Column1305"/>
    <tableColumn id="1311" xr3:uid="{94797863-FD20-416F-9423-5CE223940FBF}" name="Column1306"/>
    <tableColumn id="1312" xr3:uid="{EEE42CC5-F7CD-4118-9AAC-6569B4AE225C}" name="Column1307"/>
    <tableColumn id="1313" xr3:uid="{418D4FF4-6EAF-4D69-83F2-FD66C18ABBC9}" name="Column1308"/>
    <tableColumn id="1314" xr3:uid="{9AD80D1F-E3EE-48A7-8A78-2E06D969FEDE}" name="Column1309"/>
    <tableColumn id="1315" xr3:uid="{FAB41A3B-42A1-44C7-8770-79B7CB76451C}" name="Column1310"/>
    <tableColumn id="1316" xr3:uid="{4166DEF9-E0CB-4E74-8AF6-86ED0614F0E5}" name="Column1311"/>
    <tableColumn id="1317" xr3:uid="{96752E42-A648-4EA2-9854-0211BDA1D4BC}" name="Column1312"/>
    <tableColumn id="1318" xr3:uid="{32344F44-6273-4ACB-80C1-F9E988455584}" name="Column1313"/>
    <tableColumn id="1319" xr3:uid="{A1B456D8-D60B-4F0C-BB6E-1BA7E539FE74}" name="Column1314"/>
    <tableColumn id="1320" xr3:uid="{E00B6629-7100-46A4-A436-410F537BCCE7}" name="Column1315"/>
    <tableColumn id="1321" xr3:uid="{76C5A116-456C-4EBA-889A-9D2485DAE0F1}" name="Column1316"/>
    <tableColumn id="1322" xr3:uid="{98FC020F-97A8-4F0D-B226-AA297C4D357F}" name="Column1317"/>
    <tableColumn id="1323" xr3:uid="{D17E3130-F0F9-4A06-9548-25E6125A2539}" name="Column1318"/>
    <tableColumn id="1324" xr3:uid="{BBAD683E-626D-409A-8CA0-3930E3E66050}" name="Column1319"/>
    <tableColumn id="1325" xr3:uid="{E9307A9A-F3C7-44F4-B2C3-C34305B09067}" name="Column1320"/>
    <tableColumn id="1326" xr3:uid="{8310D717-DF5F-4717-918A-39D57F3D9F54}" name="Column1321"/>
    <tableColumn id="1327" xr3:uid="{ADBD75E1-4F55-4AD3-8B30-D056155D19E0}" name="Column1322"/>
    <tableColumn id="1328" xr3:uid="{09EB8D39-74F3-4549-94A5-89570E806586}" name="Column1323"/>
    <tableColumn id="1329" xr3:uid="{570996FB-54D4-4B5A-9CE3-059D74848404}" name="Column1324"/>
    <tableColumn id="1330" xr3:uid="{8F1C153F-6EE1-412C-9BDA-53D88C175ED1}" name="Column1325"/>
    <tableColumn id="1331" xr3:uid="{3A9334E9-AEA2-4ADF-A0CC-5774ECECC5D1}" name="Column1326"/>
    <tableColumn id="1332" xr3:uid="{C643EC2A-3844-478C-82D7-86A23F5419A2}" name="Column1327"/>
    <tableColumn id="1333" xr3:uid="{38D76B7D-7EBD-4F4D-B1AB-25CD054E9E21}" name="Column1328"/>
    <tableColumn id="1334" xr3:uid="{95784072-EF0A-4F81-B365-1588B0818A6D}" name="Column1329"/>
    <tableColumn id="1335" xr3:uid="{A5B6A29B-E660-404D-AA21-540067FEADD8}" name="Column1330"/>
    <tableColumn id="1336" xr3:uid="{D8E495BB-CD2F-453D-8CB2-43F97E7B2AB2}" name="Column1331"/>
    <tableColumn id="1337" xr3:uid="{C3843DC5-7054-4398-BB26-2192214FD871}" name="Column1332"/>
    <tableColumn id="1338" xr3:uid="{1C449C66-CBC8-402C-88FD-036408C7908E}" name="Column1333"/>
    <tableColumn id="1339" xr3:uid="{E4B0F591-6DD7-4EB1-8A66-ECA635F77472}" name="Column1334"/>
    <tableColumn id="1340" xr3:uid="{F1E4B95F-23DA-4251-84A1-6B1D30126E75}" name="Column1335"/>
    <tableColumn id="1341" xr3:uid="{BB39E6FD-CAA3-45E7-AD51-5EBC9F9DC586}" name="Column1336"/>
    <tableColumn id="1342" xr3:uid="{A5841418-E7F5-4E41-A242-99CDE2C915FC}" name="Column1337"/>
    <tableColumn id="1343" xr3:uid="{58A7278B-01EA-4F94-8B65-0629D7A77E5F}" name="Column1338"/>
    <tableColumn id="1344" xr3:uid="{78B650E7-1BF1-4E6D-B8C9-79770DF695E1}" name="Column1339"/>
    <tableColumn id="1345" xr3:uid="{9B27A71F-63FF-4750-8384-9074BEE153D4}" name="Column1340"/>
    <tableColumn id="1346" xr3:uid="{BD434B2F-709F-4082-B039-D2F1ADACD383}" name="Column1341"/>
    <tableColumn id="1347" xr3:uid="{B0638780-8273-42BB-AF50-FFA653F99142}" name="Column1342"/>
    <tableColumn id="1348" xr3:uid="{DD467DAF-8D18-4233-BF68-CBA7CBF6E7D5}" name="Column1343"/>
    <tableColumn id="1349" xr3:uid="{54421FC4-071D-4096-91EC-98840C2F9346}" name="Column1344"/>
    <tableColumn id="1350" xr3:uid="{0FE7A944-0218-4B80-9E8B-443951324689}" name="Column1345"/>
    <tableColumn id="1351" xr3:uid="{16200AAD-78C5-4BEA-83D8-A364280D90BC}" name="Column1346"/>
    <tableColumn id="1352" xr3:uid="{63F25D71-DD5B-4932-9AA5-3DB84CF38077}" name="Column1347"/>
    <tableColumn id="1353" xr3:uid="{D50D9909-A805-4AE8-8DF9-2D81747801A4}" name="Column1348"/>
    <tableColumn id="1354" xr3:uid="{479B81D1-6963-4A35-AF74-DDF91807CC07}" name="Column1349"/>
    <tableColumn id="1355" xr3:uid="{3214C12B-40D2-4E27-B82A-E4F50549AB11}" name="Column1350"/>
    <tableColumn id="1356" xr3:uid="{E7A55797-2128-4DB4-9B03-D3D7B4E49F8A}" name="Column1351"/>
    <tableColumn id="1357" xr3:uid="{7EFF9C9B-3380-40FB-9131-793FF7389433}" name="Column1352"/>
    <tableColumn id="1358" xr3:uid="{10688FD8-A1BB-4DD6-9C02-64A15C846E56}" name="Column1353"/>
    <tableColumn id="1359" xr3:uid="{B0F71E0D-6C99-493C-BC6C-989A86643C81}" name="Column1354"/>
    <tableColumn id="1360" xr3:uid="{B2026B4E-C701-4B13-B992-AEE84C54A49F}" name="Column1355"/>
    <tableColumn id="1361" xr3:uid="{0D520D50-5000-4746-B86E-8A40768F021B}" name="Column1356"/>
    <tableColumn id="1362" xr3:uid="{28DC088B-6759-4CC1-B785-29E29B2AB8C4}" name="Column1357"/>
    <tableColumn id="1363" xr3:uid="{9FCB8AD5-25FE-4891-B8E1-D42196A4FB7C}" name="Column1358"/>
    <tableColumn id="1364" xr3:uid="{34E71CEF-9131-45AE-9CF7-667123165B6B}" name="Column1359"/>
    <tableColumn id="1365" xr3:uid="{71BAA61F-3DFA-47DF-A9FB-665855CE5170}" name="Column1360"/>
    <tableColumn id="1366" xr3:uid="{8651091A-613E-47AF-8046-93E904A604F1}" name="Column1361"/>
    <tableColumn id="1367" xr3:uid="{A6C44FC9-243F-4B98-B61E-F45618AE05D6}" name="Column1362"/>
    <tableColumn id="1368" xr3:uid="{58D8395D-ECCF-4665-B404-FE5DF2DB20C0}" name="Column1363"/>
    <tableColumn id="1369" xr3:uid="{6C2C8F45-68D1-4604-9FDD-56A24580FBE8}" name="Column1364"/>
    <tableColumn id="1370" xr3:uid="{61214875-3A81-4369-9E1F-EB56AC28122E}" name="Column1365"/>
    <tableColumn id="1371" xr3:uid="{D9497B36-2825-48AD-B709-585FACB207E8}" name="Column1366"/>
    <tableColumn id="1372" xr3:uid="{73505EFC-3DE4-4946-9570-E418388B1D4C}" name="Column1367"/>
    <tableColumn id="1373" xr3:uid="{19312714-1546-4B3F-96B8-0A535D74E091}" name="Column1368"/>
    <tableColumn id="1374" xr3:uid="{241DDB7E-F3DB-4EFA-84B8-777E7ED841F3}" name="Column1369"/>
    <tableColumn id="1375" xr3:uid="{BA8F6F31-2A64-40AF-82CF-A1BD972DCCF6}" name="Column1370"/>
    <tableColumn id="1376" xr3:uid="{8F326CB6-02C0-4E64-9CF9-E445D0EC18ED}" name="Column1371"/>
    <tableColumn id="1377" xr3:uid="{B5CB214D-0F88-44A6-AEE1-36B8C68D33D1}" name="Column1372"/>
    <tableColumn id="1378" xr3:uid="{E55B71B7-031C-4293-A0AA-C8E796B21331}" name="Column1373"/>
    <tableColumn id="1379" xr3:uid="{34A1DC52-D7D6-4D71-B8F8-D2058FAAE15F}" name="Column1374"/>
    <tableColumn id="1380" xr3:uid="{34A3AED9-5AAB-4415-B337-448B330462C7}" name="Column1375"/>
    <tableColumn id="1381" xr3:uid="{6B7D30F8-0B1A-44AA-9EFC-ECF0C8A76267}" name="Column1376"/>
    <tableColumn id="1382" xr3:uid="{C2146EAE-6379-4E04-8AEF-32B21B0A7CC6}" name="Column1377"/>
    <tableColumn id="1383" xr3:uid="{CAFDC1CE-57A4-458A-B834-AF5D8D4628E8}" name="Column1378"/>
    <tableColumn id="1384" xr3:uid="{CF67992B-0E23-4B30-BC56-731D5E183B82}" name="Column1379"/>
    <tableColumn id="1385" xr3:uid="{5CC82443-F27E-40EC-AA8E-71FCDE0519F8}" name="Column1380"/>
    <tableColumn id="1386" xr3:uid="{1588B321-C04D-41E9-8902-63312484C524}" name="Column1381"/>
    <tableColumn id="1387" xr3:uid="{75D52A60-E418-4F00-BF4A-CF748E0A7D33}" name="Column1382"/>
    <tableColumn id="1388" xr3:uid="{E5B90A28-2C0F-49D7-BD4A-4FD5CEF9B23C}" name="Column1383"/>
    <tableColumn id="1389" xr3:uid="{ED94E91F-8A9D-4C73-B3A9-6DE30292BB4B}" name="Column1384"/>
    <tableColumn id="1390" xr3:uid="{4D6ADD8D-7D46-4C47-AB57-3B976E5FE17B}" name="Column1385"/>
    <tableColumn id="1391" xr3:uid="{DC5B90C7-4EF9-412A-948E-F18D1B65A004}" name="Column1386"/>
    <tableColumn id="1392" xr3:uid="{923F9A6E-A0C7-49B3-9829-E4AEF9D6C624}" name="Column1387"/>
    <tableColumn id="1393" xr3:uid="{FC2B5020-ECB4-4E05-B1CF-EB1F9BCA7CC3}" name="Column1388"/>
    <tableColumn id="1394" xr3:uid="{814C3CE0-AC75-430C-BFC4-F94A20718210}" name="Column1389"/>
    <tableColumn id="1395" xr3:uid="{442A48FA-5BAB-427C-B33C-9F45041EA544}" name="Column1390"/>
    <tableColumn id="1396" xr3:uid="{E1D38DFC-2424-45B7-94CC-060BE5A8889B}" name="Column1391"/>
    <tableColumn id="1397" xr3:uid="{D70AD991-4E56-4567-9DF3-285B65314F67}" name="Column1392"/>
    <tableColumn id="1398" xr3:uid="{875A5A06-2397-4AF3-8B85-5CA4690344FE}" name="Column1393"/>
    <tableColumn id="1399" xr3:uid="{8340CC3A-06D8-4F28-A0C5-5682428C21BA}" name="Column1394"/>
    <tableColumn id="1400" xr3:uid="{5F87136C-7CD3-4BF6-A0F9-0297B189FE5B}" name="Column1395"/>
    <tableColumn id="1401" xr3:uid="{97EC3A51-3B20-43D9-8788-BB32FFC56CE9}" name="Column1396"/>
    <tableColumn id="1402" xr3:uid="{061FF094-030C-4C54-8306-A10ADD45B90A}" name="Column1397"/>
    <tableColumn id="1403" xr3:uid="{B4FCA55C-F438-4FF8-B619-371B3D5A72FD}" name="Column1398"/>
    <tableColumn id="1404" xr3:uid="{100EEE46-3C15-4A90-A84C-7681170C6D61}" name="Column1399"/>
    <tableColumn id="1405" xr3:uid="{1F904052-C15D-47C9-9828-322FC6B4E465}" name="Column1400"/>
    <tableColumn id="1406" xr3:uid="{60E0FC74-60C7-4794-8D4A-1414DF42FDCA}" name="Column1401"/>
    <tableColumn id="1407" xr3:uid="{B67C5599-0A73-4FFF-A58E-7DBC7679CACF}" name="Column1402"/>
    <tableColumn id="1408" xr3:uid="{E9CF5CF2-FC21-419D-B311-CF90844F86E6}" name="Column1403"/>
    <tableColumn id="1409" xr3:uid="{629862F4-73F5-4830-A067-76BB5FBF13CB}" name="Column1404"/>
    <tableColumn id="1410" xr3:uid="{7CC1E0FD-F778-473C-A6B7-4BDE0EE4478D}" name="Column1405"/>
    <tableColumn id="1411" xr3:uid="{CBCD6955-6394-4173-861C-41571D62B812}" name="Column1406"/>
    <tableColumn id="1412" xr3:uid="{7E0F6791-2030-4C6A-83CD-BB1F0C1BD334}" name="Column1407"/>
    <tableColumn id="1413" xr3:uid="{CBF94EB4-4F5A-46F6-B16E-A8B33D9F6181}" name="Column1408"/>
    <tableColumn id="1414" xr3:uid="{799890C3-DC4C-40DB-A18C-EDEA7060D280}" name="Column1409"/>
    <tableColumn id="1415" xr3:uid="{4E740CC4-2FA3-4B62-B230-EC65C505A0FE}" name="Column1410"/>
    <tableColumn id="1416" xr3:uid="{66BC0300-22AD-4226-9043-0F43C2F9BACB}" name="Column1411"/>
    <tableColumn id="1417" xr3:uid="{64817418-01DF-4023-8157-4C671D68AC64}" name="Column1412"/>
    <tableColumn id="1418" xr3:uid="{88C42523-AE7C-4954-9608-09CE45BFE972}" name="Column1413"/>
    <tableColumn id="1419" xr3:uid="{74EA9A38-30D5-4022-946C-8DA32A7B1A13}" name="Column1414"/>
    <tableColumn id="1420" xr3:uid="{9122D2B2-FD54-4B1E-953A-041AF5538B49}" name="Column1415"/>
    <tableColumn id="1421" xr3:uid="{7B5E8C2F-8A89-451D-984C-EC99ABE83D5F}" name="Column1416"/>
    <tableColumn id="1422" xr3:uid="{5A19CA1B-704C-462B-B701-BA0987ACC10D}" name="Column1417"/>
    <tableColumn id="1423" xr3:uid="{2A50E62C-6B7D-48AA-AF00-DF4CCDE20315}" name="Column1418"/>
    <tableColumn id="1424" xr3:uid="{2A6F4514-EF30-47CD-BF4D-092FE642BBC1}" name="Column1419"/>
    <tableColumn id="1425" xr3:uid="{7DBFA541-CD89-419D-9871-69B509ECFDD9}" name="Column1420"/>
    <tableColumn id="1426" xr3:uid="{4F38C63E-9720-4DB9-91BF-154D535A95DD}" name="Column1421"/>
    <tableColumn id="1427" xr3:uid="{0C3CAA98-1501-45FC-94F1-E281007A2881}" name="Column1422"/>
    <tableColumn id="1428" xr3:uid="{30AE4456-AC2B-4257-ACF6-25BD999518FC}" name="Column1423"/>
    <tableColumn id="1429" xr3:uid="{620517E2-DD9F-43E3-9689-01AB3C4A7E19}" name="Column1424"/>
    <tableColumn id="1430" xr3:uid="{6A22EF7A-2FCD-4965-BBD3-AC2F1AD72C63}" name="Column1425"/>
    <tableColumn id="1431" xr3:uid="{70B35EB8-E43C-4B06-BBD2-EB58866B9EDA}" name="Column1426"/>
    <tableColumn id="1432" xr3:uid="{80540B7A-90C0-44AA-8AF0-8F5730EB68DB}" name="Column1427"/>
    <tableColumn id="1433" xr3:uid="{98BEB160-E5AA-4E5E-BE81-0BA20AF9C278}" name="Column1428"/>
    <tableColumn id="1434" xr3:uid="{396C68A3-F838-497F-B63C-9B0E5C92F26C}" name="Column1429"/>
    <tableColumn id="1435" xr3:uid="{C975378E-62E2-43BA-90D4-E6677757ADC7}" name="Column1430"/>
    <tableColumn id="1436" xr3:uid="{12C77EE3-594E-4AC7-A713-C00581516CC5}" name="Column1431"/>
    <tableColumn id="1437" xr3:uid="{572EFE3A-C091-479D-9E20-177DE568A1B0}" name="Column1432"/>
    <tableColumn id="1438" xr3:uid="{11A61B2B-AF37-4B3D-89B3-79EA5A0FF9A5}" name="Column1433"/>
    <tableColumn id="1439" xr3:uid="{97BC76A0-A1ED-4CBB-9433-B48D3F867631}" name="Column1434"/>
    <tableColumn id="1440" xr3:uid="{47288526-7776-4D65-8EC2-7AFC56242DD8}" name="Column1435"/>
    <tableColumn id="1441" xr3:uid="{DFE5DF2A-C8D5-4B81-9066-399C0882F6C5}" name="Column1436"/>
    <tableColumn id="1442" xr3:uid="{CDBACF36-82AE-4E2A-BF32-6D55A0ECBF86}" name="Column1437"/>
    <tableColumn id="1443" xr3:uid="{27770D6F-97D2-49E7-9B7F-B8E482AE115A}" name="Column1438"/>
    <tableColumn id="1444" xr3:uid="{B88F70C6-8C27-44FC-8D1B-BD4E6DC1EF0B}" name="Column1439"/>
    <tableColumn id="1445" xr3:uid="{88EE3447-9F2D-41FB-B890-3312B663B04A}" name="Column1440"/>
    <tableColumn id="1446" xr3:uid="{3466AA5F-E2EA-4FD7-A013-BDAB6AA961AB}" name="Column1441"/>
    <tableColumn id="1447" xr3:uid="{C127779C-84F4-4748-A2D5-4E91466686D3}" name="Column1442"/>
    <tableColumn id="1448" xr3:uid="{6A04273B-1893-47FE-BD32-F21E34324FAC}" name="Column1443"/>
    <tableColumn id="1449" xr3:uid="{1292F1FA-8880-4245-9B4A-38B384C842AA}" name="Column1444"/>
    <tableColumn id="1450" xr3:uid="{DF6A063E-2FD3-47B2-9D51-F34D700F1549}" name="Column1445"/>
    <tableColumn id="1451" xr3:uid="{D8285123-33B6-40BD-A439-B22A65449BA1}" name="Column1446"/>
    <tableColumn id="1452" xr3:uid="{D8D69B4A-3E6B-4997-8D64-EA389EB20B96}" name="Column1447"/>
    <tableColumn id="1453" xr3:uid="{F508F392-42C6-488B-8480-53F097C4A70E}" name="Column1448"/>
    <tableColumn id="1454" xr3:uid="{FC268BF3-0A20-4F85-8D45-477572CDCAE5}" name="Column1449"/>
    <tableColumn id="1455" xr3:uid="{A8B604C1-7620-4159-BD96-24187C3E5FAE}" name="Column1450"/>
    <tableColumn id="1456" xr3:uid="{936C0D18-E41B-491E-A9C9-BF97D4B1446A}" name="Column1451"/>
    <tableColumn id="1457" xr3:uid="{315CDF4A-0C96-486C-93A8-1B63B730EBA6}" name="Column1452"/>
    <tableColumn id="1458" xr3:uid="{1B4E7840-77DC-462F-8998-DAEAACCE2F07}" name="Column1453"/>
    <tableColumn id="1459" xr3:uid="{1AB11B28-3B3E-4FD1-8ECF-C2C50D714191}" name="Column1454"/>
    <tableColumn id="1460" xr3:uid="{A2257F62-A6B8-4CBF-BD1A-E23BD7B09750}" name="Column1455"/>
    <tableColumn id="1461" xr3:uid="{6D942528-2CF5-4EA8-A278-80CC5038038A}" name="Column1456"/>
    <tableColumn id="1462" xr3:uid="{0DB86CC6-C213-42A5-B50D-70FE60E3DF47}" name="Column1457"/>
    <tableColumn id="1463" xr3:uid="{7DE2E479-BA39-4AEE-BC8F-E87DA5EB88A4}" name="Column1458"/>
    <tableColumn id="1464" xr3:uid="{2E091A20-B934-4024-9260-4849C9453F79}" name="Column1459"/>
    <tableColumn id="1465" xr3:uid="{C12F47A8-E2EC-408D-BFC1-B9E88B4517AE}" name="Column1460"/>
    <tableColumn id="1466" xr3:uid="{C6BB9065-0657-4DFD-BDF2-CFC0A57068C0}" name="Column1461"/>
    <tableColumn id="1467" xr3:uid="{D9992A37-14A5-4C9F-A686-D1CB03136135}" name="Column1462"/>
    <tableColumn id="1468" xr3:uid="{DA19EDD7-F71F-4044-AF48-FC2570419D59}" name="Column1463"/>
    <tableColumn id="1469" xr3:uid="{B8CC8078-6F0B-42FF-93B6-84136F879BA3}" name="Column1464"/>
    <tableColumn id="1470" xr3:uid="{36D537EB-34C2-455E-8B26-FBB7EDE9FB40}" name="Column1465"/>
    <tableColumn id="1471" xr3:uid="{D61445DB-78A5-4990-93EE-A0DAF6BB917E}" name="Column1466"/>
    <tableColumn id="1472" xr3:uid="{2D321B23-AE9F-455D-897F-EB08C9064CE1}" name="Column1467"/>
    <tableColumn id="1473" xr3:uid="{910228C8-23E3-401F-83F1-7CB1E614E135}" name="Column1468"/>
    <tableColumn id="1474" xr3:uid="{CADEC0B1-822A-45A0-A874-970D6EB1C10D}" name="Column1469"/>
    <tableColumn id="1475" xr3:uid="{9ABC3C9B-46D9-4EC3-899F-11222D5816E4}" name="Column1470"/>
    <tableColumn id="1476" xr3:uid="{52F057D1-DAD9-455D-AFCE-FD4C495FFBE8}" name="Column1471"/>
    <tableColumn id="1477" xr3:uid="{40AA76B8-AF74-4BF1-9152-4AE998664FDD}" name="Column1472"/>
    <tableColumn id="1478" xr3:uid="{C8984D78-CBE8-48B3-8F48-9939A5F52C64}" name="Column1473"/>
    <tableColumn id="1479" xr3:uid="{DAF349D7-0328-4B7B-909D-E27EF37C139B}" name="Column1474"/>
    <tableColumn id="1480" xr3:uid="{374DA38D-36E9-470F-B04F-3753C91AF8A3}" name="Column1475"/>
    <tableColumn id="1481" xr3:uid="{628C29A9-BC29-4E16-BDB9-B3B34D197D55}" name="Column1476"/>
    <tableColumn id="1482" xr3:uid="{3D3CE095-76B7-433D-A091-74E9FDCA92E8}" name="Column1477"/>
    <tableColumn id="1483" xr3:uid="{0F1F5C35-F9C9-4CF1-86F2-1BA7859A0C82}" name="Column1478"/>
    <tableColumn id="1484" xr3:uid="{AE601B4B-9D43-41ED-8923-C992C6FF3AA7}" name="Column1479"/>
    <tableColumn id="1485" xr3:uid="{6E9718D2-AC60-45C2-A937-AD9BAA563D20}" name="Column1480"/>
    <tableColumn id="1486" xr3:uid="{DEF7678F-A3C6-4ED7-A3E2-F16E6FED81F3}" name="Column1481"/>
    <tableColumn id="1487" xr3:uid="{4B3FED87-04B4-46A2-BFCC-FAB3A1DA0A04}" name="Column1482"/>
    <tableColumn id="1488" xr3:uid="{20A0BB31-54E1-4A67-B27B-B8859B0C99A8}" name="Column1483"/>
    <tableColumn id="1489" xr3:uid="{3ABFAE4A-4F42-47D4-8A9E-5A6CAEE38079}" name="Column1484"/>
    <tableColumn id="1490" xr3:uid="{682DEDBD-EF93-4E3C-AD4A-65B0D687E214}" name="Column1485"/>
    <tableColumn id="1491" xr3:uid="{19FBCF6A-F4B0-47A8-8009-F03300BF393A}" name="Column1486"/>
    <tableColumn id="1492" xr3:uid="{3FE083F0-F5EA-486E-BFDA-AB6F8294668D}" name="Column1487"/>
    <tableColumn id="1493" xr3:uid="{63F65D25-9271-4CA5-92C5-407ADC83479C}" name="Column1488"/>
    <tableColumn id="1494" xr3:uid="{EB14010E-0FD2-419E-BBA7-E0A9CFD7FACC}" name="Column1489"/>
    <tableColumn id="1495" xr3:uid="{1211EFC9-C581-45C6-808F-92A46BA81FA3}" name="Column1490"/>
    <tableColumn id="1496" xr3:uid="{2F414314-B2C8-423D-AA54-52409049D9D8}" name="Column1491"/>
    <tableColumn id="1497" xr3:uid="{E9811B78-6423-49D2-A81D-78949C96909F}" name="Column1492"/>
    <tableColumn id="1498" xr3:uid="{33BCBA8E-A8F0-4697-9806-9134BD5996E5}" name="Column1493"/>
    <tableColumn id="1499" xr3:uid="{A42D1F65-C27B-4B20-A2CA-E85BA8A1788D}" name="Column1494"/>
    <tableColumn id="1500" xr3:uid="{21F6DEAB-3986-4500-B065-58A42C2CFB84}" name="Column1495"/>
    <tableColumn id="1501" xr3:uid="{0020C4A7-F2F9-422C-AE2B-12841615DDA0}" name="Column1496"/>
    <tableColumn id="1502" xr3:uid="{13D80D71-B350-4871-8A4A-0E3B84EDBB3C}" name="Column1497"/>
    <tableColumn id="1503" xr3:uid="{1D681F6D-6B71-4A3F-8F39-7295863E8BA7}" name="Column1498"/>
    <tableColumn id="1504" xr3:uid="{0E4FEE09-ED4F-402B-AF0A-24A21CBF69F8}" name="Column1499"/>
    <tableColumn id="1505" xr3:uid="{E05B78A1-EB23-4E1D-BC1B-15FBDC925F18}" name="Column1500"/>
    <tableColumn id="1506" xr3:uid="{624FE507-48D4-4DB0-A017-EF0F5276538D}" name="Column1501"/>
    <tableColumn id="1507" xr3:uid="{397BFB55-A98D-4D17-B24E-2ED7A76F3B01}" name="Column1502"/>
    <tableColumn id="1508" xr3:uid="{04649512-649B-4DDA-8653-AB9C6B3A1C40}" name="Column1503"/>
    <tableColumn id="1509" xr3:uid="{662422E0-3A79-415A-B95A-6CA31A3BE1CE}" name="Column1504"/>
    <tableColumn id="1510" xr3:uid="{D19FCA0B-C20D-4E5B-BD1D-2BC21038081E}" name="Column1505"/>
    <tableColumn id="1511" xr3:uid="{7D9F626C-B3C7-49C2-B013-EC5A2E58C457}" name="Column1506"/>
    <tableColumn id="1512" xr3:uid="{2FB2384F-83EC-4CCD-9A4D-06F213D40836}" name="Column1507"/>
    <tableColumn id="1513" xr3:uid="{3CEA892F-C1B6-468D-8913-0D5498A0CDFC}" name="Column1508"/>
    <tableColumn id="1514" xr3:uid="{A3C6E360-7CE0-42D0-A27F-CE783CAC74F9}" name="Column1509"/>
    <tableColumn id="1515" xr3:uid="{0EB6A85A-32DF-4CE8-B9EB-9043D277497B}" name="Column1510"/>
    <tableColumn id="1516" xr3:uid="{E4F819DF-B8DE-43DC-8B7A-FF636E8A0892}" name="Column1511"/>
    <tableColumn id="1517" xr3:uid="{95612076-BF85-42C8-809A-D0FA104D7D96}" name="Column1512"/>
    <tableColumn id="1518" xr3:uid="{279AAECA-1D24-4383-95EF-0F45ED31FE17}" name="Column1513"/>
    <tableColumn id="1519" xr3:uid="{EC4DA0E5-BBAD-4F1B-B510-B866C59ACD13}" name="Column1514"/>
    <tableColumn id="1520" xr3:uid="{FBCCA68C-5B37-4D8A-80AD-DC7C4C4A35B7}" name="Column1515"/>
    <tableColumn id="1521" xr3:uid="{C4ECC2C7-203F-4CAD-9CB5-EAE5E33F8E65}" name="Column1516"/>
    <tableColumn id="1522" xr3:uid="{6D73630F-2167-4A0B-BF2B-8C54F128D23E}" name="Column1517"/>
    <tableColumn id="1523" xr3:uid="{C4F9C5C6-EE86-4367-B3C4-948680FED715}" name="Column1518"/>
    <tableColumn id="1524" xr3:uid="{2AD205EC-A167-4164-88B8-1705654258D7}" name="Column1519"/>
    <tableColumn id="1525" xr3:uid="{0A44C087-D8B6-44AE-89F3-1829CD5E83D4}" name="Column1520"/>
    <tableColumn id="1526" xr3:uid="{0419605E-37B5-48EB-99B0-B56992E48390}" name="Column1521"/>
    <tableColumn id="1527" xr3:uid="{39560D9F-9420-47C5-AFCF-DCAFF10B02E2}" name="Column1522"/>
    <tableColumn id="1528" xr3:uid="{52A3BD55-C48A-4C07-B113-F918057DE943}" name="Column1523"/>
    <tableColumn id="1529" xr3:uid="{92EFAFF1-63D3-473F-896E-833FAAC74863}" name="Column1524"/>
    <tableColumn id="1530" xr3:uid="{C1AE24AF-DA07-48F4-B16A-C672D22D901C}" name="Column1525"/>
    <tableColumn id="1531" xr3:uid="{D7CA979E-9097-4DAC-A131-EED6FA647DBC}" name="Column1526"/>
    <tableColumn id="1532" xr3:uid="{D41A736D-3D8C-4917-91E6-05B8CE5EC967}" name="Column1527"/>
    <tableColumn id="1533" xr3:uid="{D2CDFD79-CF41-47D4-8B44-7BC99E42A89B}" name="Column1528"/>
    <tableColumn id="1534" xr3:uid="{7B0165D3-7155-4515-A0ED-003286808D02}" name="Column1529"/>
    <tableColumn id="1535" xr3:uid="{59E62AD2-C6CC-45F0-BB91-91EAA88D1DF7}" name="Column1530"/>
    <tableColumn id="1536" xr3:uid="{54F3C022-9310-413D-BDD6-05292A876D7A}" name="Column1531"/>
    <tableColumn id="1537" xr3:uid="{D57ED8A0-10D2-4B83-A8C1-003DF26BF4DF}" name="Column1532"/>
    <tableColumn id="1538" xr3:uid="{9EC4E143-2F6E-4BC0-B9D9-3283BA694205}" name="Column1533"/>
    <tableColumn id="1539" xr3:uid="{CCB04BA4-50F4-40AB-9924-C23B76D3AF9B}" name="Column1534"/>
    <tableColumn id="1540" xr3:uid="{7DAB8C2A-2E42-4879-807B-AE905493E7F2}" name="Column1535"/>
    <tableColumn id="1541" xr3:uid="{F45A3A65-0073-486E-A1C8-97A106C1FFB6}" name="Column1536"/>
    <tableColumn id="1542" xr3:uid="{BA03C013-D5F8-47F5-BFF1-2A58F2F50DCC}" name="Column1537"/>
    <tableColumn id="1543" xr3:uid="{B3F0605D-2C9A-4385-9FF9-6837D85DEA80}" name="Column1538"/>
    <tableColumn id="1544" xr3:uid="{4827EB0F-0127-4484-BBB6-AD3435D5D32E}" name="Column1539"/>
    <tableColumn id="1545" xr3:uid="{C65B5405-1C7F-45D1-8B16-3B6FA0542C11}" name="Column1540"/>
    <tableColumn id="1546" xr3:uid="{566E01EF-85CC-49E0-908B-8A9F7AD6D9ED}" name="Column1541"/>
    <tableColumn id="1547" xr3:uid="{863B5A7A-79D9-4959-A1B8-24647837A593}" name="Column1542"/>
    <tableColumn id="1548" xr3:uid="{C2E1C31C-F00C-46A6-A881-0DAC36A73BAF}" name="Column1543"/>
    <tableColumn id="1549" xr3:uid="{E4B720DF-D019-4055-9FC6-CDAB35C2C4A5}" name="Column1544"/>
    <tableColumn id="1550" xr3:uid="{8147D2E1-7980-4404-8DD3-F2F2E9342BB8}" name="Column1545"/>
    <tableColumn id="1551" xr3:uid="{EE28D323-2055-4D00-BE1A-622673FF4A52}" name="Column1546"/>
    <tableColumn id="1552" xr3:uid="{7E41D562-08BE-426C-A8DD-492187C71CF3}" name="Column1547"/>
    <tableColumn id="1553" xr3:uid="{7EA893ED-6B49-4356-A8B3-B0281C5F014C}" name="Column1548"/>
    <tableColumn id="1554" xr3:uid="{B369BEC2-76FF-428F-BD04-4DB66A530B97}" name="Column1549"/>
    <tableColumn id="1555" xr3:uid="{C7792DFC-425F-481E-91F8-CBB312A2EB9C}" name="Column1550"/>
    <tableColumn id="1556" xr3:uid="{72F3D1A6-AF30-4039-94F4-C999A52AB420}" name="Column1551"/>
    <tableColumn id="1557" xr3:uid="{847DEF53-ED3F-42ED-A4DC-958EC2D4A58D}" name="Column1552"/>
    <tableColumn id="1558" xr3:uid="{76E2FEBA-45AD-49E7-98DB-868C20700CB1}" name="Column1553"/>
    <tableColumn id="1559" xr3:uid="{54F192B2-6CA7-4FF5-87EA-828802AD0E25}" name="Column1554"/>
    <tableColumn id="1560" xr3:uid="{5DA70BAB-21BB-4D3A-9DF9-17E1C42C4D10}" name="Column1555"/>
    <tableColumn id="1561" xr3:uid="{6622476A-21F7-403F-BFC7-705F5F78708B}" name="Column1556"/>
    <tableColumn id="1562" xr3:uid="{477F9E14-77F8-40FF-8D69-BD46C3B1F974}" name="Column1557"/>
    <tableColumn id="1563" xr3:uid="{0278F00E-3BF8-42E4-A109-4952EE785626}" name="Column1558"/>
    <tableColumn id="1564" xr3:uid="{503FFC4F-A0CE-4271-88AA-7BF315973B9F}" name="Column1559"/>
    <tableColumn id="1565" xr3:uid="{F3E20AEE-C74B-4112-8F69-50725B451C76}" name="Column1560"/>
    <tableColumn id="1566" xr3:uid="{38E6EBBE-44EE-4F4B-AF60-71EAE159FBF7}" name="Column1561"/>
    <tableColumn id="1567" xr3:uid="{728319C4-B17C-4AD1-8EBA-138DD922BDE7}" name="Column1562"/>
    <tableColumn id="1568" xr3:uid="{87EC9011-A4D5-4AA3-A771-C7409EBA5348}" name="Column1563"/>
    <tableColumn id="1569" xr3:uid="{1ADD3FAF-D68F-4D21-B378-0D7E65AAC926}" name="Column1564"/>
    <tableColumn id="1570" xr3:uid="{BE0CEB67-6A45-44CB-8313-BEA0BE1FDA3E}" name="Column1565"/>
    <tableColumn id="1571" xr3:uid="{521D00CD-DCA8-46A4-BFB3-A1CF040D4C49}" name="Column1566"/>
    <tableColumn id="1572" xr3:uid="{94C22401-2ADE-4B69-81D6-FBF6944B8637}" name="Column1567"/>
    <tableColumn id="1573" xr3:uid="{BC95A385-EAA7-4A77-8573-686244CBE58D}" name="Column1568"/>
    <tableColumn id="1574" xr3:uid="{620AC75D-22AE-4396-BBA3-95A07DF06559}" name="Column1569"/>
    <tableColumn id="1575" xr3:uid="{B3CB916B-4DAB-46F1-8242-8F357C031538}" name="Column1570"/>
    <tableColumn id="1576" xr3:uid="{D742C6C7-F1EF-4003-87CD-08424D2668E1}" name="Column1571"/>
    <tableColumn id="1577" xr3:uid="{7F09555B-F51F-4F95-9A3E-1DB0B60F7A08}" name="Column1572"/>
    <tableColumn id="1578" xr3:uid="{5E8EA5D3-1C37-43AD-A023-C9482CDDEE43}" name="Column1573"/>
    <tableColumn id="1579" xr3:uid="{0265B70E-890C-4558-BD4C-75E27990EAC2}" name="Column1574"/>
    <tableColumn id="1580" xr3:uid="{6DD62882-189F-4C75-B785-E2E5CEE2D845}" name="Column1575"/>
    <tableColumn id="1581" xr3:uid="{FA3F147B-F4EA-4A0D-806C-DBDE6B4F5B55}" name="Column1576"/>
    <tableColumn id="1582" xr3:uid="{DD006339-BCD6-40CC-9448-3CBA6E67BBDD}" name="Column1577"/>
    <tableColumn id="1583" xr3:uid="{42074465-2056-43C5-8633-C7C90D568532}" name="Column1578"/>
    <tableColumn id="1584" xr3:uid="{23F894AD-C099-4F75-A863-24C2F8EB5FB5}" name="Column1579"/>
    <tableColumn id="1585" xr3:uid="{96E48F15-8039-4A77-895C-D63EE758488A}" name="Column1580"/>
    <tableColumn id="1586" xr3:uid="{1EEBECD6-84BC-4ADD-A5D6-8DE90A832089}" name="Column1581"/>
    <tableColumn id="1587" xr3:uid="{99969424-AD61-474C-8752-5C23ECD70F83}" name="Column1582"/>
    <tableColumn id="1588" xr3:uid="{B2DA9CB6-68F7-4DB8-96EA-2D662EF4225E}" name="Column1583"/>
    <tableColumn id="1589" xr3:uid="{FDEEB0C3-19E4-47F6-939D-0E76486A65F6}" name="Column1584"/>
    <tableColumn id="1590" xr3:uid="{3B862D5F-C406-449A-9805-467C6011B1EF}" name="Column1585"/>
    <tableColumn id="1591" xr3:uid="{085ED4BD-8B71-4DDE-8F26-B70C1182F93C}" name="Column1586"/>
    <tableColumn id="1592" xr3:uid="{226D20FF-B4EF-456F-8C1E-70A8A69B65DA}" name="Column1587"/>
    <tableColumn id="1593" xr3:uid="{91788DE3-8432-4FAE-8C5C-303DC9B90B2D}" name="Column1588"/>
    <tableColumn id="1594" xr3:uid="{83203E8A-4ECB-4D4E-B711-6BAB8786C32F}" name="Column1589"/>
    <tableColumn id="1595" xr3:uid="{C2648B11-3E9B-44B7-8473-742395A09126}" name="Column1590"/>
    <tableColumn id="1596" xr3:uid="{C493EA2A-F2C0-4A54-9B27-FAE946288CA1}" name="Column1591"/>
    <tableColumn id="1597" xr3:uid="{964C6D5F-84A8-4A1D-A3DE-86E5283930C8}" name="Column1592"/>
    <tableColumn id="1598" xr3:uid="{CC0E803A-BE48-47CB-A4F8-D3D8F37BAAFD}" name="Column1593"/>
    <tableColumn id="1599" xr3:uid="{6F5EE5DF-951C-443A-B20D-B355215C60CD}" name="Column1594"/>
    <tableColumn id="1600" xr3:uid="{755C7FFD-2E7A-4A61-AA7A-C54122139147}" name="Column1595"/>
    <tableColumn id="1601" xr3:uid="{72A52928-466F-4553-A005-9D89621070D7}" name="Column1596"/>
    <tableColumn id="1602" xr3:uid="{03EDA92D-AEBA-4642-926F-2D9627F20A6A}" name="Column1597"/>
    <tableColumn id="1603" xr3:uid="{51EAC21A-FCDA-4F56-B56E-391C9DB905CC}" name="Column1598"/>
    <tableColumn id="1604" xr3:uid="{716D2740-7E8C-4062-AD6B-B1D7A728124F}" name="Column1599"/>
    <tableColumn id="1605" xr3:uid="{9D8B1C7D-4230-425A-9C54-528E20E63006}" name="Column1600"/>
    <tableColumn id="1606" xr3:uid="{A84518F1-3AE2-466B-BB0A-7CE0CE5A34C2}" name="Column1601"/>
    <tableColumn id="1607" xr3:uid="{F784A92C-4E83-4409-9F91-BF95BB69516E}" name="Column1602"/>
    <tableColumn id="1608" xr3:uid="{253A2610-3EDE-4AD3-9342-E3D64E01A37D}" name="Column1603"/>
    <tableColumn id="1609" xr3:uid="{A50245BC-0517-4E0D-B7B0-4571024BFDC3}" name="Column1604"/>
    <tableColumn id="1610" xr3:uid="{A9DD9C94-7D9F-42F7-AF4D-A99A0A1DBE0C}" name="Column1605"/>
    <tableColumn id="1611" xr3:uid="{7580AC96-607C-44EF-97DA-902AE0F8E88E}" name="Column1606"/>
    <tableColumn id="1612" xr3:uid="{EE6DE916-F27D-4A31-9B97-0D2734809050}" name="Column1607"/>
    <tableColumn id="1613" xr3:uid="{5C68EF39-F9FE-4792-874A-1D10F97C83C5}" name="Column1608"/>
    <tableColumn id="1614" xr3:uid="{D77BBC05-8BCC-4463-81AA-2ECD4F798BB3}" name="Column1609"/>
    <tableColumn id="1615" xr3:uid="{3494F98F-ED16-4DE2-80B8-1815CC22F6DE}" name="Column1610"/>
    <tableColumn id="1616" xr3:uid="{0B15F45D-7A91-4778-A2E8-3E484FEBC3CF}" name="Column1611"/>
    <tableColumn id="1617" xr3:uid="{9C099044-98AA-473D-B805-3969215F2D25}" name="Column1612"/>
    <tableColumn id="1618" xr3:uid="{36250E6E-5C02-48D8-B362-D1BBB95B80FC}" name="Column1613"/>
    <tableColumn id="1619" xr3:uid="{3DA8D5FE-BA5A-416E-BA4D-63A476557E47}" name="Column1614"/>
    <tableColumn id="1620" xr3:uid="{E6ACCD69-EF8A-46E6-B356-766B28C1E454}" name="Column1615"/>
    <tableColumn id="1621" xr3:uid="{BEF3983A-BB37-4A1F-B800-22E431085D2A}" name="Column1616"/>
    <tableColumn id="1622" xr3:uid="{6CFABF23-DF1A-4E43-8196-CB14008C6C5E}" name="Column1617"/>
    <tableColumn id="1623" xr3:uid="{EE574058-382C-42F7-BC37-231F9C5A262D}" name="Column1618"/>
    <tableColumn id="1624" xr3:uid="{7DBFF325-AB4F-4C95-9FF3-5886F982B2E2}" name="Column1619"/>
    <tableColumn id="1625" xr3:uid="{B45E0E2A-8E42-4983-B604-2BE81222FF75}" name="Column1620"/>
    <tableColumn id="1626" xr3:uid="{871FFDCE-ADF8-4081-97D8-E91230B36552}" name="Column1621"/>
    <tableColumn id="1627" xr3:uid="{1FD46BC8-477A-4DE1-BA67-D57FA092CC0C}" name="Column1622"/>
    <tableColumn id="1628" xr3:uid="{381276AC-B927-4556-BF2A-A94A31A1CA17}" name="Column1623"/>
    <tableColumn id="1629" xr3:uid="{687C3936-E99A-4DFB-9E77-26D9BE129DFE}" name="Column1624"/>
    <tableColumn id="1630" xr3:uid="{EA3D20FB-7E7A-4F77-89DA-5DEBB72A9B3D}" name="Column1625"/>
    <tableColumn id="1631" xr3:uid="{4FC75574-000D-4673-ABDB-7242DB97CF8F}" name="Column1626"/>
    <tableColumn id="1632" xr3:uid="{02CB55F3-CD82-4313-B2B3-13D016E84FBE}" name="Column1627"/>
    <tableColumn id="1633" xr3:uid="{BE130724-96FB-45B6-900B-913224F7E5C6}" name="Column1628"/>
    <tableColumn id="1634" xr3:uid="{A7AB6ED4-5999-4724-A626-CA15884AC367}" name="Column1629"/>
    <tableColumn id="1635" xr3:uid="{34965C61-4928-4DCB-9FD2-DF5AD51FB66F}" name="Column1630"/>
    <tableColumn id="1636" xr3:uid="{DCDC0E12-B665-44F4-8CB9-F3F24E043191}" name="Column1631"/>
    <tableColumn id="1637" xr3:uid="{A9C55FEE-CEF6-4850-A1B0-41DD31BBA798}" name="Column1632"/>
    <tableColumn id="1638" xr3:uid="{200920B8-2533-489A-A5B1-8C3ECAF4E4CC}" name="Column1633"/>
    <tableColumn id="1639" xr3:uid="{154084E0-90CF-4280-A2B8-E1146DD4D27F}" name="Column1634"/>
    <tableColumn id="1640" xr3:uid="{D879760E-8E2E-41B0-A54E-515A285F85F9}" name="Column1635"/>
    <tableColumn id="1641" xr3:uid="{183532D5-1372-4D87-9DCA-53C32C3E2AFA}" name="Column1636"/>
    <tableColumn id="1642" xr3:uid="{8B46A28F-B970-4B42-9716-1884ADDBA3BB}" name="Column1637"/>
    <tableColumn id="1643" xr3:uid="{79541C1E-AD60-4A03-80B7-BD5B31957B29}" name="Column1638"/>
    <tableColumn id="1644" xr3:uid="{38A6721D-EF28-4D4D-ABAD-4BAE08FE017B}" name="Column1639"/>
    <tableColumn id="1645" xr3:uid="{4B3946E8-EC19-4D6C-969C-6B17274AFF01}" name="Column1640"/>
    <tableColumn id="1646" xr3:uid="{F3CC44A9-E2C8-448C-9950-51301E71F648}" name="Column1641"/>
    <tableColumn id="1647" xr3:uid="{CA179C93-AF26-4AA6-AC60-354D077CD6F9}" name="Column1642"/>
    <tableColumn id="1648" xr3:uid="{1E550919-1116-4C12-A98D-4AFD3C4B336A}" name="Column1643"/>
    <tableColumn id="1649" xr3:uid="{0B53E401-4052-495B-8303-111AAC26F775}" name="Column1644"/>
    <tableColumn id="1650" xr3:uid="{AC92151D-39A2-41EB-96C8-C9407428EF14}" name="Column1645"/>
    <tableColumn id="1651" xr3:uid="{EF2EB2CD-7066-457A-8CB9-058B99AD14F6}" name="Column1646"/>
    <tableColumn id="1652" xr3:uid="{EA443D02-7F35-4755-8A5E-FC284B94403C}" name="Column1647"/>
    <tableColumn id="1653" xr3:uid="{A6F0C2BB-6390-4DE3-A3CD-412F87DCAA07}" name="Column1648"/>
    <tableColumn id="1654" xr3:uid="{7E5EF90E-3BBB-4C1B-A65D-B324F6761245}" name="Column1649"/>
    <tableColumn id="1655" xr3:uid="{1718B1BB-E901-47E6-A591-4EE75E163B2F}" name="Column1650"/>
    <tableColumn id="1656" xr3:uid="{8C5AE964-D9BE-4ACB-AD37-21147137C94A}" name="Column1651"/>
    <tableColumn id="1657" xr3:uid="{66D8A2FA-5642-4168-8A47-678715B42F13}" name="Column1652"/>
    <tableColumn id="1658" xr3:uid="{F717C486-1914-4607-AA6F-79E1BB412EF8}" name="Column1653"/>
    <tableColumn id="1659" xr3:uid="{34D438F0-E070-4ED6-B17C-6728336DADC8}" name="Column1654"/>
    <tableColumn id="1660" xr3:uid="{A4F413F4-33F8-4325-ABD0-2E51CA4640CF}" name="Column1655"/>
    <tableColumn id="1661" xr3:uid="{09236883-DBDE-41CD-90E8-86E83F7CD8FB}" name="Column1656"/>
    <tableColumn id="1662" xr3:uid="{745305CF-E2AC-48EE-8D29-97C1130BBA62}" name="Column1657"/>
    <tableColumn id="1663" xr3:uid="{3D29A97B-2AA6-4684-939C-BAD4899618BD}" name="Column1658"/>
    <tableColumn id="1664" xr3:uid="{930D6BC2-87F3-4E1C-855B-05BB801E4BB6}" name="Column1659"/>
    <tableColumn id="1665" xr3:uid="{19138BF3-E00F-48C1-A9BE-1257729A9D07}" name="Column1660"/>
    <tableColumn id="1666" xr3:uid="{ACF45914-F866-47B2-8C87-5FCD87DB6894}" name="Column1661"/>
    <tableColumn id="1667" xr3:uid="{188170F6-D831-4303-8A61-CD5D4A5A63C1}" name="Column1662"/>
    <tableColumn id="1668" xr3:uid="{7348241D-DF2E-4C0D-977C-80AB12AF8B57}" name="Column1663"/>
    <tableColumn id="1669" xr3:uid="{CC6830F0-6ED8-4AD3-AE54-4853B46E2402}" name="Column1664"/>
    <tableColumn id="1670" xr3:uid="{06E0C1AD-B8B0-46C6-9C7C-AE7926D2092D}" name="Column1665"/>
    <tableColumn id="1671" xr3:uid="{33D56C34-3033-483D-A64D-2D6E8C547CBB}" name="Column1666"/>
    <tableColumn id="1672" xr3:uid="{BE434E0A-2657-482C-B9C8-5D078D58286E}" name="Column1667"/>
    <tableColumn id="1673" xr3:uid="{61B667E3-BF0A-442A-B31A-8C9FB7CDEBE4}" name="Column1668"/>
    <tableColumn id="1674" xr3:uid="{4BD3C6F2-AE64-486B-B4FB-9267EEAFAD23}" name="Column1669"/>
    <tableColumn id="1675" xr3:uid="{97AE7D16-8AC3-4CEE-B009-9E493FF17EB4}" name="Column1670"/>
    <tableColumn id="1676" xr3:uid="{4DBBB059-C663-4B29-9303-EEBB8BD0C81F}" name="Column1671"/>
    <tableColumn id="1677" xr3:uid="{D49D3252-7DD6-4C44-9510-CCCE53094334}" name="Column1672"/>
    <tableColumn id="1678" xr3:uid="{25784F06-5BFE-4EDF-ACE6-0CC7AB5917C2}" name="Column1673"/>
    <tableColumn id="1679" xr3:uid="{19A05575-3E62-40DF-B539-26333EC3530D}" name="Column1674"/>
    <tableColumn id="1680" xr3:uid="{025C2E5F-FB58-4867-9531-16103B1084A7}" name="Column1675"/>
    <tableColumn id="1681" xr3:uid="{B3DC292D-0C0F-4684-BA1F-8D868F326604}" name="Column1676"/>
    <tableColumn id="1682" xr3:uid="{A4DC965F-584F-4993-A47B-694366DA1F11}" name="Column1677"/>
    <tableColumn id="1683" xr3:uid="{8555B412-924C-42ED-A53D-223C848E4436}" name="Column1678"/>
    <tableColumn id="1684" xr3:uid="{96A931AB-4E1C-496A-A058-00BE8B7458E7}" name="Column1679"/>
    <tableColumn id="1685" xr3:uid="{09FB7756-6C9F-41C1-A3E1-F5F0380AD152}" name="Column1680"/>
    <tableColumn id="1686" xr3:uid="{7BB141DF-31D6-44F6-AEEC-985B860C4EB4}" name="Column1681"/>
    <tableColumn id="1687" xr3:uid="{91AD49F0-BF09-4CC4-B3CE-4EF7122F1C3D}" name="Column1682"/>
    <tableColumn id="1688" xr3:uid="{005DD61A-D1C9-44F2-B470-DA00D378635A}" name="Column1683"/>
    <tableColumn id="1689" xr3:uid="{0D256320-BD56-49A7-B094-639E25689B42}" name="Column1684"/>
    <tableColumn id="1690" xr3:uid="{70B1E781-E967-42C1-ADD8-0528C998E0FC}" name="Column1685"/>
    <tableColumn id="1691" xr3:uid="{0CDDF003-A241-4B14-BF1A-1831C73E25BC}" name="Column1686"/>
    <tableColumn id="1692" xr3:uid="{FAECA0F1-3406-4C59-8C12-81BFA69693BD}" name="Column1687"/>
    <tableColumn id="1693" xr3:uid="{92926AA5-28DE-4204-B769-F43983DFBBA7}" name="Column1688"/>
    <tableColumn id="1694" xr3:uid="{0CBBF2AA-2A09-450A-8EB5-C90B770FDF6F}" name="Column1689"/>
    <tableColumn id="1695" xr3:uid="{2540A757-6B22-491F-A8A3-545440EB0533}" name="Column1690"/>
    <tableColumn id="1696" xr3:uid="{B1A7E744-E8F9-4E7C-92BA-7DDBA83B224A}" name="Column1691"/>
    <tableColumn id="1697" xr3:uid="{EF9DBE89-3F9A-40B4-AF80-879E26413282}" name="Column1692"/>
    <tableColumn id="1698" xr3:uid="{AE932C3D-2555-4A33-A9F6-D42AA93A5B05}" name="Column1693"/>
    <tableColumn id="1699" xr3:uid="{042D9DFE-E498-49DE-95F0-3CAF1B08EC36}" name="Column1694"/>
    <tableColumn id="1700" xr3:uid="{44D88E43-F006-4AE8-AB4A-619F8B6459CC}" name="Column1695"/>
    <tableColumn id="1701" xr3:uid="{DCAE081D-01D4-49F3-9E46-2D008D72B9D1}" name="Column1696"/>
    <tableColumn id="1702" xr3:uid="{762889C9-D6B5-4851-ABED-AFAB8ACF3D49}" name="Column1697"/>
    <tableColumn id="1703" xr3:uid="{5B4F826C-A4AF-4ED9-87A0-8DC16B6BBC46}" name="Column1698"/>
    <tableColumn id="1704" xr3:uid="{A76B4B4B-DD35-4464-8796-FC8CEA1AD3EE}" name="Column1699"/>
    <tableColumn id="1705" xr3:uid="{AEF586F1-9B75-43F9-BF5C-3965A0D99E8C}" name="Column1700"/>
    <tableColumn id="1706" xr3:uid="{845279C3-FB84-4531-934A-F5CAB04A3886}" name="Column1701"/>
    <tableColumn id="1707" xr3:uid="{23D40696-B79B-4166-9543-0EC77BFC1943}" name="Column1702"/>
    <tableColumn id="1708" xr3:uid="{CFBF06AF-0D5B-4EB0-8629-EB96EDED2707}" name="Column1703"/>
    <tableColumn id="1709" xr3:uid="{93E9E4AC-1418-4A8F-9464-058B6869FFF4}" name="Column1704"/>
    <tableColumn id="1710" xr3:uid="{52FC1E69-5302-442F-83EE-8BE9B689AFD8}" name="Column1705"/>
    <tableColumn id="1711" xr3:uid="{8C7434B9-D2EA-45D0-944D-F3000FCF6E8F}" name="Column1706"/>
    <tableColumn id="1712" xr3:uid="{7A1A4F8B-5A29-48EF-ADE9-15701AA90A3E}" name="Column1707"/>
    <tableColumn id="1713" xr3:uid="{E8D2CA63-D4B4-46A9-BBC5-0C992FB4769C}" name="Column1708"/>
    <tableColumn id="1714" xr3:uid="{57AFF21E-39AA-4D37-833A-36D8F56781CF}" name="Column1709"/>
    <tableColumn id="1715" xr3:uid="{9694D9DD-55D8-4156-A090-3D4A4A1482D4}" name="Column1710"/>
    <tableColumn id="1716" xr3:uid="{8A583F70-E553-464B-B8FF-CE26DF7F7E7B}" name="Column1711"/>
    <tableColumn id="1717" xr3:uid="{87A784AC-1CD4-4EA5-9C82-C35D6D50A1E6}" name="Column1712"/>
    <tableColumn id="1718" xr3:uid="{CD44E68D-142D-49FC-8A61-1EC544CCAF9D}" name="Column1713"/>
    <tableColumn id="1719" xr3:uid="{EB7896F5-06A7-4D06-8D9C-567737EEC7C0}" name="Column1714"/>
    <tableColumn id="1720" xr3:uid="{6102D0CE-392F-48B4-B7ED-9EDF2B3BCC20}" name="Column1715"/>
    <tableColumn id="1721" xr3:uid="{215A1D05-F98D-4851-8F2A-C29027597483}" name="Column1716"/>
    <tableColumn id="1722" xr3:uid="{5A95D386-A77E-4F2B-BA46-120DAA28C053}" name="Column1717"/>
    <tableColumn id="1723" xr3:uid="{F99BC0B2-334D-4628-B6F7-7445EAFF920D}" name="Column1718"/>
    <tableColumn id="1724" xr3:uid="{EC9B8268-CE31-40E0-8EB9-8F7AB144434C}" name="Column1719"/>
    <tableColumn id="1725" xr3:uid="{3A938EF4-473D-43F9-8F3C-73A69AC666AE}" name="Column1720"/>
    <tableColumn id="1726" xr3:uid="{688506F6-AD07-43B9-BB56-65EECF6B77B4}" name="Column1721"/>
    <tableColumn id="1727" xr3:uid="{BB019904-626E-4B1A-A88D-2487EBAA051D}" name="Column1722"/>
    <tableColumn id="1728" xr3:uid="{3B9D61C0-4C33-4DF1-83FD-E5B1A334DFF0}" name="Column1723"/>
    <tableColumn id="1729" xr3:uid="{4D37E1A1-1491-48FA-8122-D3DDE2B1B7EF}" name="Column1724"/>
    <tableColumn id="1730" xr3:uid="{F506A645-968D-4206-8236-44359EC7E3C7}" name="Column1725"/>
    <tableColumn id="1731" xr3:uid="{42006B7E-31C4-4CFE-B7CF-A55DE871BE32}" name="Column1726"/>
    <tableColumn id="1732" xr3:uid="{FAFD7887-1CDA-4546-949A-A1070D797819}" name="Column1727"/>
    <tableColumn id="1733" xr3:uid="{5A635423-291B-497B-B6D4-C4D2CA15FC79}" name="Column1728"/>
    <tableColumn id="1734" xr3:uid="{297FE6B5-93A7-49AA-934C-37F65D830D4B}" name="Column1729"/>
    <tableColumn id="1735" xr3:uid="{04F766C6-81BA-4159-8DB6-8B3487D1170E}" name="Column1730"/>
    <tableColumn id="1736" xr3:uid="{B238EFAB-3AF9-4B21-AA32-68361366662E}" name="Column1731"/>
    <tableColumn id="1737" xr3:uid="{AE7E2688-6A00-4A65-83AB-E92F30560CA3}" name="Column1732"/>
    <tableColumn id="1738" xr3:uid="{B31B5A32-4701-4056-A718-612207BE6451}" name="Column1733"/>
    <tableColumn id="1739" xr3:uid="{8E053E11-A675-4D7E-B9D9-588F7556DDCD}" name="Column1734"/>
    <tableColumn id="1740" xr3:uid="{0E12D8BB-446A-49AA-9EE9-D40B3BD772F3}" name="Column1735"/>
    <tableColumn id="1741" xr3:uid="{64FD90F3-0038-402D-B3FA-4A3B69FE04E7}" name="Column1736"/>
    <tableColumn id="1742" xr3:uid="{9D897B6D-890B-499C-ACD2-995902229543}" name="Column1737"/>
    <tableColumn id="1743" xr3:uid="{1B2050D0-3CD7-42E4-B9C9-6452111FBA9F}" name="Column1738"/>
    <tableColumn id="1744" xr3:uid="{38A41CE7-A3D8-4A15-A3E9-F7C57BC99103}" name="Column1739"/>
    <tableColumn id="1745" xr3:uid="{B44E5B98-F132-45BA-9101-091BB84D6146}" name="Column1740"/>
    <tableColumn id="1746" xr3:uid="{D4232C6F-EC3E-42E5-A2CD-9D719507EC0B}" name="Column1741"/>
    <tableColumn id="1747" xr3:uid="{7B02B74B-69BC-410B-9CBE-73D306C24448}" name="Column1742"/>
    <tableColumn id="1748" xr3:uid="{11F8A672-3AE6-4615-91C8-706FD696862B}" name="Column1743"/>
    <tableColumn id="1749" xr3:uid="{EBC18417-DA74-4810-9DA0-A8B2C626B805}" name="Column1744"/>
    <tableColumn id="1750" xr3:uid="{C64804A4-10DE-4F1F-903B-A8EFD8A8390C}" name="Column1745"/>
    <tableColumn id="1751" xr3:uid="{722B26FE-2A95-4A00-89AA-F26B29E9D14E}" name="Column1746"/>
    <tableColumn id="1752" xr3:uid="{2BD11AD9-5D7A-485C-B8F5-0A9FB7C4CBE8}" name="Column1747"/>
    <tableColumn id="1753" xr3:uid="{35A7C329-8211-4B34-A777-63D94C2298E5}" name="Column1748"/>
    <tableColumn id="1754" xr3:uid="{7C47003C-6148-4E38-B2D4-CD5DAA400B97}" name="Column1749"/>
    <tableColumn id="1755" xr3:uid="{F006827C-240F-429E-B02D-33BCC90D7676}" name="Column1750"/>
    <tableColumn id="1756" xr3:uid="{7AAECFC4-A998-4A02-96CD-40AE24235738}" name="Column1751"/>
    <tableColumn id="1757" xr3:uid="{1D110617-7DB7-465D-8CBD-F7DC2B1E1EE8}" name="Column1752"/>
    <tableColumn id="1758" xr3:uid="{FAF2C8D5-BCF5-4E5B-947F-61E655AA7C8E}" name="Column1753"/>
    <tableColumn id="1759" xr3:uid="{15F39E3E-8A2F-47E8-8933-ED5107007C03}" name="Column1754"/>
    <tableColumn id="1760" xr3:uid="{429888A0-EDCA-443F-B568-CFD78FA4246E}" name="Column1755"/>
    <tableColumn id="1761" xr3:uid="{70011DA2-3C84-466B-8A55-0D3781EB505A}" name="Column1756"/>
    <tableColumn id="1762" xr3:uid="{C678FAB5-3ABC-484D-B571-67D854C09346}" name="Column1757"/>
    <tableColumn id="1763" xr3:uid="{539C1211-8768-45EE-A9B8-879790205CCE}" name="Column1758"/>
    <tableColumn id="1764" xr3:uid="{AB86E0C0-F2F9-46FE-8022-18A83AD300BE}" name="Column1759"/>
    <tableColumn id="1765" xr3:uid="{F82C64DA-09B5-484E-BF8C-EF87C135FAE4}" name="Column1760"/>
    <tableColumn id="1766" xr3:uid="{035BB556-554F-499F-83B6-930702640620}" name="Column1761"/>
    <tableColumn id="1767" xr3:uid="{8193218C-F9E0-45D0-91FE-5AFE90587FD1}" name="Column1762"/>
    <tableColumn id="1768" xr3:uid="{72C2BEBC-7C10-404B-87BA-5D3B8DB59587}" name="Column1763"/>
    <tableColumn id="1769" xr3:uid="{EC16254A-EDEF-4540-ABC1-CBF746AAEAD8}" name="Column1764"/>
    <tableColumn id="1770" xr3:uid="{14A5B88D-8959-4926-93E4-C3FD06F35CEF}" name="Column1765"/>
    <tableColumn id="1771" xr3:uid="{7266333B-68ED-460E-9FA9-72D59044E13D}" name="Column1766"/>
    <tableColumn id="1772" xr3:uid="{C1F2CCD5-BEDE-429A-BF1A-D913C4F8A0F5}" name="Column1767"/>
    <tableColumn id="1773" xr3:uid="{1FC37516-05CC-4200-B2DB-834D9EF5DDA9}" name="Column1768"/>
    <tableColumn id="1774" xr3:uid="{5DAA1A23-A365-4B7E-A82F-00905C7986A4}" name="Column1769"/>
    <tableColumn id="1775" xr3:uid="{3C5DBCA3-3FAC-49C2-9B1B-A4C4EB410AE7}" name="Column1770"/>
    <tableColumn id="1776" xr3:uid="{C9702E33-2989-443A-A025-4A33744359A7}" name="Column1771"/>
    <tableColumn id="1777" xr3:uid="{03309842-4567-4CF6-8224-2C3B58933F61}" name="Column1772"/>
    <tableColumn id="1778" xr3:uid="{68289BBC-872D-477B-953C-DFB31DDF1271}" name="Column1773"/>
    <tableColumn id="1779" xr3:uid="{D3027C53-5EC9-487C-807E-749566679850}" name="Column1774"/>
    <tableColumn id="1780" xr3:uid="{52322F09-59E3-4F4E-8E0D-BEA48BADC0C9}" name="Column1775"/>
    <tableColumn id="1781" xr3:uid="{C3CA7EB1-371E-40C5-9BD5-3A1DB2DAE2BD}" name="Column1776"/>
    <tableColumn id="1782" xr3:uid="{84FC2504-74E6-4CE2-9DBD-7FCCD67D70A5}" name="Column1777"/>
    <tableColumn id="1783" xr3:uid="{8B1FF5ED-B7EE-4929-9E01-2F80ED48066A}" name="Column1778"/>
    <tableColumn id="1784" xr3:uid="{1525B126-9870-4D4C-B503-7B57132415DE}" name="Column1779"/>
    <tableColumn id="1785" xr3:uid="{BDA40BFB-DD12-4D83-8D95-2EC8891A11CF}" name="Column1780"/>
    <tableColumn id="1786" xr3:uid="{12808505-5AF4-4AD3-BD52-77A3006EA1B6}" name="Column1781"/>
    <tableColumn id="1787" xr3:uid="{E7ECE56A-30E0-4BED-921D-5496E667A64C}" name="Column1782"/>
    <tableColumn id="1788" xr3:uid="{59C52055-E837-43BB-80EF-62A8009654B4}" name="Column1783"/>
    <tableColumn id="1789" xr3:uid="{BF8619A0-AB8B-44C4-999A-8DD392F530E8}" name="Column1784"/>
    <tableColumn id="1790" xr3:uid="{66AEBA6F-BE1B-47E8-B320-9B73B8970F7B}" name="Column1785"/>
    <tableColumn id="1791" xr3:uid="{05A84D1A-8C5F-416E-89B2-9C667050E079}" name="Column1786"/>
    <tableColumn id="1792" xr3:uid="{7C362419-4A53-49CE-848E-6646C359D767}" name="Column1787"/>
    <tableColumn id="1793" xr3:uid="{4923DAE6-2490-4C12-9615-AAA06E501D7F}" name="Column1788"/>
    <tableColumn id="1794" xr3:uid="{6D39123B-6DE5-45B4-B470-62022CA8CE61}" name="Column1789"/>
    <tableColumn id="1795" xr3:uid="{6FFAD1FD-EC26-4E43-9C2F-616F41A70FEE}" name="Column1790"/>
    <tableColumn id="1796" xr3:uid="{FDF39ACC-1817-4766-8E76-6C023DC6052D}" name="Column1791"/>
    <tableColumn id="1797" xr3:uid="{EBDAABEA-E470-4B94-AE03-547C07A889F5}" name="Column1792"/>
    <tableColumn id="1798" xr3:uid="{A431177D-D27D-4AC9-860C-81402501B362}" name="Column1793"/>
    <tableColumn id="1799" xr3:uid="{E77ECF41-DF4F-4FAA-B533-C44A879D95CE}" name="Column1794"/>
    <tableColumn id="1800" xr3:uid="{E7D96C67-EC0C-4B30-88B3-58E82105EC3A}" name="Column1795"/>
    <tableColumn id="1801" xr3:uid="{D0591EEC-A4A0-4B9F-BA4B-EC551CDF7390}" name="Column1796"/>
    <tableColumn id="1802" xr3:uid="{0F058E93-376E-463D-AE2F-ED738B55FF00}" name="Column1797"/>
    <tableColumn id="1803" xr3:uid="{587BDBCA-DCC2-4628-A1E1-7A0261DF43C9}" name="Column1798"/>
    <tableColumn id="1804" xr3:uid="{EA399F39-3DD1-4750-921C-322A998C4A54}" name="Column1799"/>
    <tableColumn id="1805" xr3:uid="{6ECB3EFA-3ABB-4831-9F69-630DACE4DB17}" name="Column1800"/>
    <tableColumn id="1806" xr3:uid="{BA3A0E91-CE9C-4FF4-AB00-0603A86276CD}" name="Column1801"/>
    <tableColumn id="1807" xr3:uid="{1FFC9361-C579-46B8-AB58-164F5D6795EE}" name="Column1802"/>
    <tableColumn id="1808" xr3:uid="{6BE0070F-D6B7-4058-A335-98D9BEBCF5A9}" name="Column1803"/>
    <tableColumn id="1809" xr3:uid="{9632FC24-9F5E-490E-B520-30B0AEA25339}" name="Column1804"/>
    <tableColumn id="1810" xr3:uid="{9FCA7402-4310-4E47-AB4E-8F5388639996}" name="Column1805"/>
    <tableColumn id="1811" xr3:uid="{74B71B73-93E8-4AFF-9121-B4CA0ED4848B}" name="Column1806"/>
    <tableColumn id="1812" xr3:uid="{5C4D1959-9B5D-4CA1-8247-7716CD321A6D}" name="Column1807"/>
    <tableColumn id="1813" xr3:uid="{7CAB2529-D0B0-4EF2-83F9-1D086320DD2A}" name="Column1808"/>
    <tableColumn id="1814" xr3:uid="{D26DAC63-9AA0-4838-B5C4-458BA62C138B}" name="Column1809"/>
    <tableColumn id="1815" xr3:uid="{F99B88EE-C2A4-422C-851F-7C85BDDE962F}" name="Column1810"/>
    <tableColumn id="1816" xr3:uid="{9AAC48F2-5C38-4B95-99FC-182333D80995}" name="Column1811"/>
    <tableColumn id="1817" xr3:uid="{FF987707-E804-40DF-BFA0-FAA4B65917F7}" name="Column1812"/>
    <tableColumn id="1818" xr3:uid="{649FE9ED-29D0-4932-9C4B-95D9449C825D}" name="Column1813"/>
    <tableColumn id="1819" xr3:uid="{E14F88C9-F5FE-4775-9426-264C74BF5A5D}" name="Column1814"/>
    <tableColumn id="1820" xr3:uid="{DEA91E88-B1BF-40CF-9969-6821C08C9265}" name="Column1815"/>
    <tableColumn id="1821" xr3:uid="{A193DED3-D7E7-4676-908E-C8252D562ED2}" name="Column1816"/>
    <tableColumn id="1822" xr3:uid="{B09EBD76-62BC-4DB9-B649-F0743A24614E}" name="Column1817"/>
    <tableColumn id="1823" xr3:uid="{5CA01EEF-E6CD-43CC-A71E-51053C9EC9DE}" name="Column1818"/>
    <tableColumn id="1824" xr3:uid="{65BB43AF-06C1-4EEB-AB1E-7420B3110AE1}" name="Column1819"/>
    <tableColumn id="1825" xr3:uid="{92C9916C-AF54-46FD-B762-D657B09E5F7C}" name="Column1820"/>
    <tableColumn id="1826" xr3:uid="{BEF32E11-9905-426F-9CEC-DAB58EC0BB0E}" name="Column1821"/>
    <tableColumn id="1827" xr3:uid="{A4FF7B27-B237-4B6D-BFAC-8954783F367B}" name="Column1822"/>
    <tableColumn id="1828" xr3:uid="{243CF983-75B9-4AE4-9CF4-1AB939FE3344}" name="Column1823"/>
    <tableColumn id="1829" xr3:uid="{E2DA81A8-4001-4BE8-95BE-04EBEB277FD7}" name="Column1824"/>
    <tableColumn id="1830" xr3:uid="{8F5657D1-ED37-45A6-9554-35D63F1A9D04}" name="Column1825"/>
    <tableColumn id="1831" xr3:uid="{A4BB077F-A530-483C-BD12-457A8C735C26}" name="Column1826"/>
    <tableColumn id="1832" xr3:uid="{84DC9188-0411-4F3F-9DE8-554216009524}" name="Column1827"/>
    <tableColumn id="1833" xr3:uid="{7801ED0F-0776-41F5-B720-01DA3FE55134}" name="Column1828"/>
    <tableColumn id="1834" xr3:uid="{88005B7B-5064-422A-B46F-C6F2C588163C}" name="Column1829"/>
    <tableColumn id="1835" xr3:uid="{D42D19D9-B23D-415B-AE17-C7FCE266FB88}" name="Column1830"/>
    <tableColumn id="1836" xr3:uid="{D55100EA-5B2A-4E5A-993E-A9A6DCAC4D7B}" name="Column1831"/>
    <tableColumn id="1837" xr3:uid="{30695EE4-5BE6-469A-8F0C-38C9B38D821F}" name="Column1832"/>
    <tableColumn id="1838" xr3:uid="{8745E34A-CDE9-4406-9361-3655174D8086}" name="Column1833"/>
    <tableColumn id="1839" xr3:uid="{46A96731-6384-4954-A83F-E80ECD39E078}" name="Column1834"/>
    <tableColumn id="1840" xr3:uid="{3FD02DEA-2800-4450-B423-F0E73FD46DA1}" name="Column1835"/>
    <tableColumn id="1841" xr3:uid="{7B7F0056-1431-44F6-8402-18326F8FB28B}" name="Column1836"/>
    <tableColumn id="1842" xr3:uid="{C053426E-21AF-40AA-9877-60F755E347CD}" name="Column1837"/>
    <tableColumn id="1843" xr3:uid="{D7DF4AD4-B0C6-42DE-9811-749AF02EDD8E}" name="Column1838"/>
    <tableColumn id="1844" xr3:uid="{0C7C029A-DA14-4751-9B70-D1B70D2953FA}" name="Column1839"/>
    <tableColumn id="1845" xr3:uid="{EC21C3DD-B5C7-40DE-B5E7-FFA4E3A2E2BB}" name="Column1840"/>
    <tableColumn id="1846" xr3:uid="{8C3349E6-AC78-427E-A611-FD040EA867E9}" name="Column1841"/>
    <tableColumn id="1847" xr3:uid="{DE1D85F0-CD88-440D-91F1-B0B941D78749}" name="Column1842"/>
    <tableColumn id="1848" xr3:uid="{C587C3D3-2E81-41B8-87B7-C6770D782688}" name="Column1843"/>
    <tableColumn id="1849" xr3:uid="{C8894020-53CD-480E-ABB3-A41499B11C54}" name="Column1844"/>
    <tableColumn id="1850" xr3:uid="{D1A2917A-AE45-4AD0-980B-99DE8A489AB3}" name="Column1845"/>
    <tableColumn id="1851" xr3:uid="{FB6E8E5B-1141-438F-9759-02F3A9C435CA}" name="Column1846"/>
    <tableColumn id="1852" xr3:uid="{E596B59A-517A-4890-8483-7E331C3E5413}" name="Column1847"/>
    <tableColumn id="1853" xr3:uid="{F3070815-BF2D-4A42-ADEA-4DD1BB57FB28}" name="Column1848"/>
    <tableColumn id="1854" xr3:uid="{71F81F0F-8A6A-4681-8229-A89D4D24AB03}" name="Column1849"/>
    <tableColumn id="1855" xr3:uid="{DAE0774F-DD89-4BF9-86ED-5E97E0F97A71}" name="Column1850"/>
    <tableColumn id="1856" xr3:uid="{91004FC1-26E8-4E96-93A5-6B8B9DBCC940}" name="Column1851"/>
    <tableColumn id="1857" xr3:uid="{62B87B71-544F-4C70-9338-DD8FE160E86E}" name="Column1852"/>
    <tableColumn id="1858" xr3:uid="{4FF4CBC7-2C85-4DCD-A996-A4B2BC012771}" name="Column1853"/>
    <tableColumn id="1859" xr3:uid="{F890C4AC-4F66-458C-860E-C2AF1E434C57}" name="Column1854"/>
    <tableColumn id="1860" xr3:uid="{23016C15-259E-4D5F-BA74-FA077E53B6E7}" name="Column1855"/>
    <tableColumn id="1861" xr3:uid="{57C77136-AB38-4D05-891B-808E52214917}" name="Column1856"/>
    <tableColumn id="1862" xr3:uid="{5C56A78F-17E8-494E-8106-B122732AE7D1}" name="Column1857"/>
    <tableColumn id="1863" xr3:uid="{787AA17B-E66E-49D9-957A-FBF105233B30}" name="Column1858"/>
    <tableColumn id="1864" xr3:uid="{48476802-03B8-4BF2-BEBF-B4FD7BD280C9}" name="Column1859"/>
    <tableColumn id="1865" xr3:uid="{331F6305-8449-407B-96EB-6536B05BE10E}" name="Column1860"/>
    <tableColumn id="1866" xr3:uid="{EB529525-EBB5-43BB-AA3D-DE9871920D79}" name="Column1861"/>
    <tableColumn id="1867" xr3:uid="{44AA29A1-BD80-41C7-865A-CFEE4B518848}" name="Column1862"/>
    <tableColumn id="1868" xr3:uid="{AA92413E-839A-45E8-8B8A-F8DF08B019DE}" name="Column1863"/>
    <tableColumn id="1869" xr3:uid="{F378688C-5B17-4F88-BA64-23DCE60BDF79}" name="Column1864"/>
    <tableColumn id="1870" xr3:uid="{CC5FAE1C-9DCF-42BB-903C-B40D31F987E8}" name="Column1865"/>
    <tableColumn id="1871" xr3:uid="{E9165FAA-05E7-4E83-A3F3-2BC2B1FF5DD8}" name="Column1866"/>
    <tableColumn id="1872" xr3:uid="{AE2C9CE7-371F-4860-BE23-F505725B8783}" name="Column1867"/>
    <tableColumn id="1873" xr3:uid="{7642E528-97E5-48C7-81D4-5B7709DB2B28}" name="Column1868"/>
    <tableColumn id="1874" xr3:uid="{EF3D7330-604E-42E3-8B1E-6D622E53979D}" name="Column1869"/>
    <tableColumn id="1875" xr3:uid="{09F23832-76A6-4818-9DCE-F813DCB4D08E}" name="Column1870"/>
    <tableColumn id="1876" xr3:uid="{5E04100B-45E0-4EA5-9ACA-20ED40172B94}" name="Column1871"/>
    <tableColumn id="1877" xr3:uid="{9A4A8BA8-2F9C-4683-9F9C-E6B2BA86C79C}" name="Column1872"/>
    <tableColumn id="1878" xr3:uid="{48B18476-A86E-4731-BB85-50D3947AE321}" name="Column1873"/>
    <tableColumn id="1879" xr3:uid="{6F4A66A0-13E9-4B46-9EF3-1A7D9F6CE834}" name="Column1874"/>
    <tableColumn id="1880" xr3:uid="{A7DEDD63-1222-4BEA-BE4F-6336CE182EEB}" name="Column1875"/>
    <tableColumn id="1881" xr3:uid="{172FDB7E-4CD6-46BC-A6BE-F31D24775479}" name="Column1876"/>
    <tableColumn id="1882" xr3:uid="{6259ADB6-467D-4472-8289-BB800FD46F4D}" name="Column1877"/>
    <tableColumn id="1883" xr3:uid="{EE1C30E7-5EC4-496D-809A-1B7D9B888A4B}" name="Column1878"/>
    <tableColumn id="1884" xr3:uid="{FA9BB853-F5C9-4DC2-87E3-1AAA06786120}" name="Column1879"/>
    <tableColumn id="1885" xr3:uid="{8F9BA9A4-9DBB-4340-9E2D-B7705F41536A}" name="Column1880"/>
    <tableColumn id="1886" xr3:uid="{36102D18-1656-4501-9F54-3E5EE7BFDE1F}" name="Column1881"/>
    <tableColumn id="1887" xr3:uid="{B799022E-F077-4353-A0E9-3F81457EB038}" name="Column1882"/>
    <tableColumn id="1888" xr3:uid="{E529B444-81F0-4840-B0F0-371C11763FFF}" name="Column1883"/>
    <tableColumn id="1889" xr3:uid="{461279F4-9E15-4E32-A6FE-B127C9645A80}" name="Column1884"/>
    <tableColumn id="1890" xr3:uid="{0E0A7E96-A1ED-48FD-888E-B3B711623373}" name="Column1885"/>
    <tableColumn id="1891" xr3:uid="{5D7F5E40-B120-46A1-968C-E72F40CA63FC}" name="Column1886"/>
    <tableColumn id="1892" xr3:uid="{6C5E1470-7470-4959-898E-4033707D81F1}" name="Column1887"/>
    <tableColumn id="1893" xr3:uid="{4CAB7B61-D8B3-4D75-9D43-3A3CA039B833}" name="Column1888"/>
    <tableColumn id="1894" xr3:uid="{730EC7B0-D5C2-4F8C-9E98-2830AA6EA8F3}" name="Column1889"/>
    <tableColumn id="1895" xr3:uid="{2C75FD2C-2EDB-4E56-9556-B30BBFE65A9E}" name="Column1890"/>
    <tableColumn id="1896" xr3:uid="{28911B85-D6AE-44CD-B30D-7503706870A6}" name="Column1891"/>
    <tableColumn id="1897" xr3:uid="{C456FAA9-1FAF-4DB7-892C-A05036160544}" name="Column1892"/>
    <tableColumn id="1898" xr3:uid="{0EB29053-48F1-4610-8061-546D420C949B}" name="Column1893"/>
    <tableColumn id="1899" xr3:uid="{CC81E66B-1F3A-4E91-8E09-06B4BD5AC6FD}" name="Column1894"/>
    <tableColumn id="1900" xr3:uid="{E1FD7CEA-06BD-4710-A824-D775DC325FF7}" name="Column1895"/>
    <tableColumn id="1901" xr3:uid="{AFDBB407-9BB8-4544-BD7E-77FA5A24F7C5}" name="Column1896"/>
    <tableColumn id="1902" xr3:uid="{2D37C7AF-A69F-49FC-87E5-E94714D330FF}" name="Column1897"/>
    <tableColumn id="1903" xr3:uid="{72EBA9D2-16FE-490F-88A0-14D741FD450A}" name="Column1898"/>
    <tableColumn id="1904" xr3:uid="{EB334AC7-F742-4FFA-9E46-BC7317EC6F4C}" name="Column1899"/>
    <tableColumn id="1905" xr3:uid="{ABEB985F-CB15-4FE6-9668-565AF0F89843}" name="Column1900"/>
    <tableColumn id="1906" xr3:uid="{A63200D9-500A-476C-8537-7E59CC4C6DA3}" name="Column1901"/>
    <tableColumn id="1907" xr3:uid="{F1D00A32-2A89-4FB3-B807-6BB509E317CD}" name="Column1902"/>
    <tableColumn id="1908" xr3:uid="{D1276A90-4268-40D4-BF69-928276CD20FF}" name="Column1903"/>
    <tableColumn id="1909" xr3:uid="{9141FD9F-0C2D-4736-80AA-36EAC7FAB8CF}" name="Column1904"/>
    <tableColumn id="1910" xr3:uid="{D9CDA1E7-DB3C-428F-ABC7-761808B20CDD}" name="Column1905"/>
    <tableColumn id="1911" xr3:uid="{A2CB9A8D-E141-4D96-B375-A478C5781669}" name="Column1906"/>
    <tableColumn id="1912" xr3:uid="{21B8640A-5D47-473F-AB0B-D5E433B17C5B}" name="Column1907"/>
    <tableColumn id="1913" xr3:uid="{F9ED5519-1AFF-45B7-A547-D07C22E5915A}" name="Column1908"/>
    <tableColumn id="1914" xr3:uid="{9AF5129E-D4F3-4110-81FA-65E483C022AC}" name="Column1909"/>
    <tableColumn id="1915" xr3:uid="{07277BC0-D39F-4000-B6E3-8ACAD2533D07}" name="Column1910"/>
    <tableColumn id="1916" xr3:uid="{19562FA3-DED2-4091-B595-443647994175}" name="Column1911"/>
    <tableColumn id="1917" xr3:uid="{90446FBC-BB38-4B46-B89D-DDA0B8AF42CF}" name="Column1912"/>
    <tableColumn id="1918" xr3:uid="{839E8DF0-AD44-474A-9B73-BF20DC4A22A3}" name="Column1913"/>
    <tableColumn id="1919" xr3:uid="{057965B8-6166-4C1F-8975-EB0C41F22FF6}" name="Column1914"/>
    <tableColumn id="1920" xr3:uid="{33E56804-9265-4F53-98C9-911201BECB7E}" name="Column1915"/>
    <tableColumn id="1921" xr3:uid="{47A67979-0BE5-4BE6-A3C2-DE8BBF0CC00C}" name="Column1916"/>
    <tableColumn id="1922" xr3:uid="{9D1F019F-DE80-4C04-B2F3-E6E369E94F49}" name="Column1917"/>
    <tableColumn id="1923" xr3:uid="{D734A2A0-2BE1-483A-B7BB-8B07F4BC1339}" name="Column1918"/>
    <tableColumn id="1924" xr3:uid="{0A8D0400-ECE2-4827-B5D6-DF0B956819ED}" name="Column1919"/>
    <tableColumn id="1925" xr3:uid="{36887969-2E84-4DA6-A272-62664B460B8D}" name="Column1920"/>
    <tableColumn id="1926" xr3:uid="{3AA1A355-8588-49BB-B515-68B7CBDB1DFD}" name="Column1921"/>
    <tableColumn id="1927" xr3:uid="{79127B96-04D5-4059-A898-FB7286C5D60E}" name="Column1922"/>
    <tableColumn id="1928" xr3:uid="{2CFC3F0E-0919-49E8-A82B-8A0BAB832161}" name="Column1923"/>
    <tableColumn id="1929" xr3:uid="{EDF59ECE-5CEC-4C6C-B252-A335892467F9}" name="Column1924"/>
    <tableColumn id="1930" xr3:uid="{EA24B694-F430-4079-AA56-2E36EB6B750A}" name="Column1925"/>
    <tableColumn id="1931" xr3:uid="{A33DD95F-C28B-499F-805C-91B5F17F7CAB}" name="Column1926"/>
    <tableColumn id="1932" xr3:uid="{5520C088-B57F-4CF7-8B5E-E9EFFA8FB6A9}" name="Column1927"/>
    <tableColumn id="1933" xr3:uid="{6A15C59D-DE21-49FF-908C-EC9C2738D46A}" name="Column1928"/>
    <tableColumn id="1934" xr3:uid="{1B581EAC-4BC6-4D52-80BD-43C3F8607EFA}" name="Column1929"/>
    <tableColumn id="1935" xr3:uid="{F5F1A803-AD30-4201-B31B-3AC51F2D5B94}" name="Column1930"/>
    <tableColumn id="1936" xr3:uid="{990C8EF4-111D-4F43-92FF-23AA407BDDBC}" name="Column1931"/>
    <tableColumn id="1937" xr3:uid="{FDA80956-406A-4CCD-91D7-A24842CB8351}" name="Column1932"/>
    <tableColumn id="1938" xr3:uid="{E8FE546B-ACB6-4DC8-8085-BC20B7ACBFA6}" name="Column1933"/>
    <tableColumn id="1939" xr3:uid="{71FB0723-3BB4-47A6-A7EB-6B00E5F2426C}" name="Column1934"/>
    <tableColumn id="1940" xr3:uid="{D56C39AC-BA8F-461D-B0BD-2A69BF4201E4}" name="Column1935"/>
    <tableColumn id="1941" xr3:uid="{ADBE3A96-EFA5-4DB6-8680-48CE88BC5E14}" name="Column1936"/>
    <tableColumn id="1942" xr3:uid="{8FE1F62B-592E-4AF9-9DEC-CAA7E9CA7646}" name="Column1937"/>
    <tableColumn id="1943" xr3:uid="{150FC7D7-E53B-49BB-945C-53A93C7FA55A}" name="Column1938"/>
    <tableColumn id="1944" xr3:uid="{94E11996-03BD-4D82-BF3B-A33CB1DBC85D}" name="Column1939"/>
    <tableColumn id="1945" xr3:uid="{C46C7CDD-257E-42EB-913A-5F74EE4B09F4}" name="Column1940"/>
    <tableColumn id="1946" xr3:uid="{1E2D687D-4063-41AF-9989-8FF200D95005}" name="Column1941"/>
    <tableColumn id="1947" xr3:uid="{B10F536F-8682-41DF-93D4-18435A038E13}" name="Column1942"/>
    <tableColumn id="1948" xr3:uid="{72D29F0E-3F20-4D4D-BA4F-CDD518ADF0C3}" name="Column1943"/>
    <tableColumn id="1949" xr3:uid="{228EACC9-1868-46DB-A927-66B67747B194}" name="Column1944"/>
    <tableColumn id="1950" xr3:uid="{EEC851EA-685F-4B40-9AC6-FC254FD49952}" name="Column1945"/>
    <tableColumn id="1951" xr3:uid="{A11BDA6C-2C91-4F26-9CC7-BA0282791E9C}" name="Column1946"/>
    <tableColumn id="1952" xr3:uid="{7CE34F12-010E-4C70-B309-BE6F63C565C0}" name="Column1947"/>
    <tableColumn id="1953" xr3:uid="{02E63492-608B-4705-A168-287E7F90501E}" name="Column1948"/>
    <tableColumn id="1954" xr3:uid="{94F5E123-080D-4D21-8BFF-720929499EB6}" name="Column1949"/>
    <tableColumn id="1955" xr3:uid="{A06E8D01-8299-48DB-B54C-30104AD7B7B9}" name="Column1950"/>
    <tableColumn id="1956" xr3:uid="{64F14706-F5B6-4441-9AA3-9C7263FCD4F9}" name="Column1951"/>
    <tableColumn id="1957" xr3:uid="{68F303FE-EF65-4B51-96C0-71958AFF5930}" name="Column1952"/>
    <tableColumn id="1958" xr3:uid="{DAE31992-8934-448D-98E3-8325858E48F2}" name="Column1953"/>
    <tableColumn id="1959" xr3:uid="{530074A0-1CA7-470C-BE79-69982F486D78}" name="Column1954"/>
    <tableColumn id="1960" xr3:uid="{CB52E775-7072-41C7-AD2E-799FA9C87DB4}" name="Column1955"/>
    <tableColumn id="1961" xr3:uid="{77117E12-B08D-4E78-996E-87E71010774D}" name="Column1956"/>
    <tableColumn id="1962" xr3:uid="{8702949B-75CD-4BD4-89F4-8B5E0ABE518E}" name="Column1957"/>
    <tableColumn id="1963" xr3:uid="{95DE63DC-60AC-400E-9730-146C3FADA7F7}" name="Column1958"/>
    <tableColumn id="1964" xr3:uid="{1873F7C2-6B4F-491B-93EF-89C50B008BC7}" name="Column1959"/>
    <tableColumn id="1965" xr3:uid="{975DA3E7-60EB-4CEE-AAA8-ED93864BE3B9}" name="Column1960"/>
    <tableColumn id="1966" xr3:uid="{3328F79B-CDA6-48D0-82C9-999338F04A10}" name="Column1961"/>
    <tableColumn id="1967" xr3:uid="{986DC524-7509-4A02-A49E-CA67A1CD5A55}" name="Column1962"/>
    <tableColumn id="1968" xr3:uid="{0F32B25A-8F55-4E43-A6CE-FCBB307E30CF}" name="Column1963"/>
    <tableColumn id="1969" xr3:uid="{4FF8E20A-FCF1-4819-834F-5A6978AC7B92}" name="Column1964"/>
    <tableColumn id="1970" xr3:uid="{5962AEDD-4017-44AF-AF9B-0244722DA8BE}" name="Column1965"/>
    <tableColumn id="1971" xr3:uid="{8870F6D6-CB68-49E2-AC75-41926DF13AC4}" name="Column1966"/>
    <tableColumn id="1972" xr3:uid="{A20B2A73-79A5-4430-812E-BD447DF71058}" name="Column1967"/>
    <tableColumn id="1973" xr3:uid="{F2D2FC36-E25F-4687-A483-63054741DCC0}" name="Column1968"/>
    <tableColumn id="1974" xr3:uid="{39787562-2A44-4031-8E2E-4F9E19458E88}" name="Column1969"/>
    <tableColumn id="1975" xr3:uid="{BD8544A6-1234-4B24-B886-B9D02332199C}" name="Column1970"/>
    <tableColumn id="1976" xr3:uid="{D5C9C522-2A68-4420-B055-082A977FFB2F}" name="Column1971"/>
    <tableColumn id="1977" xr3:uid="{4E0C35C9-2720-415B-A9B4-5A80C4397600}" name="Column1972"/>
    <tableColumn id="1978" xr3:uid="{9C17F433-E693-4EDC-AC3E-1A47875A4949}" name="Column1973"/>
    <tableColumn id="1979" xr3:uid="{878096D9-4E04-4F45-914E-9650D50FB102}" name="Column1974"/>
    <tableColumn id="1980" xr3:uid="{3D2ECF76-066D-4706-B99E-3CE2075E523A}" name="Column1975"/>
    <tableColumn id="1981" xr3:uid="{B0308A0B-5768-4C91-BDF3-496B69F03BEB}" name="Column1976"/>
    <tableColumn id="1982" xr3:uid="{53E6C781-BC14-4CC9-A92C-89C207821E8F}" name="Column1977"/>
    <tableColumn id="1983" xr3:uid="{3DFC4E10-7A32-4E90-8B36-B92BD6C8BB5F}" name="Column1978"/>
    <tableColumn id="1984" xr3:uid="{3461DCAC-5099-4739-A2FB-3D591AB270D8}" name="Column1979"/>
    <tableColumn id="1985" xr3:uid="{05B9122C-A8F1-46B3-8FA0-F0123CFE8668}" name="Column1980"/>
    <tableColumn id="1986" xr3:uid="{8C5899C0-CF85-43A4-81A0-8AC5066892EF}" name="Column1981"/>
    <tableColumn id="1987" xr3:uid="{2DCE831B-7FE3-4B76-9339-A484A4E7E13F}" name="Column1982"/>
    <tableColumn id="1988" xr3:uid="{1BA9CF64-A429-4D9A-83D9-000280AF1DA3}" name="Column1983"/>
    <tableColumn id="1989" xr3:uid="{B1B1214D-15CE-4A7D-A0C4-20E0ABA0B538}" name="Column1984"/>
    <tableColumn id="1990" xr3:uid="{AEF9D9C3-AE06-4CA1-A6EF-8B4C07C3D032}" name="Column1985"/>
    <tableColumn id="1991" xr3:uid="{C73A4864-4199-43EB-8FD8-58F6F52E2AA2}" name="Column1986"/>
    <tableColumn id="1992" xr3:uid="{6E552A1A-B01C-4D57-AC38-644220E6828C}" name="Column1987"/>
    <tableColumn id="1993" xr3:uid="{62B89933-5F05-4E87-AE2C-D619DA3C4FE2}" name="Column1988"/>
    <tableColumn id="1994" xr3:uid="{45875E58-13EF-48C8-9DB7-78E365C56C8F}" name="Column1989"/>
    <tableColumn id="1995" xr3:uid="{79E2AB24-512B-4198-82A5-9F26BEDBAC75}" name="Column1990"/>
    <tableColumn id="1996" xr3:uid="{AF78E7E2-AB1D-488A-8FE7-4C55658B0562}" name="Column1991"/>
    <tableColumn id="1997" xr3:uid="{C983CF70-9D4D-4644-B01F-6AC278E1570D}" name="Column1992"/>
    <tableColumn id="1998" xr3:uid="{078E564B-9FF1-49BE-AC16-36E1EB2A2CA1}" name="Column1993"/>
    <tableColumn id="1999" xr3:uid="{5848190D-42CF-4173-80F3-00148304F412}" name="Column1994"/>
    <tableColumn id="2000" xr3:uid="{340FCB66-9C88-475D-A20B-B6B136D42CB8}" name="Column1995"/>
    <tableColumn id="2001" xr3:uid="{CB272081-D3AF-4E58-B327-647DD9496B0E}" name="Column1996"/>
    <tableColumn id="2002" xr3:uid="{6294B6F4-AEAB-4D5E-9103-54602EE8ED21}" name="Column1997"/>
    <tableColumn id="2003" xr3:uid="{D3E466D0-A0C5-497C-9448-F3EBC612C7CE}" name="Column1998"/>
    <tableColumn id="2004" xr3:uid="{90BCF093-DA29-47DA-BEBD-1A4CDF199A9F}" name="Column1999"/>
    <tableColumn id="2005" xr3:uid="{629AF03C-D525-4E53-AA72-0988DC3FD590}" name="Column2000"/>
    <tableColumn id="2006" xr3:uid="{82628A5E-C94B-4C6B-8473-50C085263DA1}" name="Column2001"/>
    <tableColumn id="2007" xr3:uid="{1AD283CC-0ABA-4D4B-B7C8-F4CB14E62BD3}" name="Column2002"/>
    <tableColumn id="2008" xr3:uid="{1B189F2F-FE3A-47AA-AD8B-A7A8713D729C}" name="Column2003"/>
    <tableColumn id="2009" xr3:uid="{9AC54005-9596-4E56-8B90-A1E792119AE5}" name="Column2004"/>
    <tableColumn id="2010" xr3:uid="{216D7E66-4C86-4B41-8F87-7FF156E76E3E}" name="Column2005"/>
    <tableColumn id="2011" xr3:uid="{1787A30C-7862-4E31-B5D8-66C779DC581C}" name="Column2006"/>
    <tableColumn id="2012" xr3:uid="{7BA60A7A-2C0C-472B-8687-76AA8BD44D46}" name="Column2007"/>
    <tableColumn id="2013" xr3:uid="{3FE8598E-7C7A-4658-A73E-C6E19D8A8D4D}" name="Column2008"/>
    <tableColumn id="2014" xr3:uid="{85AD9B53-06E7-403F-8E39-3894C9C7C20F}" name="Column2009"/>
    <tableColumn id="2015" xr3:uid="{1C833920-C08D-40E3-B4F7-59A67EB6B44F}" name="Column2010"/>
    <tableColumn id="2016" xr3:uid="{E1ED56C8-6F15-4819-B9DC-2F49964759DA}" name="Column2011"/>
    <tableColumn id="2017" xr3:uid="{BFFF61E9-F6AA-42CC-82B2-4C007858F283}" name="Column2012"/>
    <tableColumn id="2018" xr3:uid="{6862D663-C1C6-44BD-B7B6-4D6907FFE035}" name="Column2013"/>
    <tableColumn id="2019" xr3:uid="{BB3FCF45-55EF-425F-BFB2-C4DCA042D480}" name="Column2014"/>
    <tableColumn id="2020" xr3:uid="{3D0CA953-8B19-440B-94E8-E0058B40C87E}" name="Column2015"/>
    <tableColumn id="2021" xr3:uid="{0FF3DB28-EF0B-44DD-A6FC-943893DFA0E1}" name="Column2016"/>
    <tableColumn id="2022" xr3:uid="{0F706C42-123D-4A6D-8062-3A5561BD2917}" name="Column2017"/>
    <tableColumn id="2023" xr3:uid="{ABBAF4C5-B49B-4C25-855A-7E1713351EA0}" name="Column2018"/>
    <tableColumn id="2024" xr3:uid="{0BEC43E8-1F06-40C6-B256-6F0A83C5D210}" name="Column2019"/>
    <tableColumn id="2025" xr3:uid="{99B74D6F-4E6A-45FE-B7A9-3167DD2CB44D}" name="Column2020"/>
    <tableColumn id="2026" xr3:uid="{F44F197F-3ABA-4514-9A57-C0BA8F3480FA}" name="Column2021"/>
    <tableColumn id="2027" xr3:uid="{F1764E32-7AF9-4C45-BB8B-B4D5DDA3E1F8}" name="Column2022"/>
    <tableColumn id="2028" xr3:uid="{9DB1CAF1-9223-41AD-9EBB-670DF80D6DF2}" name="Column2023"/>
    <tableColumn id="2029" xr3:uid="{DA4361C3-1451-4F34-BD77-ED0F4189C07B}" name="Column2024"/>
    <tableColumn id="2030" xr3:uid="{F1063DA2-BA5D-424C-AC45-D2C01814A459}" name="Column2025"/>
    <tableColumn id="2031" xr3:uid="{D302AE62-A6DE-4CA0-9A14-BF21A943F4D0}" name="Column2026"/>
    <tableColumn id="2032" xr3:uid="{D3545126-98AA-4A5C-A554-BA56DDC1FC52}" name="Column2027"/>
    <tableColumn id="2033" xr3:uid="{7106E395-642D-46A3-A097-5F9C074E95BD}" name="Column2028"/>
    <tableColumn id="2034" xr3:uid="{6E6EE457-FFC1-4FB1-B2CE-6EA6CBEF53C1}" name="Column2029"/>
    <tableColumn id="2035" xr3:uid="{27576B08-9A61-4288-B53F-6AE5FC7B56BA}" name="Column2030"/>
    <tableColumn id="2036" xr3:uid="{10AA57C7-4442-4664-9DCD-26479518B49E}" name="Column2031"/>
    <tableColumn id="2037" xr3:uid="{F2B8B61C-253D-4549-AD1D-097025886879}" name="Column2032"/>
    <tableColumn id="2038" xr3:uid="{375F6843-DE61-4B2B-9606-8E978A3FA08A}" name="Column2033"/>
    <tableColumn id="2039" xr3:uid="{CE4A123E-9BC7-450F-8F05-1F31F8F8CDC4}" name="Column2034"/>
    <tableColumn id="2040" xr3:uid="{64C64588-81DD-41DA-B2CE-4C422BAE290F}" name="Column2035"/>
    <tableColumn id="2041" xr3:uid="{137CD7BB-2F05-4E9D-9543-36407D2AD84E}" name="Column2036"/>
    <tableColumn id="2042" xr3:uid="{45B6F99B-66B5-4BC4-B109-80705426D245}" name="Column2037"/>
    <tableColumn id="2043" xr3:uid="{26EFD903-DB09-4DF4-B93D-F0F0A0550497}" name="Column2038"/>
    <tableColumn id="2044" xr3:uid="{DD77B7DA-E246-4C4D-9059-0EA42C9C5CC7}" name="Column2039"/>
    <tableColumn id="2045" xr3:uid="{AA60B3CC-D729-4C28-8193-4AE1C72D23AA}" name="Column2040"/>
    <tableColumn id="2046" xr3:uid="{85F1ACFA-7E69-4C53-8823-77BE704326B6}" name="Column2041"/>
    <tableColumn id="2047" xr3:uid="{DC4E0E41-A80E-46D5-BBB3-CE5D2EA94B4E}" name="Column2042"/>
    <tableColumn id="2048" xr3:uid="{8786C649-EF58-40FC-B1DE-F7FEA35DEB21}" name="Column2043"/>
    <tableColumn id="2049" xr3:uid="{E9AAC31A-AEA9-4337-937F-D77ABAF3978D}" name="Column2044"/>
    <tableColumn id="2050" xr3:uid="{5C16D97D-9A6C-4F3D-ADE9-ADAAE6C3EB16}" name="Column2045"/>
    <tableColumn id="2051" xr3:uid="{F998252A-FC9C-4CC1-88D7-6B8F97222FED}" name="Column2046"/>
    <tableColumn id="2052" xr3:uid="{BDF5966B-BEFB-47BD-8B1B-AC23AEDEB210}" name="Column2047"/>
    <tableColumn id="2053" xr3:uid="{911DE73C-3770-4A73-AF02-951B974AEEA8}" name="Column2048"/>
    <tableColumn id="2054" xr3:uid="{A214A251-3BD6-4E51-8D9F-E3ADD35F045E}" name="Column2049"/>
    <tableColumn id="2055" xr3:uid="{E46B33DE-5C1D-47F9-BCA3-479EE27A4D6B}" name="Column2050"/>
    <tableColumn id="2056" xr3:uid="{B913CA4B-5C93-43E8-9CD8-30829017636B}" name="Column2051"/>
    <tableColumn id="2057" xr3:uid="{998BA4CA-C2C2-4624-9495-5B29E9BC2978}" name="Column2052"/>
    <tableColumn id="2058" xr3:uid="{D594486E-8916-41F9-BF2E-89DE5187EE3E}" name="Column2053"/>
    <tableColumn id="2059" xr3:uid="{EC08DD1C-93B4-44C4-B763-B1D2DFF38F1D}" name="Column2054"/>
    <tableColumn id="2060" xr3:uid="{FEC506B7-D20A-4905-A2B2-7DD89B9D76A2}" name="Column2055"/>
    <tableColumn id="2061" xr3:uid="{256951E8-E278-47FA-9442-4730688BB678}" name="Column2056"/>
    <tableColumn id="2062" xr3:uid="{1B82CB64-5530-429D-A830-3361EADA4FB9}" name="Column2057"/>
    <tableColumn id="2063" xr3:uid="{8C5FF6BC-9070-4BA5-B173-7852B3621D42}" name="Column2058"/>
    <tableColumn id="2064" xr3:uid="{11EF5FCF-88DD-41AF-9B31-F86A6D949541}" name="Column2059"/>
    <tableColumn id="2065" xr3:uid="{4AEECA5B-1051-4020-A995-44B911A596E0}" name="Column2060"/>
    <tableColumn id="2066" xr3:uid="{8D73318F-5D63-49BE-A36B-CFD2667126EC}" name="Column2061"/>
    <tableColumn id="2067" xr3:uid="{6300D67F-66E6-45D1-8A47-3CE0308B3DCF}" name="Column2062"/>
    <tableColumn id="2068" xr3:uid="{8FD0970F-CDEC-4888-A526-7F13A400A83C}" name="Column2063"/>
    <tableColumn id="2069" xr3:uid="{AACA72E7-142B-4948-9C0E-1A9136A5D7FB}" name="Column2064"/>
    <tableColumn id="2070" xr3:uid="{3ED5DCD4-3C73-4555-91EF-F30FC9D2917E}" name="Column2065"/>
    <tableColumn id="2071" xr3:uid="{80C87971-7085-4A50-949C-AB57589A86DA}" name="Column2066"/>
    <tableColumn id="2072" xr3:uid="{0269F546-85A9-4EC7-9426-93BD2340192B}" name="Column2067"/>
    <tableColumn id="2073" xr3:uid="{A6B4EEEC-6510-40DC-9508-0405B8C23056}" name="Column2068"/>
    <tableColumn id="2074" xr3:uid="{05295E10-4277-49B0-A995-5F06D1285617}" name="Column2069"/>
    <tableColumn id="2075" xr3:uid="{2A5A2E2F-523F-46CD-ACD7-BF4C29E628D3}" name="Column2070"/>
    <tableColumn id="2076" xr3:uid="{E7C528FE-3BB6-48D3-8BDB-8990E5A5705C}" name="Column2071"/>
    <tableColumn id="2077" xr3:uid="{DF2EAB9E-07B2-4B72-AD8A-D549449AE06D}" name="Column2072"/>
    <tableColumn id="2078" xr3:uid="{361B7030-C9E8-48BF-B6FB-AA549D6B99F5}" name="Column2073"/>
    <tableColumn id="2079" xr3:uid="{3CDA1D76-1B9B-4596-907B-31858E5041FE}" name="Column2074"/>
    <tableColumn id="2080" xr3:uid="{9509CBC6-71F3-476C-B667-C52860B19341}" name="Column2075"/>
    <tableColumn id="2081" xr3:uid="{D0B98145-4CC4-40B0-80B8-1580E441ED2F}" name="Column2076"/>
    <tableColumn id="2082" xr3:uid="{D95586EE-D756-4E8F-B486-1FBA0AE1A533}" name="Column2077"/>
    <tableColumn id="2083" xr3:uid="{F2B34A91-4096-4182-8D5D-2D14393568CE}" name="Column2078"/>
    <tableColumn id="2084" xr3:uid="{1C7D431D-69F6-42A7-9000-54893AB1732A}" name="Column2079"/>
    <tableColumn id="2085" xr3:uid="{5A34CCA0-941D-4623-B1B7-35BCFB1F405D}" name="Column2080"/>
    <tableColumn id="2086" xr3:uid="{7FE3C40C-C3B3-424E-A6D1-47D69D41CCEB}" name="Column2081"/>
    <tableColumn id="2087" xr3:uid="{2B7EA654-AE07-4850-95B7-05C3CB73D95A}" name="Column2082"/>
    <tableColumn id="2088" xr3:uid="{F3B57B79-CFEC-4227-BA64-262BA1C98026}" name="Column2083"/>
    <tableColumn id="2089" xr3:uid="{2123A52C-C0A3-4AE9-AB1E-75D70562D44C}" name="Column2084"/>
    <tableColumn id="2090" xr3:uid="{1B7D8B20-235B-4798-BB22-8503FD59A5BE}" name="Column2085"/>
    <tableColumn id="2091" xr3:uid="{D2A4AFDA-1E88-47DD-8E1A-44B79388A594}" name="Column2086"/>
    <tableColumn id="2092" xr3:uid="{BEF4429A-A9BA-4EF4-B75C-32779A8B6A71}" name="Column2087"/>
    <tableColumn id="2093" xr3:uid="{9496DC6C-9DCE-4CB0-9C9A-F26F6FEE9418}" name="Column2088"/>
    <tableColumn id="2094" xr3:uid="{A2D176F9-C343-4B9E-BAD0-4D8C1DE14683}" name="Column2089"/>
    <tableColumn id="2095" xr3:uid="{B489279F-6D80-46B7-BD81-57D45EFC35F7}" name="Column2090"/>
    <tableColumn id="2096" xr3:uid="{4C311B41-2F1A-4C7E-96F7-10339B686189}" name="Column2091"/>
    <tableColumn id="2097" xr3:uid="{1B72A5A6-34E4-4E77-92CE-435C7703C872}" name="Column2092"/>
    <tableColumn id="2098" xr3:uid="{4C378578-C7E1-4826-95BD-CCAE5975DC39}" name="Column2093"/>
    <tableColumn id="2099" xr3:uid="{C5FD3C0A-A26D-4360-A0D1-50F2E6B89668}" name="Column2094"/>
    <tableColumn id="2100" xr3:uid="{5BE68AE8-BF8D-4F47-8796-63A2C9083E6D}" name="Column2095"/>
    <tableColumn id="2101" xr3:uid="{8EFC4D90-4020-44DD-9BEC-381675F28383}" name="Column2096"/>
    <tableColumn id="2102" xr3:uid="{2CF5EFBD-8E31-4084-A061-054AB2335F9F}" name="Column2097"/>
    <tableColumn id="2103" xr3:uid="{4716A50B-5328-473C-BAD2-AD04B60866FF}" name="Column2098"/>
    <tableColumn id="2104" xr3:uid="{1F4ABEB8-B6F0-4D20-A41F-08649A1E34D1}" name="Column2099"/>
    <tableColumn id="2105" xr3:uid="{24B60466-76DB-4673-8F7C-ACAA9E2D7AF1}" name="Column2100"/>
    <tableColumn id="2106" xr3:uid="{8511FFA2-B991-41EC-A46D-5AF5D66504EF}" name="Column2101"/>
    <tableColumn id="2107" xr3:uid="{ECD1800B-4503-4D4A-AF01-F030EE1B3F50}" name="Column2102"/>
    <tableColumn id="2108" xr3:uid="{5DA07461-FD11-413F-A2BD-AF4E2FF782A1}" name="Column2103"/>
    <tableColumn id="2109" xr3:uid="{20E7B10E-8C23-4873-9076-DE4933E03A63}" name="Column2104"/>
    <tableColumn id="2110" xr3:uid="{37F8A0C3-CB26-4BEC-8596-39CCBC1F1501}" name="Column2105"/>
    <tableColumn id="2111" xr3:uid="{9CDA2754-470C-40B7-8D62-49E7590E2F26}" name="Column2106"/>
    <tableColumn id="2112" xr3:uid="{5C28B098-DFF6-4500-924B-F7E3D5F48F00}" name="Column2107"/>
    <tableColumn id="2113" xr3:uid="{080D4B82-F7CA-475E-98E8-837FECDB11AD}" name="Column2108"/>
    <tableColumn id="2114" xr3:uid="{246CAE7F-7ADA-4278-898C-33E9D32F2EC4}" name="Column2109"/>
    <tableColumn id="2115" xr3:uid="{15672E3F-EEF8-4BBA-AB20-332A968B8D4B}" name="Column2110"/>
    <tableColumn id="2116" xr3:uid="{8C5440E2-460C-4107-9B0A-9A355EBD8BB5}" name="Column2111"/>
    <tableColumn id="2117" xr3:uid="{BEA0CFA9-64E1-48C2-BBBB-5ECC67C20E16}" name="Column2112"/>
    <tableColumn id="2118" xr3:uid="{14ABEC2D-8FEE-4D47-95E3-48D898C7D94C}" name="Column2113"/>
    <tableColumn id="2119" xr3:uid="{079E0C80-4CE7-4A66-A593-C08A489C52F0}" name="Column2114"/>
    <tableColumn id="2120" xr3:uid="{E13ABB70-3576-460B-A2AC-735769453BCA}" name="Column2115"/>
    <tableColumn id="2121" xr3:uid="{82CDC6E8-FD80-4D38-B054-1820201F62F6}" name="Column2116"/>
    <tableColumn id="2122" xr3:uid="{622CF080-5057-406C-9C25-CFE3C73FB8A9}" name="Column2117"/>
    <tableColumn id="2123" xr3:uid="{98AE221C-E8D4-4FD0-B8C3-8E986C813D2D}" name="Column2118"/>
    <tableColumn id="2124" xr3:uid="{F51EF719-A35D-40CD-BA5A-BA0CA2E9D040}" name="Column2119"/>
    <tableColumn id="2125" xr3:uid="{C5AD543E-6F6B-4B75-9BDC-203442D1F4BD}" name="Column2120"/>
    <tableColumn id="2126" xr3:uid="{11A8171B-FC74-4EF4-9D9C-7E743DD9812A}" name="Column2121"/>
    <tableColumn id="2127" xr3:uid="{A04D09D4-EC0B-408D-ABC5-3890E9D94AA2}" name="Column2122"/>
    <tableColumn id="2128" xr3:uid="{704634D6-A8F0-4AD4-B862-ACD6A39726D9}" name="Column2123"/>
    <tableColumn id="2129" xr3:uid="{C9CC1972-D1CF-42C2-B3DF-CF686A36F7DA}" name="Column2124"/>
    <tableColumn id="2130" xr3:uid="{A8C60B08-E95F-4C0F-833B-02D87C5C9677}" name="Column2125"/>
    <tableColumn id="2131" xr3:uid="{84A58BF5-365F-4229-929F-DC45F3E1B3C0}" name="Column2126"/>
    <tableColumn id="2132" xr3:uid="{CB73A88F-7CAA-49F4-B0CA-1940EE4E9A65}" name="Column2127"/>
    <tableColumn id="2133" xr3:uid="{EE61368E-5D52-4996-ABA5-6124DF8D9859}" name="Column2128"/>
    <tableColumn id="2134" xr3:uid="{47A0CB41-F6D7-43F1-8AF6-106A03184FAB}" name="Column2129"/>
    <tableColumn id="2135" xr3:uid="{EF68C28E-3FCB-411B-AEC5-1EB1B0C9A516}" name="Column2130"/>
    <tableColumn id="2136" xr3:uid="{82F56875-A9B5-44C5-AEC1-4687B0B9D807}" name="Column2131"/>
    <tableColumn id="2137" xr3:uid="{D895114C-0212-4C68-9C02-8B64A31222BF}" name="Column2132"/>
    <tableColumn id="2138" xr3:uid="{12457EEF-2376-4BA5-9D70-84A3F0675A5C}" name="Column2133"/>
    <tableColumn id="2139" xr3:uid="{4127E00B-81AC-4D66-9CFA-C4D68FA70934}" name="Column2134"/>
    <tableColumn id="2140" xr3:uid="{4B0BA70E-A42D-460C-AB8F-9D12F482012B}" name="Column2135"/>
    <tableColumn id="2141" xr3:uid="{5158D8C4-AF15-44AF-8669-79136D6A2DDB}" name="Column2136"/>
    <tableColumn id="2142" xr3:uid="{D3A16ADD-F144-422E-B735-FB74BFBFA487}" name="Column2137"/>
    <tableColumn id="2143" xr3:uid="{DA23106B-3332-4693-AD3A-A39411EB9DB6}" name="Column2138"/>
    <tableColumn id="2144" xr3:uid="{626864A9-5DD5-46DE-B025-4B611257DB0C}" name="Column2139"/>
    <tableColumn id="2145" xr3:uid="{E6BD2106-758D-49BB-9074-6C4077C660B2}" name="Column2140"/>
    <tableColumn id="2146" xr3:uid="{0EBC8CAE-9063-422F-B4E9-CD9348EF1F57}" name="Column2141"/>
    <tableColumn id="2147" xr3:uid="{B8CEFECD-015A-440B-87E5-B361C7E0F270}" name="Column2142"/>
    <tableColumn id="2148" xr3:uid="{CD536840-84B8-45D0-AFC5-D5B5FC5CB374}" name="Column2143"/>
    <tableColumn id="2149" xr3:uid="{1C565AB7-E4B1-4075-9FF5-6A897493A505}" name="Column2144"/>
    <tableColumn id="2150" xr3:uid="{762C817D-3FE9-44DC-8AA2-2078FD45469D}" name="Column2145"/>
    <tableColumn id="2151" xr3:uid="{72A65BA5-4EE9-48AF-8421-6E747A93754B}" name="Column2146"/>
    <tableColumn id="2152" xr3:uid="{76558ACA-81EA-421A-B0B7-FB08C6FFA430}" name="Column2147"/>
    <tableColumn id="2153" xr3:uid="{DB3C159D-BDE5-4A39-8073-41D4827AACE8}" name="Column2148"/>
    <tableColumn id="2154" xr3:uid="{88A22240-E1A0-407C-8EE5-DB8726D357D9}" name="Column2149"/>
    <tableColumn id="2155" xr3:uid="{65C68D90-F6F1-46EE-8274-439C2CD6BA27}" name="Column2150"/>
    <tableColumn id="2156" xr3:uid="{9F336777-1AB4-483D-9BE5-7E5B851990BD}" name="Column2151"/>
    <tableColumn id="2157" xr3:uid="{84D41BCA-D6EC-4EBB-A621-4B51119D678F}" name="Column2152"/>
    <tableColumn id="2158" xr3:uid="{A4076C48-60ED-47CF-863C-C01605A0C648}" name="Column2153"/>
    <tableColumn id="2159" xr3:uid="{6EFBF376-4E9E-4F8A-8366-309169D44DB6}" name="Column2154"/>
    <tableColumn id="2160" xr3:uid="{B46F1CAD-38F9-43BE-93D8-F4533FB26CF9}" name="Column2155"/>
    <tableColumn id="2161" xr3:uid="{B2AF617C-4F6D-4C49-8E31-07A76B10866A}" name="Column2156"/>
    <tableColumn id="2162" xr3:uid="{189D9119-5A2B-4586-B708-FD1D2DD433F1}" name="Column2157"/>
    <tableColumn id="2163" xr3:uid="{49BB74D0-5030-49A0-829F-407009F17985}" name="Column2158"/>
    <tableColumn id="2164" xr3:uid="{23878916-52C7-4FF1-A4CD-B3B54A8F628F}" name="Column2159"/>
    <tableColumn id="2165" xr3:uid="{D857D13E-FCC0-4431-A1EF-371C7ED2CA7A}" name="Column2160"/>
    <tableColumn id="2166" xr3:uid="{CB2591D5-38EB-4182-A9C5-A09AB148FB14}" name="Column2161"/>
    <tableColumn id="2167" xr3:uid="{B6F1B7E6-2990-46DD-A65B-D5C5EDEA07C8}" name="Column2162"/>
    <tableColumn id="2168" xr3:uid="{B5A90DFB-B28A-4D56-A320-2E5CB1C97BCE}" name="Column2163"/>
    <tableColumn id="2169" xr3:uid="{73DA881E-12CD-4AA9-BFF7-D27D2EC72561}" name="Column2164"/>
    <tableColumn id="2170" xr3:uid="{479F4EB7-1E6F-4C1B-B173-3532B1DA45C0}" name="Column2165"/>
    <tableColumn id="2171" xr3:uid="{994D7114-040E-40AC-9AE8-8BB504903E85}" name="Column2166"/>
    <tableColumn id="2172" xr3:uid="{B4770AC2-14B6-42B4-9911-551A35351B88}" name="Column2167"/>
    <tableColumn id="2173" xr3:uid="{BF3695DF-2153-4AD2-80F6-8F7F6ACE4859}" name="Column2168"/>
    <tableColumn id="2174" xr3:uid="{6C3D02D8-8285-4BBF-BD77-75D31B34A25E}" name="Column2169"/>
    <tableColumn id="2175" xr3:uid="{B1F845CE-D43E-4191-8416-9EC469D06430}" name="Column2170"/>
    <tableColumn id="2176" xr3:uid="{F9F441F3-EB84-4B81-B8F1-7E7CA5E8F8C9}" name="Column2171"/>
    <tableColumn id="2177" xr3:uid="{4C462BAB-DC25-47FE-A4DA-C6A15B8E9B4D}" name="Column2172"/>
    <tableColumn id="2178" xr3:uid="{311F348B-88D2-4480-9F83-8A3D0D7D9FC0}" name="Column2173"/>
    <tableColumn id="2179" xr3:uid="{E9CD9944-9603-4940-8731-7FE8712D8AFF}" name="Column2174"/>
    <tableColumn id="2180" xr3:uid="{06CC4B80-02F1-4430-9E77-0131B744378B}" name="Column2175"/>
    <tableColumn id="2181" xr3:uid="{F109370B-53F5-4C66-BF81-E2F404DA2424}" name="Column2176"/>
    <tableColumn id="2182" xr3:uid="{075EF67D-5481-4B24-BD49-201FAAF54AEC}" name="Column2177"/>
    <tableColumn id="2183" xr3:uid="{EA917804-C263-4837-B740-1B170245A0BE}" name="Column2178"/>
    <tableColumn id="2184" xr3:uid="{F7A2875E-BBF8-4C74-A88A-0543CB597097}" name="Column2179"/>
    <tableColumn id="2185" xr3:uid="{B2156818-98F9-46AF-A9D9-C0AC05899732}" name="Column2180"/>
    <tableColumn id="2186" xr3:uid="{402B8585-A92E-4669-9B25-175F84593C69}" name="Column2181"/>
    <tableColumn id="2187" xr3:uid="{3E80D201-1AC6-45B7-A48B-139883FC32E0}" name="Column2182"/>
    <tableColumn id="2188" xr3:uid="{BDFF200E-A950-45D2-AE5C-E741B8C12126}" name="Column2183"/>
    <tableColumn id="2189" xr3:uid="{1556D4CF-344A-440D-9552-C83A29A2CF3E}" name="Column2184"/>
    <tableColumn id="2190" xr3:uid="{18898AA7-198E-4FBB-B330-EE68FA0F06DA}" name="Column2185"/>
    <tableColumn id="2191" xr3:uid="{E42A9CD0-0795-4D38-BD20-2E1E607AFE6E}" name="Column2186"/>
    <tableColumn id="2192" xr3:uid="{9A02C135-D698-4E83-AD1A-6D568761590D}" name="Column2187"/>
    <tableColumn id="2193" xr3:uid="{A36AF8FC-AA9B-42E5-8EBA-2C2013E6D988}" name="Column2188"/>
    <tableColumn id="2194" xr3:uid="{F7B74F11-8D7C-4893-9FE6-B184DB52E465}" name="Column2189"/>
    <tableColumn id="2195" xr3:uid="{848ACE08-0ED3-4EE1-A720-A12C9452DA6D}" name="Column2190"/>
    <tableColumn id="2196" xr3:uid="{CBEBB5DA-2E4E-4076-AC55-3A007AF2DF8C}" name="Column2191"/>
    <tableColumn id="2197" xr3:uid="{5FACB910-C4FA-495D-AD13-D7504B3B91CF}" name="Column2192"/>
    <tableColumn id="2198" xr3:uid="{61B42D66-6CA8-4587-8CCB-16831FD1AFB1}" name="Column2193"/>
    <tableColumn id="2199" xr3:uid="{1EDFEFB3-F445-40B9-9241-032E01F2B464}" name="Column2194"/>
    <tableColumn id="2200" xr3:uid="{E2D87B16-8752-4632-829F-2A5FCE363535}" name="Column2195"/>
    <tableColumn id="2201" xr3:uid="{48C670FB-8C2D-49A4-91A9-117A75A2A96F}" name="Column2196"/>
    <tableColumn id="2202" xr3:uid="{15FDE040-8029-4E30-A61E-1D70E4244124}" name="Column2197"/>
    <tableColumn id="2203" xr3:uid="{5D2EA223-221D-453D-B0C9-EA08888AB687}" name="Column2198"/>
    <tableColumn id="2204" xr3:uid="{430FEE2C-8FB8-40DC-AB49-0E60C7D5854E}" name="Column2199"/>
    <tableColumn id="2205" xr3:uid="{1DC9A3FA-6E74-4088-8E30-BB14E703425A}" name="Column2200"/>
    <tableColumn id="2206" xr3:uid="{3A866377-3200-45F0-812F-F376D9770C9D}" name="Column2201"/>
    <tableColumn id="2207" xr3:uid="{E13ADDD1-84BC-40EE-9165-F6513357D959}" name="Column2202"/>
    <tableColumn id="2208" xr3:uid="{9096F8CB-8BE8-4867-8A8F-9E6CA3D945A2}" name="Column2203"/>
    <tableColumn id="2209" xr3:uid="{C26754DE-2DE6-4069-995E-7F2C684D55AB}" name="Column2204"/>
    <tableColumn id="2210" xr3:uid="{DBBC2616-0607-451D-9050-33735811EDC9}" name="Column2205"/>
    <tableColumn id="2211" xr3:uid="{E575F05D-EC3D-4333-9232-F65A33EACE74}" name="Column2206"/>
    <tableColumn id="2212" xr3:uid="{01B35081-0FF3-43FD-8B89-B084A24B8485}" name="Column2207"/>
    <tableColumn id="2213" xr3:uid="{50A2F8EE-6AF6-4BA4-8A5A-EC1804D401FE}" name="Column2208"/>
    <tableColumn id="2214" xr3:uid="{123EE9D4-BAC6-4758-B066-663148352084}" name="Column2209"/>
    <tableColumn id="2215" xr3:uid="{516211ED-35AF-4C76-A799-FC295F834139}" name="Column2210"/>
    <tableColumn id="2216" xr3:uid="{9833D62F-C233-4A9B-BD20-862CCD1577D1}" name="Column2211"/>
    <tableColumn id="2217" xr3:uid="{323B39A5-103C-4C76-8504-768656E30E90}" name="Column2212"/>
    <tableColumn id="2218" xr3:uid="{69FBD3F2-68A1-4F40-8B99-86838D1AE741}" name="Column2213"/>
    <tableColumn id="2219" xr3:uid="{1D39A343-15F2-45EC-BB38-CF32878DB6CA}" name="Column2214"/>
    <tableColumn id="2220" xr3:uid="{EFBFC016-E925-4F3F-B18E-E3BA17B46BF5}" name="Column2215"/>
    <tableColumn id="2221" xr3:uid="{09BABC30-E6FC-42F0-8ECE-E6D5F18DF4A8}" name="Column2216"/>
    <tableColumn id="2222" xr3:uid="{2DD30A63-BF5C-4532-BE37-248314302E98}" name="Column2217"/>
    <tableColumn id="2223" xr3:uid="{6666805B-27D7-4C87-802C-AB6EDF0AC09E}" name="Column2218"/>
    <tableColumn id="2224" xr3:uid="{DA3C9548-CE78-4CC8-A3BA-DC0DAED52FA6}" name="Column2219"/>
    <tableColumn id="2225" xr3:uid="{250B2302-6531-4BEA-ADBB-E1786AC791D8}" name="Column2220"/>
    <tableColumn id="2226" xr3:uid="{3098BB44-992F-4578-9495-7C489765A4C0}" name="Column2221"/>
    <tableColumn id="2227" xr3:uid="{570FED5D-A671-4EBB-9C59-270EAE70258B}" name="Column2222"/>
    <tableColumn id="2228" xr3:uid="{6CB7BCAD-E0BA-4014-8477-2CA859A00E74}" name="Column2223"/>
    <tableColumn id="2229" xr3:uid="{81739A99-8649-4849-83C8-CF176D118BD0}" name="Column2224"/>
    <tableColumn id="2230" xr3:uid="{554029D1-B2D3-47D6-ADFC-D45C7AA09B67}" name="Column2225"/>
    <tableColumn id="2231" xr3:uid="{762CB32F-D588-4421-AFBD-752117A124CB}" name="Column2226"/>
    <tableColumn id="2232" xr3:uid="{C9160CA7-44FD-468C-9D20-83D221CD7AD5}" name="Column2227"/>
    <tableColumn id="2233" xr3:uid="{C4FD404F-93B2-42AB-B4CA-E2C50C47B7D0}" name="Column2228"/>
    <tableColumn id="2234" xr3:uid="{F09F8B3C-FDA2-4F77-A070-22A81FF0DA0A}" name="Column2229"/>
    <tableColumn id="2235" xr3:uid="{D8D890E8-012C-4E35-A81D-5A0F1B062F53}" name="Column2230"/>
    <tableColumn id="2236" xr3:uid="{B7C72082-68F1-404E-95AF-4E145F30AD9F}" name="Column2231"/>
    <tableColumn id="2237" xr3:uid="{17AC5B66-CAEA-4044-BBB0-1EBE27D45D29}" name="Column2232"/>
    <tableColumn id="2238" xr3:uid="{0CE585CA-1B39-4451-8CC3-36E4AA696B09}" name="Column2233"/>
    <tableColumn id="2239" xr3:uid="{97C2DFC1-EFCB-432C-BFE6-4FE0B43AF83F}" name="Column2234"/>
    <tableColumn id="2240" xr3:uid="{ACB7BC6F-8954-4F9F-8779-3817E49BD202}" name="Column2235"/>
    <tableColumn id="2241" xr3:uid="{EEB97B17-9874-429E-B59E-B381C8CA56D0}" name="Column2236"/>
    <tableColumn id="2242" xr3:uid="{5420504C-1B98-45FC-9889-3A04B80F219A}" name="Column2237"/>
    <tableColumn id="2243" xr3:uid="{1792C94F-FA1F-44AD-8FC2-DA4FAFC544DC}" name="Column2238"/>
    <tableColumn id="2244" xr3:uid="{2C084282-581A-4E6B-BF08-DAF98C7DE99B}" name="Column2239"/>
    <tableColumn id="2245" xr3:uid="{35B1BB21-CA1B-418A-ABF7-92C91E09F476}" name="Column2240"/>
    <tableColumn id="2246" xr3:uid="{5FB38577-4918-4859-8C4B-2190004F904D}" name="Column2241"/>
    <tableColumn id="2247" xr3:uid="{57E46B48-5120-41E2-B52E-AD1C50564E6A}" name="Column2242"/>
    <tableColumn id="2248" xr3:uid="{F6EBE7F4-EF6B-4F26-951E-D342E10EC155}" name="Column2243"/>
    <tableColumn id="2249" xr3:uid="{3DFD406D-9943-435E-9C33-4E84B227FA31}" name="Column2244"/>
    <tableColumn id="2250" xr3:uid="{C4DBEFC9-5348-4510-A353-9D1C978A0155}" name="Column2245"/>
    <tableColumn id="2251" xr3:uid="{2E81286F-3018-492A-A0A3-386C8D129DCB}" name="Column2246"/>
    <tableColumn id="2252" xr3:uid="{7A5B4E5F-5077-4ED8-AE6D-57BB4D28EEE5}" name="Column2247"/>
    <tableColumn id="2253" xr3:uid="{A53AF6AC-67F9-4078-B3F3-951F3A3F25A7}" name="Column2248"/>
    <tableColumn id="2254" xr3:uid="{0688BB91-605C-47D2-800A-C14B7E48008F}" name="Column2249"/>
    <tableColumn id="2255" xr3:uid="{4D335019-B556-4B92-B6A7-35DC2ABDB7B3}" name="Column2250"/>
    <tableColumn id="2256" xr3:uid="{108CFBA5-2E51-4A52-808E-D16B0C31848E}" name="Column2251"/>
    <tableColumn id="2257" xr3:uid="{19A8D280-62B8-42AD-BDA9-43E9D9ED4616}" name="Column2252"/>
    <tableColumn id="2258" xr3:uid="{0722F99F-93C7-4C28-97E3-9BD235FC896B}" name="Column2253"/>
    <tableColumn id="2259" xr3:uid="{7EDB72B6-F4DC-43C9-9B2C-54DCE0B60A3D}" name="Column2254"/>
    <tableColumn id="2260" xr3:uid="{CD5A7F1E-4A6F-45AF-975E-EF94BA241486}" name="Column2255"/>
    <tableColumn id="2261" xr3:uid="{490A73D9-146A-4493-B524-06EEF725B632}" name="Column2256"/>
    <tableColumn id="2262" xr3:uid="{39094DFA-58AC-4F73-BAEE-D1FA2AC57762}" name="Column2257"/>
    <tableColumn id="2263" xr3:uid="{60F1B123-6940-4410-B9A5-A928E408A383}" name="Column2258"/>
    <tableColumn id="2264" xr3:uid="{22D88291-4B83-41DD-ADB6-2B6AD8C7A002}" name="Column2259"/>
    <tableColumn id="2265" xr3:uid="{ADFFCFB4-DCB5-4914-99F7-423D6C27A735}" name="Column2260"/>
    <tableColumn id="2266" xr3:uid="{3E76FA09-1574-4411-828D-058C0B901060}" name="Column2261"/>
    <tableColumn id="2267" xr3:uid="{CBC47DC3-F5B0-493A-BA35-5FBDCB552D94}" name="Column2262"/>
    <tableColumn id="2268" xr3:uid="{9E371F0B-A822-4A7B-B72B-88F204E9AECB}" name="Column2263"/>
    <tableColumn id="2269" xr3:uid="{458D965D-FAF7-460A-8C0F-12DEFD07E605}" name="Column2264"/>
    <tableColumn id="2270" xr3:uid="{40E33031-46F8-488D-B194-8A6D2E4F22B8}" name="Column2265"/>
    <tableColumn id="2271" xr3:uid="{AD4A6956-9FD3-40ED-8BC4-3D9E1A0B03C8}" name="Column2266"/>
    <tableColumn id="2272" xr3:uid="{88EED386-38FC-4906-B507-E293A65D975A}" name="Column2267"/>
    <tableColumn id="2273" xr3:uid="{CD7F8DD3-A2E1-4A78-9EB3-4117D915CFD9}" name="Column2268"/>
    <tableColumn id="2274" xr3:uid="{A991215C-1119-42CA-B043-F600C9AD6CA3}" name="Column2269"/>
    <tableColumn id="2275" xr3:uid="{E8AE1304-001D-4197-8D30-D29AA7912229}" name="Column2270"/>
    <tableColumn id="2276" xr3:uid="{F60CD427-2DEE-4CC8-8093-BCB2CDDA6305}" name="Column2271"/>
    <tableColumn id="2277" xr3:uid="{9FFCFB8C-3B22-4B28-93C0-97AD652AD9C3}" name="Column2272"/>
    <tableColumn id="2278" xr3:uid="{8967B1A5-F7DF-427E-9A14-692943CDEAFD}" name="Column2273"/>
    <tableColumn id="2279" xr3:uid="{79147FF3-E75B-4614-A4B0-23C3DB16BCF5}" name="Column2274"/>
    <tableColumn id="2280" xr3:uid="{DF558B26-B6B5-4EAC-8242-AE9F00611C8A}" name="Column2275"/>
    <tableColumn id="2281" xr3:uid="{B54399E8-D630-44BA-956E-C8C8CCE6407B}" name="Column2276"/>
    <tableColumn id="2282" xr3:uid="{5E564AC7-E3C7-426B-B37F-500436DC40A1}" name="Column2277"/>
    <tableColumn id="2283" xr3:uid="{73DEDD0B-9F1D-4BB5-A1BD-5385DFAA5CFF}" name="Column2278"/>
    <tableColumn id="2284" xr3:uid="{B99C6B1A-AEB7-4868-A5C7-2E32928795B3}" name="Column2279"/>
    <tableColumn id="2285" xr3:uid="{E4B43E02-9CCC-4A46-87E1-6EE1B4F5B9E9}" name="Column2280"/>
    <tableColumn id="2286" xr3:uid="{5AF47F74-C632-480B-91DA-3EE6BC027FF5}" name="Column2281"/>
    <tableColumn id="2287" xr3:uid="{A6FAE3B0-F43B-4642-B8EC-0904FA2B110F}" name="Column2282"/>
    <tableColumn id="2288" xr3:uid="{9A83CF9B-5445-489A-8030-A351073F0BC4}" name="Column2283"/>
    <tableColumn id="2289" xr3:uid="{0F8DF11A-EC22-40F5-9893-315ECDEBBF3D}" name="Column2284"/>
    <tableColumn id="2290" xr3:uid="{AD0AEAF8-E183-40CA-B434-02C49B7B60B3}" name="Column2285"/>
    <tableColumn id="2291" xr3:uid="{C1DB7862-1312-41C6-8B62-EBA47A86DD56}" name="Column2286"/>
    <tableColumn id="2292" xr3:uid="{ABC0EFC4-31DF-4406-97E4-B574AE3C9758}" name="Column2287"/>
    <tableColumn id="2293" xr3:uid="{A1356DCA-CDAB-4158-A808-FBB78514F10F}" name="Column2288"/>
    <tableColumn id="2294" xr3:uid="{68EB26C5-6943-430A-AA60-E07C14281361}" name="Column2289"/>
    <tableColumn id="2295" xr3:uid="{D4071DFB-622D-4708-8C77-5D9D98B344CB}" name="Column2290"/>
    <tableColumn id="2296" xr3:uid="{115F9630-8DA5-42F5-B0DA-D1A9B4D30C6B}" name="Column2291"/>
    <tableColumn id="2297" xr3:uid="{40DA2F63-0036-4896-AB0B-5B542D0F0BA5}" name="Column2292"/>
    <tableColumn id="2298" xr3:uid="{9943413D-EA3E-47F4-A294-5A6145FD6A48}" name="Column2293"/>
    <tableColumn id="2299" xr3:uid="{41658265-F623-4C3B-AF43-644CF4C04756}" name="Column2294"/>
    <tableColumn id="2300" xr3:uid="{DDF0F8CA-3DB5-4378-A259-EBA85CBE148C}" name="Column2295"/>
    <tableColumn id="2301" xr3:uid="{DE17CBB0-8C94-4010-B654-CF2A015D4364}" name="Column2296"/>
    <tableColumn id="2302" xr3:uid="{C5034588-A677-4E78-ADF7-D1B41D36119C}" name="Column2297"/>
    <tableColumn id="2303" xr3:uid="{B60F22B5-7F65-48AF-AD31-C627141ADE2F}" name="Column2298"/>
    <tableColumn id="2304" xr3:uid="{5DA5921B-61CE-4F32-9D6E-68146DFBE20F}" name="Column2299"/>
    <tableColumn id="2305" xr3:uid="{084FF36E-B012-4C04-A0D8-1B9065E95B7F}" name="Column2300"/>
    <tableColumn id="2306" xr3:uid="{1F731F84-8006-4EA3-9314-AAE38FD0133E}" name="Column2301"/>
    <tableColumn id="2307" xr3:uid="{371AD99C-1BD4-444A-B138-AEA741C6BDCE}" name="Column2302"/>
    <tableColumn id="2308" xr3:uid="{F1A6F2BA-D0B9-4C0B-8E89-E82D002B9127}" name="Column2303"/>
    <tableColumn id="2309" xr3:uid="{F20EBAB5-86FF-42BC-885A-306BC6C1A26E}" name="Column2304"/>
    <tableColumn id="2310" xr3:uid="{01A34062-AB49-4035-8963-73B4D741E59E}" name="Column2305"/>
    <tableColumn id="2311" xr3:uid="{EC86A4B6-3CAC-4CE7-8CA2-B8C10889B2C3}" name="Column2306"/>
    <tableColumn id="2312" xr3:uid="{AF325E35-85C5-4593-A4DF-88C4FB5089CF}" name="Column2307"/>
    <tableColumn id="2313" xr3:uid="{83AFA49F-393C-4E60-9AB7-E9BDA85EC47A}" name="Column2308"/>
    <tableColumn id="2314" xr3:uid="{24AB1604-4C63-4385-B640-A453DE3801B8}" name="Column2309"/>
    <tableColumn id="2315" xr3:uid="{EFA4194B-6D86-46F9-A3AD-4C524865DA84}" name="Column2310"/>
    <tableColumn id="2316" xr3:uid="{7A6F4D34-D5F9-455C-A76C-C30C952AF81A}" name="Column2311"/>
    <tableColumn id="2317" xr3:uid="{8DE90C7E-6E73-45B3-9A31-1950C8C96364}" name="Column2312"/>
    <tableColumn id="2318" xr3:uid="{9937F0B0-DD61-470B-975A-EA23433CAB8E}" name="Column2313"/>
    <tableColumn id="2319" xr3:uid="{3DD30487-E471-46FC-B5FE-EBA15BB65B46}" name="Column2314"/>
    <tableColumn id="2320" xr3:uid="{59AEF59D-AB40-4C6C-B006-E9A99DC3FD59}" name="Column2315"/>
    <tableColumn id="2321" xr3:uid="{39923E91-F1D7-487E-81AA-183AA4CDC1C6}" name="Column2316"/>
    <tableColumn id="2322" xr3:uid="{051A8E27-8D4F-4F41-9EBE-15CDE994F465}" name="Column2317"/>
    <tableColumn id="2323" xr3:uid="{F74A341C-02C4-42D1-81BD-244CA8D2448F}" name="Column2318"/>
    <tableColumn id="2324" xr3:uid="{82987F9E-2FC8-4D41-A40D-1F62521B379C}" name="Column2319"/>
    <tableColumn id="2325" xr3:uid="{75542DDB-3F12-47D0-8142-21DD1ECC2235}" name="Column2320"/>
    <tableColumn id="2326" xr3:uid="{A0091A26-4619-4C85-99A7-458F7CBCD5D9}" name="Column2321"/>
    <tableColumn id="2327" xr3:uid="{8A33D176-1F1F-4DE8-B605-485470767DC4}" name="Column2322"/>
    <tableColumn id="2328" xr3:uid="{C9E16C06-30AD-4B06-9902-FFCE23B7C27C}" name="Column2323"/>
    <tableColumn id="2329" xr3:uid="{12D7A88D-279C-400E-B321-E01B28955340}" name="Column2324"/>
    <tableColumn id="2330" xr3:uid="{62401D62-483D-4B11-8AF3-C5BE5928EFDB}" name="Column2325"/>
    <tableColumn id="2331" xr3:uid="{23FD33F9-AB5B-4B91-AE32-9279D2FC0A56}" name="Column2326"/>
    <tableColumn id="2332" xr3:uid="{BAAC2E66-56C7-4AB6-8E88-F3FE32D15B19}" name="Column2327"/>
    <tableColumn id="2333" xr3:uid="{B51C636C-89C8-42FE-9075-07F6E69F39AA}" name="Column2328"/>
    <tableColumn id="2334" xr3:uid="{455346DE-3952-4A76-B7CF-44EB48BE841C}" name="Column2329"/>
    <tableColumn id="2335" xr3:uid="{019399FC-D4C1-465B-A720-42C31A231303}" name="Column2330"/>
    <tableColumn id="2336" xr3:uid="{6142CD62-7010-40EE-9033-CE9750844906}" name="Column2331"/>
    <tableColumn id="2337" xr3:uid="{A8D0581A-EA89-4F80-9B8E-73C488FFEE79}" name="Column2332"/>
    <tableColumn id="2338" xr3:uid="{A499F7FD-7192-4F17-AE82-534ED9A97B2A}" name="Column2333"/>
    <tableColumn id="2339" xr3:uid="{02503962-9471-4E7B-A18D-ED318BEDA1D9}" name="Column2334"/>
    <tableColumn id="2340" xr3:uid="{E4881EED-DEA3-4AA5-BB1D-3235B00D9879}" name="Column2335"/>
    <tableColumn id="2341" xr3:uid="{E4F7B9DC-7123-4DED-9B10-835B41B5DAC0}" name="Column2336"/>
    <tableColumn id="2342" xr3:uid="{10FB82F8-C3C9-4387-AC8C-7EE0A9C07D52}" name="Column2337"/>
    <tableColumn id="2343" xr3:uid="{0EAA34FC-0083-4EBC-B79D-5E37EB73A305}" name="Column2338"/>
    <tableColumn id="2344" xr3:uid="{97340318-CB85-40A9-A251-7AB00673FFCB}" name="Column2339"/>
    <tableColumn id="2345" xr3:uid="{76EB854C-8E9D-417E-9749-282F683AEDBD}" name="Column2340"/>
    <tableColumn id="2346" xr3:uid="{3024CD0D-138D-4054-9C1E-E347B3E90E80}" name="Column2341"/>
    <tableColumn id="2347" xr3:uid="{740F383A-5E6B-440A-A96A-829BDDBD9A06}" name="Column2342"/>
    <tableColumn id="2348" xr3:uid="{82741D7A-538F-4696-BB47-65799F116CAB}" name="Column2343"/>
    <tableColumn id="2349" xr3:uid="{4318313F-3D2A-40C7-8313-91B7EE314B88}" name="Column2344"/>
    <tableColumn id="2350" xr3:uid="{EF83DBDB-FC6D-4482-A7D4-0FE69A64B11F}" name="Column2345"/>
    <tableColumn id="2351" xr3:uid="{32800C51-DE83-4E03-B3A4-BDE0FFB30852}" name="Column2346"/>
    <tableColumn id="2352" xr3:uid="{5EB96216-4EA7-4C0E-8671-23DF4D550F3D}" name="Column2347"/>
    <tableColumn id="2353" xr3:uid="{AB968A04-ABBC-49F0-A4E2-A5A40522DC4D}" name="Column2348"/>
    <tableColumn id="2354" xr3:uid="{55F86EFF-FDC8-4C58-8221-8BD6BCE78B2F}" name="Column2349"/>
    <tableColumn id="2355" xr3:uid="{B241B2E0-C248-42FA-A122-219EDF45A49F}" name="Column2350"/>
    <tableColumn id="2356" xr3:uid="{5B7BC0A0-7950-4A16-9460-03A8ED8D16A0}" name="Column2351"/>
    <tableColumn id="2357" xr3:uid="{64E2A79A-AC54-4396-BF11-118C1C866ED1}" name="Column2352"/>
    <tableColumn id="2358" xr3:uid="{428DAC9C-D4A7-409B-B1D8-CDB3CD4016C4}" name="Column2353"/>
    <tableColumn id="2359" xr3:uid="{615F8E92-3334-4516-8840-B37F62022D95}" name="Column2354"/>
    <tableColumn id="2360" xr3:uid="{95CAA62C-FA51-4C63-B35E-E847444DED07}" name="Column2355"/>
    <tableColumn id="2361" xr3:uid="{D0D4D452-4F65-48BE-BCF3-0C7EDB7B601C}" name="Column2356"/>
    <tableColumn id="2362" xr3:uid="{093B1715-8862-49D9-AB9E-5A05050A04A7}" name="Column2357"/>
    <tableColumn id="2363" xr3:uid="{67927AFE-6171-46E0-85DE-857AE8A41082}" name="Column2358"/>
    <tableColumn id="2364" xr3:uid="{E31BAF6B-23F6-4755-80FC-46BC9B00CE2E}" name="Column2359"/>
    <tableColumn id="2365" xr3:uid="{D341F00C-7119-4369-8AD0-BC375BA4C852}" name="Column2360"/>
    <tableColumn id="2366" xr3:uid="{E05B36C1-2C57-458A-B58F-B7F836A8EDF5}" name="Column2361"/>
    <tableColumn id="2367" xr3:uid="{6B62CA2D-DA50-40C7-B769-D878495BAA2E}" name="Column2362"/>
    <tableColumn id="2368" xr3:uid="{5BF1E4AC-07DE-44C5-A8DF-627D5A8264AC}" name="Column2363"/>
    <tableColumn id="2369" xr3:uid="{84BD75F6-1935-4511-97C6-8F9887409EA2}" name="Column2364"/>
    <tableColumn id="2370" xr3:uid="{CACC8A16-F272-4E8E-96CB-2B885DCB8394}" name="Column2365"/>
    <tableColumn id="2371" xr3:uid="{FAA9946D-BB04-4A22-9529-7FC5F1759EC4}" name="Column2366"/>
    <tableColumn id="2372" xr3:uid="{8BA8D750-CFF7-4419-8414-183879F1B30D}" name="Column2367"/>
    <tableColumn id="2373" xr3:uid="{199B3BBA-F9BE-4482-9B2F-B8B6CD193A03}" name="Column2368"/>
    <tableColumn id="2374" xr3:uid="{8C628820-AEAF-4F7D-B701-8B0539FF9870}" name="Column2369"/>
    <tableColumn id="2375" xr3:uid="{CFCEAE4B-579F-4550-A89A-4E90F75EA956}" name="Column2370"/>
    <tableColumn id="2376" xr3:uid="{40C9AD8A-26BE-4A16-AF95-2096DC711782}" name="Column2371"/>
    <tableColumn id="2377" xr3:uid="{D1A6F4C6-4F2E-4E6C-AA30-24B06F1F7A2F}" name="Column2372"/>
    <tableColumn id="2378" xr3:uid="{86B74DE9-3232-454B-A9EC-6C91342A641C}" name="Column2373"/>
    <tableColumn id="2379" xr3:uid="{97BB0073-FD49-4423-844F-1DBDF69F67EC}" name="Column2374"/>
    <tableColumn id="2380" xr3:uid="{632A2D11-FD67-4E40-93C0-3104320B19B1}" name="Column2375"/>
    <tableColumn id="2381" xr3:uid="{1B8A41BE-8348-4F81-A32A-004207640A51}" name="Column2376"/>
    <tableColumn id="2382" xr3:uid="{5D343F7D-A457-468E-9BBA-14D8C7CA6111}" name="Column2377"/>
    <tableColumn id="2383" xr3:uid="{A1041975-4916-4796-AB95-480D81436789}" name="Column2378"/>
    <tableColumn id="2384" xr3:uid="{F3AD4EFF-9D16-45FF-BBF5-0FE79505BCEA}" name="Column2379"/>
    <tableColumn id="2385" xr3:uid="{271000BA-F960-4928-B4B8-31CBCED19996}" name="Column2380"/>
    <tableColumn id="2386" xr3:uid="{1ED9F993-79B6-4EC7-B77D-8B72E10B10BB}" name="Column2381"/>
    <tableColumn id="2387" xr3:uid="{A5E44EA4-8788-4709-AA06-D9840D7FCD54}" name="Column2382"/>
    <tableColumn id="2388" xr3:uid="{09D677A7-9364-4983-A0FF-0E09DC6F11F2}" name="Column2383"/>
    <tableColumn id="2389" xr3:uid="{A6569B39-5604-4E9C-99C4-DE7DC7F4DD80}" name="Column2384"/>
    <tableColumn id="2390" xr3:uid="{4F45DFF6-1A2E-4711-81B2-DFBFA1B07306}" name="Column2385"/>
    <tableColumn id="2391" xr3:uid="{693839B8-59F9-4FA1-8DEC-1D8D37A46EB2}" name="Column2386"/>
    <tableColumn id="2392" xr3:uid="{F117ECAB-4977-48CE-B685-58F8EDDEF0CE}" name="Column2387"/>
    <tableColumn id="2393" xr3:uid="{D7030465-4B9D-406F-A567-B2B14D5BCE6B}" name="Column2388"/>
    <tableColumn id="2394" xr3:uid="{E75C8484-7CC9-401C-91B0-4AA76A7F1969}" name="Column2389"/>
    <tableColumn id="2395" xr3:uid="{DA72A0B1-2312-4485-BE25-FE7EF9837594}" name="Column2390"/>
    <tableColumn id="2396" xr3:uid="{C346E713-1B91-4606-A3EF-A994648C0653}" name="Column2391"/>
    <tableColumn id="2397" xr3:uid="{90C05A57-0A12-4E1E-9275-823CCF1F7E92}" name="Column2392"/>
    <tableColumn id="2398" xr3:uid="{695EEDC1-BBC9-4134-8B7B-D8DD285DFA33}" name="Column2393"/>
    <tableColumn id="2399" xr3:uid="{9FEE220C-E8B1-4D59-B12A-B6B9BC994EFA}" name="Column2394"/>
    <tableColumn id="2400" xr3:uid="{6262C5C7-E5F5-40D3-AE6B-AC956E2C0A44}" name="Column2395"/>
    <tableColumn id="2401" xr3:uid="{44CEC523-5C59-496F-877C-3CB17AE06A41}" name="Column2396"/>
    <tableColumn id="2402" xr3:uid="{BA5ED46A-C019-44E6-BA17-6CE513934289}" name="Column2397"/>
    <tableColumn id="2403" xr3:uid="{313359F9-934B-4ACA-A9AD-8DD98E5F298C}" name="Column2398"/>
    <tableColumn id="2404" xr3:uid="{D0140B30-4D71-43D7-8E9A-01B8808D36E3}" name="Column2399"/>
    <tableColumn id="2405" xr3:uid="{5753248C-3EA3-4A78-8B1D-7C95E12007AD}" name="Column2400"/>
    <tableColumn id="2406" xr3:uid="{8D425E74-8848-49CA-BB15-0C5FB312101B}" name="Column2401"/>
    <tableColumn id="2407" xr3:uid="{0EBE4B65-72B5-46A0-91EE-E4ECE26E7979}" name="Column2402"/>
    <tableColumn id="2408" xr3:uid="{8FC15AD8-A8C9-43FC-9375-4FA6E57C8D93}" name="Column2403"/>
    <tableColumn id="2409" xr3:uid="{D7AB119C-CA09-4D86-94C4-82DEF7251631}" name="Column2404"/>
    <tableColumn id="2410" xr3:uid="{611904DA-997C-40FC-AAFF-BB55518FE474}" name="Column2405"/>
    <tableColumn id="2411" xr3:uid="{EE32113D-7047-4FB8-BCCE-B5E840FCE188}" name="Column2406"/>
    <tableColumn id="2412" xr3:uid="{4F6332EB-1196-460F-96C7-282C431FE344}" name="Column2407"/>
    <tableColumn id="2413" xr3:uid="{7B1F8264-8508-42AC-B143-2FEBE73DE992}" name="Column2408"/>
    <tableColumn id="2414" xr3:uid="{02485693-C5E2-4B77-8779-E95020E11197}" name="Column2409"/>
    <tableColumn id="2415" xr3:uid="{C3DAB28E-610E-4134-A71B-5D730EFB3C7C}" name="Column2410"/>
    <tableColumn id="2416" xr3:uid="{F011C4C3-FBFC-4C79-BACC-FF3AA43A6B03}" name="Column2411"/>
    <tableColumn id="2417" xr3:uid="{BFB822B6-2BDA-4F34-9C4D-9A64CC0558CF}" name="Column2412"/>
    <tableColumn id="2418" xr3:uid="{491D9C79-8E93-4DFB-9AE3-26F9A85580BE}" name="Column2413"/>
    <tableColumn id="2419" xr3:uid="{5954AC11-D7AE-4AD1-8FCC-A7A87C4653B5}" name="Column2414"/>
    <tableColumn id="2420" xr3:uid="{DBF021DE-B8C1-4777-9A40-6EA4FB15D607}" name="Column2415"/>
    <tableColumn id="2421" xr3:uid="{055392EB-4491-4A7C-87EE-0498C0408CE1}" name="Column2416"/>
    <tableColumn id="2422" xr3:uid="{3D3CC7BA-232C-4EC0-8E71-E97665F1A9EB}" name="Column2417"/>
    <tableColumn id="2423" xr3:uid="{768DFA5E-A73E-4810-8F59-AE6051339649}" name="Column2418"/>
    <tableColumn id="2424" xr3:uid="{9644BF51-C77D-493B-82BA-9EA70F4ED145}" name="Column2419"/>
    <tableColumn id="2425" xr3:uid="{07273018-2F87-467F-9324-778DCD67D005}" name="Column2420"/>
    <tableColumn id="2426" xr3:uid="{73ABE64B-5B9A-406F-BFD0-315690AB44B7}" name="Column2421"/>
    <tableColumn id="2427" xr3:uid="{6D140BAD-27CA-4EBE-B8D7-766D695CEC3C}" name="Column2422"/>
    <tableColumn id="2428" xr3:uid="{E23745AD-A3E7-4744-AEB0-41DFE135C0E3}" name="Column2423"/>
    <tableColumn id="2429" xr3:uid="{4AFE166F-FA27-492B-85C8-C67E0708C6CC}" name="Column2424"/>
    <tableColumn id="2430" xr3:uid="{A18D3517-7B9C-46BD-8B6E-31E73E251D7C}" name="Column2425"/>
    <tableColumn id="2431" xr3:uid="{7ED2C3FB-A27D-4C80-B015-66AC8550B13B}" name="Column2426"/>
    <tableColumn id="2432" xr3:uid="{D7D97424-6954-468A-B77A-4907BB131394}" name="Column2427"/>
    <tableColumn id="2433" xr3:uid="{C54D702A-7C3F-4D35-8DB8-CDF16C510259}" name="Column2428"/>
    <tableColumn id="2434" xr3:uid="{77206333-FFEE-4311-A94F-B4CA11B73CA6}" name="Column2429"/>
    <tableColumn id="2435" xr3:uid="{A5C2EFB0-FF1C-4532-B7FE-DB16B86B4432}" name="Column2430"/>
    <tableColumn id="2436" xr3:uid="{201DD661-AC54-4900-B866-24DF1CDB7224}" name="Column2431"/>
    <tableColumn id="2437" xr3:uid="{81CA060F-0D38-41C1-BE5C-783ADA26BE8A}" name="Column2432"/>
    <tableColumn id="2438" xr3:uid="{266E7F4D-5BE3-43D8-BE93-E720CA099E74}" name="Column2433"/>
    <tableColumn id="2439" xr3:uid="{8778D6DA-3824-490C-83E1-DF9F5D20E447}" name="Column2434"/>
    <tableColumn id="2440" xr3:uid="{8563F0CB-94F9-4934-B616-6B3F2BB3D122}" name="Column2435"/>
    <tableColumn id="2441" xr3:uid="{935FB235-9589-48D4-8086-AC5F3B3CEB2A}" name="Column2436"/>
    <tableColumn id="2442" xr3:uid="{FA18192E-3758-4767-99A6-F7259708340D}" name="Column2437"/>
    <tableColumn id="2443" xr3:uid="{A3D70616-AE4D-4185-81AD-8014D46758DF}" name="Column2438"/>
    <tableColumn id="2444" xr3:uid="{02E648DF-8D26-4834-94C2-F7B4C79DA22D}" name="Column2439"/>
    <tableColumn id="2445" xr3:uid="{C997EF31-A6AC-4F42-A616-5102AA7A7216}" name="Column2440"/>
    <tableColumn id="2446" xr3:uid="{DE105087-4829-46F0-8FAC-89DE91CA2538}" name="Column2441"/>
    <tableColumn id="2447" xr3:uid="{06D85676-944B-4CE8-9D47-1061F8CFD0A4}" name="Column2442"/>
    <tableColumn id="2448" xr3:uid="{A76691D4-E364-4490-976D-C02EC04790F9}" name="Column2443"/>
    <tableColumn id="2449" xr3:uid="{B3AA86B9-B02E-4FA2-9067-70E7F31EFB88}" name="Column2444"/>
    <tableColumn id="2450" xr3:uid="{D268D5D8-5565-4004-9825-C70277960F50}" name="Column2445"/>
    <tableColumn id="2451" xr3:uid="{4BFCF05A-E4EC-49B1-9452-ACB175F413B1}" name="Column2446"/>
    <tableColumn id="2452" xr3:uid="{EB777C9D-0B04-4B14-823B-B2FCA3CAE424}" name="Column2447"/>
    <tableColumn id="2453" xr3:uid="{99769FCE-FCF0-4626-9178-6893CB32FB2A}" name="Column2448"/>
    <tableColumn id="2454" xr3:uid="{6CAA4B35-1112-47FE-B6BE-D568E9C795DD}" name="Column2449"/>
    <tableColumn id="2455" xr3:uid="{2DC70EDA-DEF9-4522-9E87-09B860A11797}" name="Column2450"/>
    <tableColumn id="2456" xr3:uid="{1CC370F8-4FE8-4B98-B3CC-ABEC202873BD}" name="Column2451"/>
    <tableColumn id="2457" xr3:uid="{82B0B316-0E20-4E51-8739-396E8D1F3B73}" name="Column2452"/>
    <tableColumn id="2458" xr3:uid="{6ED549A9-BCB4-428E-9B03-56CA439FACD5}" name="Column2453"/>
    <tableColumn id="2459" xr3:uid="{54BD4EC5-8731-46B8-8CD4-998E3305AB61}" name="Column2454"/>
    <tableColumn id="2460" xr3:uid="{7A0EAD4B-BD3F-4939-86F1-61F971A6023B}" name="Column2455"/>
    <tableColumn id="2461" xr3:uid="{2D5CD79D-A479-4A8A-A5AB-9A185C424A4C}" name="Column2456"/>
    <tableColumn id="2462" xr3:uid="{7CD89FF7-C8CC-4198-811F-77F1BDD63928}" name="Column2457"/>
    <tableColumn id="2463" xr3:uid="{280888FF-0B2D-4E7E-BA8E-06EC5A9EC40C}" name="Column2458"/>
    <tableColumn id="2464" xr3:uid="{AE79ABB4-6D8B-42D6-8CE7-974D7A6235C5}" name="Column2459"/>
    <tableColumn id="2465" xr3:uid="{C81BCCC1-F7B1-4389-98B1-91F478760147}" name="Column2460"/>
    <tableColumn id="2466" xr3:uid="{BB24C61F-DCD8-49AE-A69C-80171F8D9DD1}" name="Column2461"/>
    <tableColumn id="2467" xr3:uid="{BEDCD5D0-AC50-4C72-9B89-DCA6628A3A29}" name="Column2462"/>
    <tableColumn id="2468" xr3:uid="{3E88ADC6-7F5C-4469-9F6F-D5D8E2CDB047}" name="Column2463"/>
    <tableColumn id="2469" xr3:uid="{40961826-F68B-4E84-AA85-F3C0C4AC7CEB}" name="Column2464"/>
    <tableColumn id="2470" xr3:uid="{D6D91B7B-5C18-4E32-9B1A-2623F1A4A9FB}" name="Column2465"/>
    <tableColumn id="2471" xr3:uid="{E6052F47-4318-472F-9EBC-F5C6B092710E}" name="Column2466"/>
    <tableColumn id="2472" xr3:uid="{1ED75BFD-54EE-497E-A046-E1EDF73D2909}" name="Column2467"/>
    <tableColumn id="2473" xr3:uid="{F1CB03CC-3A4C-4FC6-8C3E-75C237F51B7E}" name="Column2468"/>
    <tableColumn id="2474" xr3:uid="{9CEA031E-B3DD-4C5E-85E6-6B47335D11B3}" name="Column2469"/>
    <tableColumn id="2475" xr3:uid="{A5F8E4ED-1011-4B12-9435-6BE225556E44}" name="Column2470"/>
    <tableColumn id="2476" xr3:uid="{AFADEA77-72AD-4CB7-AB18-EC3CEA5C0A5E}" name="Column2471"/>
    <tableColumn id="2477" xr3:uid="{4B0BAEAE-3418-4282-B095-AB3564CE2F64}" name="Column2472"/>
    <tableColumn id="2478" xr3:uid="{99F5FC7A-A9A6-43F5-905D-2ECE4AFC97D8}" name="Column2473"/>
    <tableColumn id="2479" xr3:uid="{5B259451-7190-49F1-9988-EABC8BA6462F}" name="Column2474"/>
    <tableColumn id="2480" xr3:uid="{FF105820-6B04-45FB-AC6C-51CDFAFD3258}" name="Column2475"/>
    <tableColumn id="2481" xr3:uid="{259570C9-1CD7-4607-9982-D47E404E381C}" name="Column2476"/>
    <tableColumn id="2482" xr3:uid="{86BF4406-19FF-4A48-9184-4A10BECF13AF}" name="Column2477"/>
    <tableColumn id="2483" xr3:uid="{8FE6E55D-EA6F-4112-A4D7-A78D80CB6AEC}" name="Column2478"/>
    <tableColumn id="2484" xr3:uid="{5C765C33-E452-4026-B53D-234F380FAA4A}" name="Column2479"/>
    <tableColumn id="2485" xr3:uid="{AD659877-A6C9-4839-836C-BE78DB272C74}" name="Column2480"/>
    <tableColumn id="2486" xr3:uid="{411FA980-F0DD-479E-821C-CEC61BC1055B}" name="Column2481"/>
    <tableColumn id="2487" xr3:uid="{7594BD1A-4076-4771-ABC7-C04B055D522C}" name="Column2482"/>
    <tableColumn id="2488" xr3:uid="{B38443E5-E4C0-49AF-A8EC-7F831A058ED9}" name="Column2483"/>
    <tableColumn id="2489" xr3:uid="{B0E57615-CE7D-4E70-BBCA-9FF7B7456427}" name="Column2484"/>
    <tableColumn id="2490" xr3:uid="{C9C2DA11-A0FD-437E-88A3-3BB5B44A72D5}" name="Column2485"/>
    <tableColumn id="2491" xr3:uid="{876F6575-4DE6-4097-8B8B-5C16777EF269}" name="Column2486"/>
    <tableColumn id="2492" xr3:uid="{AF870598-198F-480A-9520-B6D85F1287DB}" name="Column2487"/>
    <tableColumn id="2493" xr3:uid="{7A7E8777-DE01-4583-9D9C-16DE1640C737}" name="Column2488"/>
    <tableColumn id="2494" xr3:uid="{D655B380-133D-4E43-923B-1AAE84F09547}" name="Column2489"/>
    <tableColumn id="2495" xr3:uid="{76ADF452-5F0D-4A0D-A12A-F2A5759394BA}" name="Column2490"/>
    <tableColumn id="2496" xr3:uid="{96BFA0E5-716F-4968-A965-8E191466B703}" name="Column2491"/>
    <tableColumn id="2497" xr3:uid="{BD9E4AA1-2D6D-428A-84E7-02A0C520F06E}" name="Column2492"/>
    <tableColumn id="2498" xr3:uid="{4A5548DF-6D22-4A0C-AFBB-0F0B58927D71}" name="Column2493"/>
    <tableColumn id="2499" xr3:uid="{B0E43002-F5AC-456A-ACEF-AE4BA97D3614}" name="Column2494"/>
    <tableColumn id="2500" xr3:uid="{36D7FE24-CBBC-4FB9-8B49-EDD39217E68A}" name="Column2495"/>
    <tableColumn id="2501" xr3:uid="{5E71D29C-82EC-4327-B8F6-E81EEBE75BF8}" name="Column2496"/>
    <tableColumn id="2502" xr3:uid="{34AA0E89-6B85-4159-AB7F-F0E24755086C}" name="Column2497"/>
    <tableColumn id="2503" xr3:uid="{09E717AF-86D8-475E-A744-6C36227B8472}" name="Column2498"/>
    <tableColumn id="2504" xr3:uid="{769B282F-1FCD-4780-9197-EFAE3FA62048}" name="Column2499"/>
    <tableColumn id="2505" xr3:uid="{BC1499C6-CC98-4D57-B371-1101B106C7D0}" name="Column2500"/>
    <tableColumn id="2506" xr3:uid="{3B35A37D-E4F9-44E9-9F28-919C0FF9E26D}" name="Column2501"/>
    <tableColumn id="2507" xr3:uid="{9D48BC01-70AA-4488-B173-9CA73E74A63E}" name="Column2502"/>
    <tableColumn id="2508" xr3:uid="{AFD18BD8-0B8D-4CC7-B524-74BDE7F8F24D}" name="Column2503"/>
    <tableColumn id="2509" xr3:uid="{97BE526B-7263-4BD8-A854-25E1C0A77FD5}" name="Column2504"/>
    <tableColumn id="2510" xr3:uid="{D57376E6-F47F-411A-B8DC-9127CE91DB06}" name="Column2505"/>
    <tableColumn id="2511" xr3:uid="{8A66BF46-65DE-447A-907E-3C9D372CB646}" name="Column2506"/>
    <tableColumn id="2512" xr3:uid="{7E1ECF2F-F768-484B-8F09-D8D4F3FC9290}" name="Column2507"/>
    <tableColumn id="2513" xr3:uid="{1A419C86-3FB1-4417-B64F-38D8F4214B52}" name="Column2508"/>
    <tableColumn id="2514" xr3:uid="{DF1754DC-01C3-4196-AC3F-952FF733F7B1}" name="Column2509"/>
    <tableColumn id="2515" xr3:uid="{D4B085E0-1056-42B8-A9AF-6ED6729AE1E7}" name="Column2510"/>
    <tableColumn id="2516" xr3:uid="{05B3AE99-949F-48CE-ADE5-759107547069}" name="Column2511"/>
    <tableColumn id="2517" xr3:uid="{26AA7A76-8950-4E2C-9941-1AECB9C6DAE3}" name="Column2512"/>
    <tableColumn id="2518" xr3:uid="{4508CF18-D403-4FBC-9656-24B413F74FFD}" name="Column2513"/>
    <tableColumn id="2519" xr3:uid="{5E9F0C29-9E4E-4A54-A04F-F3DC9B7BD32B}" name="Column2514"/>
    <tableColumn id="2520" xr3:uid="{394E142A-F754-4932-8A25-E309ADD53ABA}" name="Column2515"/>
    <tableColumn id="2521" xr3:uid="{55D1E3EB-DA45-4FA2-B192-2A45599E282F}" name="Column2516"/>
    <tableColumn id="2522" xr3:uid="{548A5916-A521-444D-BFAA-BF4DDCB5C4AE}" name="Column2517"/>
    <tableColumn id="2523" xr3:uid="{A55869D2-44FB-466A-AB5B-7CE0804BDB7F}" name="Column2518"/>
    <tableColumn id="2524" xr3:uid="{8180F602-24F8-475C-9948-BFC2858F4D04}" name="Column2519"/>
    <tableColumn id="2525" xr3:uid="{819D5712-21A5-46CB-B31B-DC80F7C97874}" name="Column2520"/>
    <tableColumn id="2526" xr3:uid="{51417C01-3000-4684-B4EA-DD78088C9054}" name="Column2521"/>
    <tableColumn id="2527" xr3:uid="{1D3D864E-DC96-4305-965F-29C46F53B055}" name="Column2522"/>
    <tableColumn id="2528" xr3:uid="{DE19DA19-FDD7-440C-88C1-8CC2E1C624B0}" name="Column2523"/>
    <tableColumn id="2529" xr3:uid="{5FB7C585-6238-43F0-8D8C-8A9ECADDA5C3}" name="Column2524"/>
    <tableColumn id="2530" xr3:uid="{0BB6F263-C614-4C8E-A482-4083E6A219A7}" name="Column2525"/>
    <tableColumn id="2531" xr3:uid="{98E11AF8-888C-43A9-A61A-18F5E1746AB0}" name="Column2526"/>
    <tableColumn id="2532" xr3:uid="{5281839D-BC80-4980-B96C-62CF3D42BF06}" name="Column2527"/>
    <tableColumn id="2533" xr3:uid="{A315B89A-CD5C-481A-8F00-4541BF4E875E}" name="Column2528"/>
    <tableColumn id="2534" xr3:uid="{3BF81E50-DB90-4CA4-9CBF-CBDB014CDDC5}" name="Column2529"/>
    <tableColumn id="2535" xr3:uid="{C94F191C-4356-4750-9909-51DBC15F7EDE}" name="Column2530"/>
    <tableColumn id="2536" xr3:uid="{B189BDDA-2A88-44A8-B32E-F6E71029E450}" name="Column2531"/>
    <tableColumn id="2537" xr3:uid="{514B28DA-8273-4B8C-8377-8904F8F88308}" name="Column2532"/>
    <tableColumn id="2538" xr3:uid="{D521F998-B74E-4161-A1D4-63FD14DB94E8}" name="Column2533"/>
    <tableColumn id="2539" xr3:uid="{E7EC1007-499B-4A64-A363-1F559EAAD7AC}" name="Column2534"/>
    <tableColumn id="2540" xr3:uid="{1C4FEA69-9B93-4DB3-B95E-2A507D2E7F81}" name="Column2535"/>
    <tableColumn id="2541" xr3:uid="{42534DBB-02A0-4ECA-B9A3-DCEA6413CD45}" name="Column2536"/>
    <tableColumn id="2542" xr3:uid="{AC88105B-707E-48A6-900D-40118A737DF2}" name="Column2537"/>
    <tableColumn id="2543" xr3:uid="{B8149F92-6462-473B-ABC4-D7471C877278}" name="Column2538"/>
    <tableColumn id="2544" xr3:uid="{A76A9932-314B-4D0E-A808-0FE75AF3D1C8}" name="Column2539"/>
    <tableColumn id="2545" xr3:uid="{CE96885A-FC0D-43F1-87FB-865B7E5911F6}" name="Column2540"/>
    <tableColumn id="2546" xr3:uid="{F236DF0A-659C-4BA0-A1AC-343A9CD4A03D}" name="Column2541"/>
    <tableColumn id="2547" xr3:uid="{549C04FC-296A-4878-B576-B104549262E3}" name="Column2542"/>
    <tableColumn id="2548" xr3:uid="{9CA25314-2342-4F4F-AF54-20E4827EED85}" name="Column2543"/>
    <tableColumn id="2549" xr3:uid="{66ECF168-1EDD-49B4-B05E-1ACCBD43A0BB}" name="Column2544"/>
    <tableColumn id="2550" xr3:uid="{5FE97BD8-A134-4698-BCBE-86292C857E29}" name="Column2545"/>
    <tableColumn id="2551" xr3:uid="{5FA7F2AF-91E6-45D5-9F5A-89571960D656}" name="Column2546"/>
    <tableColumn id="2552" xr3:uid="{64064622-F5EA-47C4-94FB-75BF6D857892}" name="Column2547"/>
    <tableColumn id="2553" xr3:uid="{5EF926EA-ABA2-4350-8291-33AA4B9E17DC}" name="Column2548"/>
    <tableColumn id="2554" xr3:uid="{0CA85267-C884-4DF8-A9F3-01B700AECC27}" name="Column2549"/>
    <tableColumn id="2555" xr3:uid="{48A4840F-B8FC-47F1-A63F-B4EDA7CF82E5}" name="Column2550"/>
    <tableColumn id="2556" xr3:uid="{A5791094-B481-4451-9521-0A5761B2511C}" name="Column2551"/>
    <tableColumn id="2557" xr3:uid="{6E598AD6-D176-4AD0-A955-8C5EB69B1CC4}" name="Column2552"/>
    <tableColumn id="2558" xr3:uid="{E3637F9F-7694-4570-BD8D-80D3AD3EDC6E}" name="Column2553"/>
    <tableColumn id="2559" xr3:uid="{0E9C760B-88C5-4B6B-A6C7-4C9FC2017237}" name="Column2554"/>
    <tableColumn id="2560" xr3:uid="{760AD237-F925-467A-BCAF-32CE320D42A6}" name="Column2555"/>
    <tableColumn id="2561" xr3:uid="{CA6DAB10-C2DE-44F9-9234-F5643C028E2E}" name="Column2556"/>
    <tableColumn id="2562" xr3:uid="{F6BF77A8-E0C6-4B60-B342-412DA94035EB}" name="Column2557"/>
    <tableColumn id="2563" xr3:uid="{7D436E6C-31D0-469B-82FD-B7AA9027277D}" name="Column2558"/>
    <tableColumn id="2564" xr3:uid="{AD2AEC70-1B5F-4CD5-B2BB-765236B15421}" name="Column2559"/>
    <tableColumn id="2565" xr3:uid="{080E5A3F-6BE7-4477-AE5D-E3E414FDAACD}" name="Column2560"/>
    <tableColumn id="2566" xr3:uid="{68B9B178-6002-4C16-B131-7D2A8565D24D}" name="Column2561"/>
    <tableColumn id="2567" xr3:uid="{001161F1-5497-47D7-8AD8-69797EB3D234}" name="Column2562"/>
    <tableColumn id="2568" xr3:uid="{6D3F88A8-55B4-4965-BA01-C07B7095AD2C}" name="Column2563"/>
    <tableColumn id="2569" xr3:uid="{2B5AD277-3316-4E13-A12C-1243CE120CE2}" name="Column2564"/>
    <tableColumn id="2570" xr3:uid="{9B9CBC70-86F6-49F0-BF56-6BF1332417DE}" name="Column2565"/>
    <tableColumn id="2571" xr3:uid="{35EDCC8C-3EAF-4F0C-94F8-B34551892A20}" name="Column2566"/>
    <tableColumn id="2572" xr3:uid="{136835E6-70DF-4044-892E-0FF2958751C3}" name="Column2567"/>
    <tableColumn id="2573" xr3:uid="{9DA52640-0711-415C-90FF-D8A71877D092}" name="Column2568"/>
    <tableColumn id="2574" xr3:uid="{1A718C56-EC84-4D16-83F5-B805A273BFC2}" name="Column2569"/>
    <tableColumn id="2575" xr3:uid="{C703D7E5-C5D1-4113-BA19-E12470D4D7A7}" name="Column2570"/>
    <tableColumn id="2576" xr3:uid="{0FA4891C-11C7-4464-824D-399900623D08}" name="Column2571"/>
    <tableColumn id="2577" xr3:uid="{E84CBF39-61AF-4714-94FD-C243EB42385F}" name="Column2572"/>
    <tableColumn id="2578" xr3:uid="{CC827254-4AF4-4750-A0D7-28EDDF0C89D4}" name="Column2573"/>
    <tableColumn id="2579" xr3:uid="{5C4C6F14-EF66-490C-AA87-7BF0DDB99C25}" name="Column2574"/>
    <tableColumn id="2580" xr3:uid="{7F578A9A-4F9B-408B-AC02-3CAD53A75875}" name="Column2575"/>
    <tableColumn id="2581" xr3:uid="{F43A37AC-4B44-42F1-A625-8AD1666ADB8E}" name="Column2576"/>
    <tableColumn id="2582" xr3:uid="{ACC41571-F3AD-488F-BDFD-361A37488FFA}" name="Column2577"/>
    <tableColumn id="2583" xr3:uid="{5A100EBF-B21A-42AB-8876-018E73620218}" name="Column2578"/>
    <tableColumn id="2584" xr3:uid="{D70A177A-B277-4906-AD89-2CC117CF86E9}" name="Column2579"/>
    <tableColumn id="2585" xr3:uid="{74EBE63D-3F3B-4F92-B5A7-A8EAAAE45929}" name="Column2580"/>
    <tableColumn id="2586" xr3:uid="{64964DD9-8E6D-4417-90E9-BA7055425FD1}" name="Column2581"/>
    <tableColumn id="2587" xr3:uid="{31AB1309-F28C-452E-92F7-F26ABF9C8B35}" name="Column2582"/>
    <tableColumn id="2588" xr3:uid="{393B249D-7336-438F-8CF2-11328C7DF32B}" name="Column2583"/>
    <tableColumn id="2589" xr3:uid="{1240B68A-4A83-44E7-BB10-2C4EB8222C49}" name="Column2584"/>
    <tableColumn id="2590" xr3:uid="{80B97CC0-9B34-4A6C-9B08-FB92E9C44E44}" name="Column2585"/>
    <tableColumn id="2591" xr3:uid="{52DA2D3E-FC7A-4861-BC08-FDD044594A15}" name="Column2586"/>
    <tableColumn id="2592" xr3:uid="{3F1D9DC4-D3C0-4EBA-8424-C598ADDE3F20}" name="Column2587"/>
    <tableColumn id="2593" xr3:uid="{F77AE937-3E50-49D7-86F6-F4AEB7F44BA4}" name="Column2588"/>
    <tableColumn id="2594" xr3:uid="{2CC6EFAD-B0FA-4E3E-97F3-8EBB5C7CE75B}" name="Column2589"/>
    <tableColumn id="2595" xr3:uid="{77FB1598-B85D-418F-BC6F-FBCC6CE4D30F}" name="Column2590"/>
    <tableColumn id="2596" xr3:uid="{A3AB479A-0CDB-43BC-9300-64D85EF2C202}" name="Column2591"/>
    <tableColumn id="2597" xr3:uid="{8A296B90-0B35-493D-8ADF-73F8271920DD}" name="Column2592"/>
    <tableColumn id="2598" xr3:uid="{BF235869-7292-4874-935D-EF7CA18BC1E7}" name="Column2593"/>
    <tableColumn id="2599" xr3:uid="{4C7EE340-C6A4-4837-B015-AAD136B512DB}" name="Column2594"/>
    <tableColumn id="2600" xr3:uid="{4605E6FF-F8AC-4CF4-865C-750C0F5772A5}" name="Column2595"/>
    <tableColumn id="2601" xr3:uid="{C1F167B7-4952-4029-BE8A-5AE4B81B8B9A}" name="Column2596"/>
    <tableColumn id="2602" xr3:uid="{6F786742-E277-400F-A9FE-CC4590F3647A}" name="Column2597"/>
    <tableColumn id="2603" xr3:uid="{936810CC-1F9D-4A27-A128-E39EEB670C9F}" name="Column2598"/>
    <tableColumn id="2604" xr3:uid="{FD16E706-6995-49CD-BCD5-7B62217101F3}" name="Column2599"/>
    <tableColumn id="2605" xr3:uid="{758AB44C-425C-454F-929E-870A5C55E27B}" name="Column2600"/>
    <tableColumn id="2606" xr3:uid="{21ACD3E7-C0D3-4528-B027-7662E642A97D}" name="Column2601"/>
    <tableColumn id="2607" xr3:uid="{ECF02882-04B1-4A10-B8EB-F1F2705FC9E1}" name="Column2602"/>
    <tableColumn id="2608" xr3:uid="{2B1006B9-2915-4651-B9AA-F3D323958B48}" name="Column2603"/>
    <tableColumn id="2609" xr3:uid="{9C388116-AAD3-4712-B752-507755765332}" name="Column2604"/>
    <tableColumn id="2610" xr3:uid="{8114F3E5-27D0-40E3-8468-95A7C990B51A}" name="Column2605"/>
    <tableColumn id="2611" xr3:uid="{48110337-0AAF-49F6-AE7C-5DE354BA4D99}" name="Column2606"/>
    <tableColumn id="2612" xr3:uid="{CC41F4A2-18D4-4727-A265-696309E93D5B}" name="Column2607"/>
    <tableColumn id="2613" xr3:uid="{7F953D40-DA60-470C-BDBE-D15663BC7E9C}" name="Column2608"/>
    <tableColumn id="2614" xr3:uid="{AC44CB5D-7CDB-488D-BE52-507607991451}" name="Column2609"/>
    <tableColumn id="2615" xr3:uid="{58CA1B68-289D-4181-B8F6-DD35E7F8C3C8}" name="Column2610"/>
    <tableColumn id="2616" xr3:uid="{131C645D-DC67-4421-8438-2A811A922177}" name="Column2611"/>
    <tableColumn id="2617" xr3:uid="{3F8172BD-C486-4A6D-B1DE-2D755311045A}" name="Column2612"/>
    <tableColumn id="2618" xr3:uid="{68A1B40F-0345-4D6A-8779-9A2CE4DBA978}" name="Column2613"/>
    <tableColumn id="2619" xr3:uid="{27485FB3-20EB-454F-9E28-810CC6435186}" name="Column2614"/>
    <tableColumn id="2620" xr3:uid="{C569A1A8-9292-455A-94D9-8F9EB61C52B0}" name="Column2615"/>
    <tableColumn id="2621" xr3:uid="{C2AF3E07-F65C-43FA-878F-963B2B513632}" name="Column2616"/>
    <tableColumn id="2622" xr3:uid="{333ED7AF-72EA-432F-B4C8-B3085A1580A6}" name="Column2617"/>
    <tableColumn id="2623" xr3:uid="{16E59489-ABAB-475B-B4B1-6C5BC4515903}" name="Column2618"/>
    <tableColumn id="2624" xr3:uid="{FC972C00-CD1C-44BF-AEAA-54A7EF446A2A}" name="Column2619"/>
    <tableColumn id="2625" xr3:uid="{2A6314D8-FCA0-4857-B134-EB22A71FD372}" name="Column2620"/>
    <tableColumn id="2626" xr3:uid="{AD11FC51-29E9-46AB-BE0D-3B17346C936C}" name="Column2621"/>
    <tableColumn id="2627" xr3:uid="{FFAD554F-9C5B-493E-8AA3-53B1B146A8F7}" name="Column2622"/>
    <tableColumn id="2628" xr3:uid="{DB9832E1-27AB-4027-94CC-6950DFFD0235}" name="Column2623"/>
    <tableColumn id="2629" xr3:uid="{2593C2AC-F90F-4540-9AB3-F00E0B5CA75D}" name="Column2624"/>
    <tableColumn id="2630" xr3:uid="{381126CC-4E68-475A-B664-A1DE317A79B4}" name="Column2625"/>
    <tableColumn id="2631" xr3:uid="{BEAED377-804E-44F1-8F3F-242CA9CE9BCB}" name="Column2626"/>
    <tableColumn id="2632" xr3:uid="{C01AACC7-2B41-450B-9BAB-944037A6F644}" name="Column2627"/>
    <tableColumn id="2633" xr3:uid="{9DC6C8DA-2B90-4F31-978F-564006251C2D}" name="Column2628"/>
    <tableColumn id="2634" xr3:uid="{78250221-90FC-4148-A572-57456A9D8809}" name="Column2629"/>
    <tableColumn id="2635" xr3:uid="{B42308A3-1E21-4E35-B4C6-C06237241D52}" name="Column2630"/>
    <tableColumn id="2636" xr3:uid="{82EF9EE5-575C-434C-A00C-90A91154FF84}" name="Column2631"/>
    <tableColumn id="2637" xr3:uid="{CDCFE0EE-6343-4850-8611-34511842F2C8}" name="Column2632"/>
    <tableColumn id="2638" xr3:uid="{CFA59026-369F-4757-B47C-8EC2E4AFFF6D}" name="Column2633"/>
    <tableColumn id="2639" xr3:uid="{F306108D-5EEF-4390-8858-E8A91F9FC67A}" name="Column2634"/>
    <tableColumn id="2640" xr3:uid="{7F891FA3-9122-436D-8C65-DF68D1943E28}" name="Column2635"/>
    <tableColumn id="2641" xr3:uid="{7C7696E4-E242-4B41-928B-C40B1397015C}" name="Column2636"/>
    <tableColumn id="2642" xr3:uid="{0C81593F-BCA9-4271-90B3-4C7CCF4DA509}" name="Column2637"/>
    <tableColumn id="2643" xr3:uid="{0268BAC5-D0A5-4822-9DFF-D8223CA30BF1}" name="Column2638"/>
    <tableColumn id="2644" xr3:uid="{146544BD-A484-4FF2-8863-02BE927A506A}" name="Column2639"/>
    <tableColumn id="2645" xr3:uid="{D3CFA140-C3C7-4718-A73F-B8D2E9359BA8}" name="Column2640"/>
    <tableColumn id="2646" xr3:uid="{1AC0E3D6-BFA8-4A47-AB43-44546C5CB02D}" name="Column2641"/>
    <tableColumn id="2647" xr3:uid="{373F671B-D011-4F0C-B2E8-33824622E6BB}" name="Column2642"/>
    <tableColumn id="2648" xr3:uid="{70859CBA-1AD2-49BC-A363-2A424C541AAC}" name="Column2643"/>
    <tableColumn id="2649" xr3:uid="{F81F9277-4C8B-4B85-BDCA-20638B829FD5}" name="Column2644"/>
    <tableColumn id="2650" xr3:uid="{F6A5E321-A24D-4B0A-9CD0-E9E1614CAFE3}" name="Column2645"/>
    <tableColumn id="2651" xr3:uid="{066BFA39-BEA2-469D-B8D9-05AE451F15A5}" name="Column2646"/>
    <tableColumn id="2652" xr3:uid="{0E576E0B-9AC6-430F-B9A4-704A6AD5109A}" name="Column2647"/>
    <tableColumn id="2653" xr3:uid="{0AC349CB-0D92-4741-9430-EEAC73A693A8}" name="Column2648"/>
    <tableColumn id="2654" xr3:uid="{55897BCC-E60C-4162-9C18-8A5275DCD591}" name="Column2649"/>
    <tableColumn id="2655" xr3:uid="{34AD76E9-11BD-48D8-812D-A8D58C7FF920}" name="Column2650"/>
    <tableColumn id="2656" xr3:uid="{DCEC4D6E-EA0C-47B0-8670-7CD41A213C81}" name="Column2651"/>
    <tableColumn id="2657" xr3:uid="{FFE29D42-B2EA-4E02-880D-CB08417B39E5}" name="Column2652"/>
    <tableColumn id="2658" xr3:uid="{58A23F3C-BF52-4345-83FD-4E8C95CEFE13}" name="Column2653"/>
    <tableColumn id="2659" xr3:uid="{C269A36D-A0B8-4C00-B461-CF9C91A9F1C8}" name="Column2654"/>
    <tableColumn id="2660" xr3:uid="{274DCB81-6608-4CBC-BB2C-164A7B124732}" name="Column2655"/>
    <tableColumn id="2661" xr3:uid="{794633F4-2663-4D4E-8605-2EEC44805466}" name="Column2656"/>
    <tableColumn id="2662" xr3:uid="{138DC837-7480-4F7F-9910-7F610D08EB03}" name="Column2657"/>
    <tableColumn id="2663" xr3:uid="{CF228A69-5A27-463A-B913-756B34E9257F}" name="Column2658"/>
    <tableColumn id="2664" xr3:uid="{5955B2C9-9B92-408F-B0FE-68D5A38CB389}" name="Column2659"/>
    <tableColumn id="2665" xr3:uid="{5FC46EA3-6C02-470F-9A16-C381B175E894}" name="Column2660"/>
    <tableColumn id="2666" xr3:uid="{7DFEDFD9-8577-4AD3-BD4F-5FDB71D90F4A}" name="Column2661"/>
    <tableColumn id="2667" xr3:uid="{9A23BC02-2A12-4D49-9042-582E30D68FAD}" name="Column2662"/>
    <tableColumn id="2668" xr3:uid="{88984B8F-A63B-4AC8-9299-DEEE95FFB453}" name="Column2663"/>
    <tableColumn id="2669" xr3:uid="{13299FC8-8A97-402B-8044-5CCB36A58EE2}" name="Column2664"/>
    <tableColumn id="2670" xr3:uid="{0613ABCA-FCD9-4DDC-B6F8-3A9EEA221A58}" name="Column2665"/>
    <tableColumn id="2671" xr3:uid="{E027072D-6770-455D-9D3E-E737696DF55C}" name="Column2666"/>
    <tableColumn id="2672" xr3:uid="{90263030-D344-4D62-BB46-A40700ED4D7F}" name="Column2667"/>
    <tableColumn id="2673" xr3:uid="{C636C954-45AD-4E18-A628-7ED417E6A3DC}" name="Column2668"/>
    <tableColumn id="2674" xr3:uid="{ED7F1A5D-6351-4494-AAB7-AA3764BC1F5F}" name="Column2669"/>
    <tableColumn id="2675" xr3:uid="{F4D74E0B-FDD3-42CC-AEE4-81989BB42275}" name="Column2670"/>
    <tableColumn id="2676" xr3:uid="{7673F20A-2C71-4C8E-BFC3-8E50A8035B28}" name="Column2671"/>
    <tableColumn id="2677" xr3:uid="{1EC56B20-A5B9-4AFE-BA8C-B7D4441924CE}" name="Column2672"/>
    <tableColumn id="2678" xr3:uid="{EE61944B-BB81-4DFB-827D-5D2CADBAEB00}" name="Column2673"/>
    <tableColumn id="2679" xr3:uid="{17187217-9ADC-4313-914B-A61C4160C55B}" name="Column2674"/>
    <tableColumn id="2680" xr3:uid="{868C8DF2-8F9A-4BED-8FA7-04C5ADCB8429}" name="Column2675"/>
    <tableColumn id="2681" xr3:uid="{7E40FB7D-52BB-4AC4-9CD1-7409C5C2B65F}" name="Column2676"/>
    <tableColumn id="2682" xr3:uid="{A0C2D160-8F1C-47C2-AC9B-B06871D30A8F}" name="Column2677"/>
    <tableColumn id="2683" xr3:uid="{2DEA7FB6-6188-4C1D-8AB9-3CEDF8235931}" name="Column2678"/>
    <tableColumn id="2684" xr3:uid="{26CC3229-80BB-4F03-9F65-E235F4E4E060}" name="Column2679"/>
    <tableColumn id="2685" xr3:uid="{7EBF1486-8FFA-4081-9E7A-DB0F414A6695}" name="Column2680"/>
    <tableColumn id="2686" xr3:uid="{04C7ED2D-5D12-49C5-8792-1203158C0918}" name="Column2681"/>
    <tableColumn id="2687" xr3:uid="{71C1E495-5FA7-484C-BA48-FF64167DF6D6}" name="Column2682"/>
    <tableColumn id="2688" xr3:uid="{1807036C-3893-4A5C-A635-3CA98863DC71}" name="Column2683"/>
    <tableColumn id="2689" xr3:uid="{ADFB70B0-11BD-4DBD-BD8E-67D0575837A5}" name="Column2684"/>
    <tableColumn id="2690" xr3:uid="{C195F467-8499-4CAB-9608-0CC73DE5819F}" name="Column2685"/>
    <tableColumn id="2691" xr3:uid="{F8B97B5C-E9E2-42E0-A46A-7A5CCC9B1DDC}" name="Column2686"/>
    <tableColumn id="2692" xr3:uid="{03E49B50-CB3B-41C3-9226-8E2709FA7CAA}" name="Column2687"/>
    <tableColumn id="2693" xr3:uid="{72D441B8-9EF2-4D7B-A781-0C7953716389}" name="Column2688"/>
    <tableColumn id="2694" xr3:uid="{1598737E-5A5D-4423-A579-9AC9B58880E8}" name="Column2689"/>
    <tableColumn id="2695" xr3:uid="{52C5AB31-BFE1-4F92-9EAA-E501028BD824}" name="Column2690"/>
    <tableColumn id="2696" xr3:uid="{20FB1A9E-CA1B-4559-929C-354FD9ED39AD}" name="Column2691"/>
    <tableColumn id="2697" xr3:uid="{AD8B26C7-8C8A-410E-9047-24755FA73D86}" name="Column2692"/>
    <tableColumn id="2698" xr3:uid="{B06AA7D2-00F6-47A8-9C8A-3F2A8984E65B}" name="Column2693"/>
    <tableColumn id="2699" xr3:uid="{DB2C647F-FA52-44A5-9E86-679CF1E46139}" name="Column2694"/>
    <tableColumn id="2700" xr3:uid="{D592B372-A079-4F36-9289-F9888BE2663A}" name="Column2695"/>
    <tableColumn id="2701" xr3:uid="{D6E37607-B781-4F16-A839-D632D551799A}" name="Column2696"/>
    <tableColumn id="2702" xr3:uid="{285EE16E-8597-4A53-8C33-50AEAEF9D209}" name="Column2697"/>
    <tableColumn id="2703" xr3:uid="{24AA7707-2398-46A8-81E1-587C30750328}" name="Column2698"/>
    <tableColumn id="2704" xr3:uid="{64F5843E-4065-4962-8805-E5E90EEF235F}" name="Column2699"/>
    <tableColumn id="2705" xr3:uid="{96B648A6-647F-4ACD-8002-AC92A23B0B65}" name="Column2700"/>
    <tableColumn id="2706" xr3:uid="{E8267C4C-3E99-4B25-A01C-1928876BD528}" name="Column2701"/>
    <tableColumn id="2707" xr3:uid="{74AB51C4-A226-467B-BD8C-63BF080AE6EF}" name="Column2702"/>
    <tableColumn id="2708" xr3:uid="{C94279C2-F962-4E6C-AF69-15843CCB8725}" name="Column2703"/>
    <tableColumn id="2709" xr3:uid="{EF1B16DB-2B41-4697-9242-9B181BF15C2A}" name="Column2704"/>
    <tableColumn id="2710" xr3:uid="{F5906C4F-38D8-4BAE-85DE-8029344042DF}" name="Column2705"/>
    <tableColumn id="2711" xr3:uid="{29B990DD-9043-4E7C-8BB9-31ED52DF5280}" name="Column2706"/>
    <tableColumn id="2712" xr3:uid="{08451F83-64EB-44DA-B04B-50CC9E25C2D8}" name="Column2707"/>
    <tableColumn id="2713" xr3:uid="{D4F93597-5B6A-4E13-892C-C16ADBCA050B}" name="Column2708"/>
    <tableColumn id="2714" xr3:uid="{E28B7878-1751-447E-8AE9-AFB2C1A07579}" name="Column2709"/>
    <tableColumn id="2715" xr3:uid="{A3066E88-A493-4200-9536-953B1EFC727D}" name="Column2710"/>
    <tableColumn id="2716" xr3:uid="{F5009621-9D91-4D5D-8B8B-377C6255874A}" name="Column2711"/>
    <tableColumn id="2717" xr3:uid="{8AB377D0-C472-4BC6-9A6A-3BFA79B00119}" name="Column2712"/>
    <tableColumn id="2718" xr3:uid="{A5F60D63-5766-4029-AE2B-2ABFA53A6EFF}" name="Column2713"/>
    <tableColumn id="2719" xr3:uid="{A7946606-E14A-4CEB-8F19-5010B3EAB696}" name="Column2714"/>
    <tableColumn id="2720" xr3:uid="{C8E63934-97FD-4B44-9356-B39D99E5B91E}" name="Column2715"/>
    <tableColumn id="2721" xr3:uid="{E9AAC07B-622B-4D41-8B45-2361CDA977FE}" name="Column2716"/>
    <tableColumn id="2722" xr3:uid="{FC46C35C-5E4A-4053-9812-FF6558162290}" name="Column2717"/>
    <tableColumn id="2723" xr3:uid="{A7E4978C-84AB-4DC2-ADBE-755A45A1C130}" name="Column2718"/>
    <tableColumn id="2724" xr3:uid="{F83D4F35-A3EF-4F38-BFD3-7BCF655628E2}" name="Column2719"/>
    <tableColumn id="2725" xr3:uid="{BE9071A8-6B7E-41DE-BAA1-A7F606F5B2DA}" name="Column2720"/>
    <tableColumn id="2726" xr3:uid="{AF922DA5-2099-4A09-8D94-CF15AFBCC058}" name="Column2721"/>
    <tableColumn id="2727" xr3:uid="{DB03EAF9-7200-44D1-8B5A-CB4EEB9F318B}" name="Column2722"/>
    <tableColumn id="2728" xr3:uid="{24966BB2-5084-4234-B75A-815704436987}" name="Column2723"/>
    <tableColumn id="2729" xr3:uid="{2F438ECF-284D-41BC-AD7C-468C3AE881AC}" name="Column2724"/>
    <tableColumn id="2730" xr3:uid="{1D5B6E19-2581-4947-9B90-A7C3C6B148C5}" name="Column2725"/>
    <tableColumn id="2731" xr3:uid="{8955B48F-FB0E-4014-B1D5-7C9E4E3A6E97}" name="Column2726"/>
    <tableColumn id="2732" xr3:uid="{0FAA21C5-F12F-422D-8BE5-6BE753DCFF83}" name="Column2727"/>
    <tableColumn id="2733" xr3:uid="{E9591834-8030-4DB5-8E75-A44F394CA6CC}" name="Column2728"/>
    <tableColumn id="2734" xr3:uid="{05B34D2E-D6C8-4546-92B8-EB20BE369975}" name="Column2729"/>
    <tableColumn id="2735" xr3:uid="{A2C5E6B5-4644-4DDD-8804-968BF2387660}" name="Column2730"/>
    <tableColumn id="2736" xr3:uid="{53B32F09-0CFB-44CB-A5D8-63FC2134912A}" name="Column2731"/>
    <tableColumn id="2737" xr3:uid="{BECAB008-13AC-452D-AF2D-2B0B5C83F3B3}" name="Column2732"/>
    <tableColumn id="2738" xr3:uid="{79E82673-0688-46F5-AF50-88031FC7623C}" name="Column2733"/>
    <tableColumn id="2739" xr3:uid="{52139C1C-CDC1-4B17-8701-C03CD69F2B02}" name="Column2734"/>
    <tableColumn id="2740" xr3:uid="{DCBEC71E-2889-4DB8-9161-5CE6A735447E}" name="Column2735"/>
    <tableColumn id="2741" xr3:uid="{0F9D2E3F-3BBC-4EF8-8E61-785058B2C034}" name="Column2736"/>
    <tableColumn id="2742" xr3:uid="{2CA798A7-6849-4A87-B09A-7393C96A2265}" name="Column2737"/>
    <tableColumn id="2743" xr3:uid="{3490185C-CF0B-4CA5-9D1C-1EDABA27630E}" name="Column2738"/>
    <tableColumn id="2744" xr3:uid="{32D90899-C5C9-46C2-98DD-531FB7A5C5B5}" name="Column2739"/>
    <tableColumn id="2745" xr3:uid="{FD81FF5D-AE9A-458D-B7E5-C3ADDF626B3B}" name="Column2740"/>
    <tableColumn id="2746" xr3:uid="{549A28FC-6640-4EEC-8C51-8C23F6AEB7D2}" name="Column2741"/>
    <tableColumn id="2747" xr3:uid="{7A9BE644-0043-46E7-8A1A-842F0413C758}" name="Column2742"/>
    <tableColumn id="2748" xr3:uid="{2C0D3CA2-BD06-4E99-A572-7A0F348C7C66}" name="Column2743"/>
    <tableColumn id="2749" xr3:uid="{728D5921-294B-44B2-850F-CC03ACC592A4}" name="Column2744"/>
    <tableColumn id="2750" xr3:uid="{1AC6B9DC-6FBA-4FE8-8F5C-C454DC5EEEA3}" name="Column2745"/>
    <tableColumn id="2751" xr3:uid="{CD942479-EF50-4359-A261-A5F145AB2A8A}" name="Column2746"/>
    <tableColumn id="2752" xr3:uid="{036D070D-43E5-47E3-9A9E-55964AFA59BE}" name="Column2747"/>
    <tableColumn id="2753" xr3:uid="{028D4B45-8A76-4B3F-AB03-64BCD78376D9}" name="Column2748"/>
    <tableColumn id="2754" xr3:uid="{517D13CD-36C7-4940-A90F-C2B868D4A497}" name="Column2749"/>
    <tableColumn id="2755" xr3:uid="{288599FD-F32A-4534-9968-53440145F13E}" name="Column2750"/>
    <tableColumn id="2756" xr3:uid="{40B8CD2C-4ACA-4047-AD92-BC2759B5A0C9}" name="Column2751"/>
    <tableColumn id="2757" xr3:uid="{A3E5D0D0-D8D4-48A9-9931-0F7980E7ACA2}" name="Column2752"/>
    <tableColumn id="2758" xr3:uid="{EBEC6FDF-00B3-4EAF-8310-349C94DB1B2E}" name="Column2753"/>
    <tableColumn id="2759" xr3:uid="{C6AED194-C5D0-42E4-A5D7-3588A37A9F0D}" name="Column2754"/>
    <tableColumn id="2760" xr3:uid="{50948016-184F-4612-AD9D-520404EADBD1}" name="Column2755"/>
    <tableColumn id="2761" xr3:uid="{79F81895-E628-47C6-8BEE-F8698224E4C0}" name="Column2756"/>
    <tableColumn id="2762" xr3:uid="{6DE373D7-CA90-4DA3-99C7-6D17A1087DFC}" name="Column2757"/>
    <tableColumn id="2763" xr3:uid="{E52EF67A-803B-48E7-A3AB-C62B051DDCBB}" name="Column2758"/>
    <tableColumn id="2764" xr3:uid="{478B78D2-AB6A-4617-B5C5-B1190A7C193C}" name="Column2759"/>
    <tableColumn id="2765" xr3:uid="{344A8EB5-2915-4E35-BFF3-AFA4785C119F}" name="Column2760"/>
    <tableColumn id="2766" xr3:uid="{13504773-4B8A-41A3-9B86-D3A990F408F4}" name="Column2761"/>
    <tableColumn id="2767" xr3:uid="{AEBE16EF-F8D3-439A-9411-0BF41F7D3A11}" name="Column2762"/>
    <tableColumn id="2768" xr3:uid="{20F69D28-042C-4B86-9504-257FB4954369}" name="Column2763"/>
    <tableColumn id="2769" xr3:uid="{9918BDAC-3809-4F72-BAEC-BB55EB45D06D}" name="Column2764"/>
    <tableColumn id="2770" xr3:uid="{9CDEBE01-2E4F-4352-BE6B-C2D3D9AB62BD}" name="Column2765"/>
    <tableColumn id="2771" xr3:uid="{7D1DA424-86BB-485F-911A-B07AD78DA968}" name="Column2766"/>
    <tableColumn id="2772" xr3:uid="{AAF3F1AF-4404-47FA-BB07-7F90AC9739BC}" name="Column2767"/>
    <tableColumn id="2773" xr3:uid="{2BFF93D1-9B2C-4B92-BF54-6B0C7B63FCCC}" name="Column2768"/>
    <tableColumn id="2774" xr3:uid="{4E583737-B138-4964-A0CE-A15AAB1A07B2}" name="Column2769"/>
    <tableColumn id="2775" xr3:uid="{56BCAB70-4567-463A-B8E3-9A3601BD2347}" name="Column2770"/>
    <tableColumn id="2776" xr3:uid="{120C332C-4746-47D0-A899-4CF80D35DE9A}" name="Column2771"/>
    <tableColumn id="2777" xr3:uid="{E1FFC28F-5F68-4423-8C3E-E77041FFACA7}" name="Column2772"/>
    <tableColumn id="2778" xr3:uid="{A5C0D00C-9D35-4495-8793-A569B5A3BBAA}" name="Column2773"/>
    <tableColumn id="2779" xr3:uid="{E27B89A8-4B88-42A9-8F89-5A603D2B2412}" name="Column2774"/>
    <tableColumn id="2780" xr3:uid="{3C7EFBA3-D0FD-4D62-9F6B-BE7941B5E89B}" name="Column2775"/>
    <tableColumn id="2781" xr3:uid="{0E44F1AB-AE80-4DDC-8708-7FFCF45D1BF9}" name="Column2776"/>
    <tableColumn id="2782" xr3:uid="{17C8AF5E-3616-4494-8324-4767D9A14695}" name="Column2777"/>
    <tableColumn id="2783" xr3:uid="{F87CED41-00D3-4BB7-8A20-15AD8993C8D1}" name="Column2778"/>
    <tableColumn id="2784" xr3:uid="{B3ADDDB8-1EE5-4BE6-831F-40C7C9855FA3}" name="Column2779"/>
    <tableColumn id="2785" xr3:uid="{0831618E-945E-431B-8256-C01D487609E1}" name="Column2780"/>
    <tableColumn id="2786" xr3:uid="{BC769476-25F8-47FF-86B5-E11196DFFCA6}" name="Column2781"/>
    <tableColumn id="2787" xr3:uid="{7ECE0E71-6238-4ECB-B835-3FFD5AE44055}" name="Column2782"/>
    <tableColumn id="2788" xr3:uid="{96CEE2E8-E85D-4768-9CFB-4786AAFE6AAC}" name="Column2783"/>
    <tableColumn id="2789" xr3:uid="{6C542692-F5E7-46CB-B7B1-4EF825412518}" name="Column2784"/>
    <tableColumn id="2790" xr3:uid="{F88588C1-43A5-468F-B379-58F4F3657CA4}" name="Column2785"/>
    <tableColumn id="2791" xr3:uid="{8CB14545-0F74-411D-BDF8-B7AA3C0EB97A}" name="Column2786"/>
    <tableColumn id="2792" xr3:uid="{84968D70-F80A-4C30-B1FB-64597D21D768}" name="Column2787"/>
    <tableColumn id="2793" xr3:uid="{8D765F52-0FE8-43F4-A0FF-625C16BB572C}" name="Column2788"/>
    <tableColumn id="2794" xr3:uid="{5837005E-04C7-4CA6-B65F-938E34231D61}" name="Column2789"/>
    <tableColumn id="2795" xr3:uid="{6F84E822-F7F5-41CC-8534-A2BF8EFE1B2A}" name="Column2790"/>
    <tableColumn id="2796" xr3:uid="{805EBC3E-3F83-4D9A-9FEA-D1EAE10C075F}" name="Column2791"/>
    <tableColumn id="2797" xr3:uid="{8AC75CE1-A19A-41F5-9BCD-8FEE4A580432}" name="Column2792"/>
    <tableColumn id="2798" xr3:uid="{3F487906-EA3B-4A54-A193-72C45F3D6BB0}" name="Column2793"/>
    <tableColumn id="2799" xr3:uid="{EE35E606-D931-4E91-8F52-36DCAD9A5DC0}" name="Column2794"/>
    <tableColumn id="2800" xr3:uid="{B2213959-AC07-4BBD-82F6-BE416C5152FA}" name="Column2795"/>
    <tableColumn id="2801" xr3:uid="{17FFFEB1-8BF0-4519-851F-7DCD914D115B}" name="Column2796"/>
    <tableColumn id="2802" xr3:uid="{E22CF55D-3FBA-4DBC-91BD-54CFD948D57C}" name="Column2797"/>
    <tableColumn id="2803" xr3:uid="{431E7A71-3003-4DB5-9C06-956622CF8C46}" name="Column2798"/>
    <tableColumn id="2804" xr3:uid="{34A2D7DE-5363-4587-B10F-966E5CB4CF2D}" name="Column2799"/>
    <tableColumn id="2805" xr3:uid="{C2B067A8-FD66-43D4-93B6-E540CF1654B7}" name="Column2800"/>
    <tableColumn id="2806" xr3:uid="{6F778A4C-8279-4D9A-A42D-E618CCBD16C9}" name="Column2801"/>
    <tableColumn id="2807" xr3:uid="{667CE385-B17E-4142-B06A-926B4AF87C4E}" name="Column2802"/>
    <tableColumn id="2808" xr3:uid="{BA0C5EA5-CF80-4425-89B8-61E3297B2FE6}" name="Column2803"/>
    <tableColumn id="2809" xr3:uid="{2835C085-F469-44D8-845A-0B8CB53EB544}" name="Column2804"/>
    <tableColumn id="2810" xr3:uid="{ED5087CA-F15D-4966-84F6-6B3D43C971F2}" name="Column2805"/>
    <tableColumn id="2811" xr3:uid="{3E6E6AAB-628F-4CE8-8095-21C39914973D}" name="Column2806"/>
    <tableColumn id="2812" xr3:uid="{4ABE64AD-E969-44D0-8C54-14997E0B5F36}" name="Column2807"/>
    <tableColumn id="2813" xr3:uid="{71B5AC39-5677-4A55-950C-5BD3E3D5E3BE}" name="Column2808"/>
    <tableColumn id="2814" xr3:uid="{DF7AAF2C-5BB3-46AD-9C8B-C8857377F017}" name="Column2809"/>
    <tableColumn id="2815" xr3:uid="{7C2D786E-7C86-4209-841E-7B817D3284D9}" name="Column2810"/>
    <tableColumn id="2816" xr3:uid="{892D6E0B-70AC-4A16-B19D-B9AE0EA9E7D3}" name="Column2811"/>
    <tableColumn id="2817" xr3:uid="{B89EA933-44E7-498F-9AA4-227F07E22986}" name="Column2812"/>
    <tableColumn id="2818" xr3:uid="{9E854086-0457-4277-8CFB-0E8C6DD3E4DE}" name="Column2813"/>
    <tableColumn id="2819" xr3:uid="{1135DFF2-A742-45C9-88F6-C1157C165946}" name="Column2814"/>
    <tableColumn id="2820" xr3:uid="{1DC6D71E-77EA-49D8-8BF4-B492E7364364}" name="Column2815"/>
    <tableColumn id="2821" xr3:uid="{B7D3BE72-18BD-4CFF-9FCC-43C048ADA171}" name="Column2816"/>
    <tableColumn id="2822" xr3:uid="{79134005-7E7E-48F0-8358-C4E6203951AD}" name="Column2817"/>
    <tableColumn id="2823" xr3:uid="{3E16CD73-19B8-4E17-8329-75743DC78625}" name="Column2818"/>
    <tableColumn id="2824" xr3:uid="{F4958080-9760-4DD2-9833-963F6834AF76}" name="Column2819"/>
    <tableColumn id="2825" xr3:uid="{8C4037C0-5CCE-4D4D-ADE7-1A6B1B34E210}" name="Column2820"/>
    <tableColumn id="2826" xr3:uid="{ABE9104B-E39A-45F4-A0D5-7AE4926E6BD1}" name="Column2821"/>
    <tableColumn id="2827" xr3:uid="{8777369D-BDFE-406B-B6CB-FAA1764BD349}" name="Column2822"/>
    <tableColumn id="2828" xr3:uid="{05515C4E-6828-49AC-9277-DB7CC9A22746}" name="Column2823"/>
    <tableColumn id="2829" xr3:uid="{A5A7821B-B679-4647-AF0F-54757DA85F7B}" name="Column2824"/>
    <tableColumn id="2830" xr3:uid="{938E5BB7-635D-4C01-B617-C9D6E8BBD097}" name="Column2825"/>
    <tableColumn id="2831" xr3:uid="{6D57D700-24E3-4101-8478-713EF7E3F115}" name="Column2826"/>
    <tableColumn id="2832" xr3:uid="{AFF6DD8D-C183-42C7-AA6A-6A5187F38ADC}" name="Column2827"/>
    <tableColumn id="2833" xr3:uid="{5806816F-DB48-4710-83C0-F7AF28832E0C}" name="Column2828"/>
    <tableColumn id="2834" xr3:uid="{6427C34B-6997-49EE-B660-14E95B0975FC}" name="Column2829"/>
    <tableColumn id="2835" xr3:uid="{4A8F9F10-D943-4C02-8D45-308840007775}" name="Column2830"/>
    <tableColumn id="2836" xr3:uid="{424A23E4-4B65-4EA5-8A18-E5B358BDE924}" name="Column2831"/>
    <tableColumn id="2837" xr3:uid="{408151B4-5AF8-4576-8F53-0793D47A8DAD}" name="Column2832"/>
    <tableColumn id="2838" xr3:uid="{D2645022-CA28-4915-957A-DD4529794B86}" name="Column2833"/>
    <tableColumn id="2839" xr3:uid="{98CD1BED-1AD1-49AB-9967-548C0048C23A}" name="Column2834"/>
    <tableColumn id="2840" xr3:uid="{596DF0AB-CDC4-4F90-8E94-31E88171E047}" name="Column2835"/>
    <tableColumn id="2841" xr3:uid="{C4357764-DE64-433D-896A-AD477FB1197C}" name="Column2836"/>
    <tableColumn id="2842" xr3:uid="{7079BFF2-9494-42E1-BE0B-B7D775CBA12E}" name="Column2837"/>
    <tableColumn id="2843" xr3:uid="{1523176B-8F51-4079-BEFF-6E81FC9577A1}" name="Column2838"/>
    <tableColumn id="2844" xr3:uid="{C4C8506E-887C-49F8-AC44-39D8160ACAA9}" name="Column2839"/>
    <tableColumn id="2845" xr3:uid="{9A195A2C-565F-4BE0-9F3C-EF1229399F94}" name="Column2840"/>
    <tableColumn id="2846" xr3:uid="{00076EB6-8696-4DC0-929F-2FBF03A4ACCD}" name="Column2841"/>
    <tableColumn id="2847" xr3:uid="{D9B2AF08-3B16-4F7D-B77B-6969C1173CE1}" name="Column2842"/>
    <tableColumn id="2848" xr3:uid="{5A518AED-E4B6-4EFE-9F13-1AB00BD1C08C}" name="Column2843"/>
    <tableColumn id="2849" xr3:uid="{9E3EEC88-BAA5-4695-B87C-42AFEAD0AB61}" name="Column2844"/>
    <tableColumn id="2850" xr3:uid="{5A650849-7FBF-424A-A9DA-1809AAB7E3F2}" name="Column2845"/>
    <tableColumn id="2851" xr3:uid="{789D73C0-A1D9-4382-BE60-DD571CFB465C}" name="Column2846"/>
    <tableColumn id="2852" xr3:uid="{F9149571-371A-4B12-BA81-789BD45C6321}" name="Column2847"/>
    <tableColumn id="2853" xr3:uid="{03FBE969-E1C9-4B40-856E-F51656CF2325}" name="Column2848"/>
    <tableColumn id="2854" xr3:uid="{8776B219-B836-4B24-9627-F0FB49E39B9B}" name="Column2849"/>
    <tableColumn id="2855" xr3:uid="{C733D835-7DA8-4191-B25E-AD0D3BE0962C}" name="Column2850"/>
    <tableColumn id="2856" xr3:uid="{2D847D74-34EC-4909-B322-A85A00109359}" name="Column2851"/>
    <tableColumn id="2857" xr3:uid="{21E7BBDE-5716-4BA6-B760-5465FBBE0063}" name="Column2852"/>
    <tableColumn id="2858" xr3:uid="{00744D7A-622A-48F8-A234-CF60F618089D}" name="Column2853"/>
    <tableColumn id="2859" xr3:uid="{788509D5-101D-4162-8FEF-AE47874E2B11}" name="Column2854"/>
    <tableColumn id="2860" xr3:uid="{48B33B60-C4CF-4F04-9924-26B3EA44DE5B}" name="Column2855"/>
    <tableColumn id="2861" xr3:uid="{30AF60E6-C0F0-4D12-8B60-281E14E7B220}" name="Column2856"/>
    <tableColumn id="2862" xr3:uid="{B8357615-EBE4-4B9D-9F34-81C4B955996B}" name="Column2857"/>
    <tableColumn id="2863" xr3:uid="{763EAEA0-1841-4791-AB58-542A0815C4FF}" name="Column2858"/>
    <tableColumn id="2864" xr3:uid="{222C0429-7AA7-49C4-8E62-1069866CB74B}" name="Column2859"/>
    <tableColumn id="2865" xr3:uid="{AEDD310D-7675-4D1D-800C-669C5544174E}" name="Column2860"/>
    <tableColumn id="2866" xr3:uid="{F440D39A-0E70-4674-8AE5-D5216C817551}" name="Column2861"/>
    <tableColumn id="2867" xr3:uid="{623B9A45-7BFC-4E45-A70B-A5B9CC43D408}" name="Column2862"/>
    <tableColumn id="2868" xr3:uid="{CB68CDF7-BE2A-4243-980F-E928096C0B0F}" name="Column2863"/>
    <tableColumn id="2869" xr3:uid="{1D9EF438-3077-4810-A18B-9112F989C070}" name="Column2864"/>
    <tableColumn id="2870" xr3:uid="{024D45FF-4904-46CC-888E-FAC69A307A69}" name="Column2865"/>
    <tableColumn id="2871" xr3:uid="{04FEC81E-AEC8-46EE-B0C1-3E95A4936EA0}" name="Column2866"/>
    <tableColumn id="2872" xr3:uid="{212BEB3F-8060-4BBE-86E7-17C85758DC14}" name="Column2867"/>
    <tableColumn id="2873" xr3:uid="{817237D8-2D5B-4B6E-B714-59EDE89E3D48}" name="Column2868"/>
    <tableColumn id="2874" xr3:uid="{EA786142-A8FC-474A-A300-C1228EF63C39}" name="Column2869"/>
    <tableColumn id="2875" xr3:uid="{8CAADF32-8EA8-4FE4-94B5-6667EC528FBA}" name="Column2870"/>
    <tableColumn id="2876" xr3:uid="{2EFF6E25-B4CA-427B-947F-7949D372E29D}" name="Column2871"/>
    <tableColumn id="2877" xr3:uid="{14AAE580-5714-4A2C-AFAA-1A5700620389}" name="Column2872"/>
    <tableColumn id="2878" xr3:uid="{899743AF-9FA2-4256-B0A1-F80D9A7574DA}" name="Column2873"/>
    <tableColumn id="2879" xr3:uid="{EFFE84ED-F4C2-441D-9D7F-8D2D8A95BE6B}" name="Column2874"/>
    <tableColumn id="2880" xr3:uid="{4F57F21C-271D-4170-B54D-0976E99B8450}" name="Column2875"/>
    <tableColumn id="2881" xr3:uid="{C8906C67-BFE1-4A29-88F4-F3E46A87EC0B}" name="Column2876"/>
    <tableColumn id="2882" xr3:uid="{E4CAB3FD-A512-42D0-B28C-56A950510BE7}" name="Column2877"/>
    <tableColumn id="2883" xr3:uid="{BA670DA4-037A-4DC1-AE56-14BED7537B74}" name="Column2878"/>
    <tableColumn id="2884" xr3:uid="{B767DC3D-9F32-41F6-930C-1ECF35B1CE62}" name="Column2879"/>
    <tableColumn id="2885" xr3:uid="{601C58EA-4B7E-4160-95E5-D6F30E608837}" name="Column2880"/>
    <tableColumn id="2886" xr3:uid="{F8362223-D9E2-4CB4-9D78-3885B05BB45A}" name="Column2881"/>
    <tableColumn id="2887" xr3:uid="{30D3C8E7-D2C4-4876-B818-6DC0F79AA307}" name="Column2882"/>
    <tableColumn id="2888" xr3:uid="{B1FDADA7-24CA-48C8-B6FF-905C413C85E9}" name="Column2883"/>
    <tableColumn id="2889" xr3:uid="{344D89AE-4420-4D85-8921-022E5AC4C604}" name="Column2884"/>
    <tableColumn id="2890" xr3:uid="{3CCF9BDB-8556-4C8F-B3CD-9E5E765DE7D8}" name="Column2885"/>
    <tableColumn id="2891" xr3:uid="{2CA5525D-BA5D-44CE-8DAE-2894DF74D150}" name="Column2886"/>
    <tableColumn id="2892" xr3:uid="{A09CC58B-0680-46B2-B023-D9C42EE81653}" name="Column2887"/>
    <tableColumn id="2893" xr3:uid="{C1A7F86F-4EFA-45A3-8102-AF637E908A36}" name="Column2888"/>
    <tableColumn id="2894" xr3:uid="{6043E18B-7E2C-475B-89B3-5C57E5B9A784}" name="Column2889"/>
    <tableColumn id="2895" xr3:uid="{13204946-8B12-466F-9D79-F7954A3B80A2}" name="Column2890"/>
    <tableColumn id="2896" xr3:uid="{9D12AB7B-9F33-4AEF-B1C6-89F83F1E7A16}" name="Column2891"/>
    <tableColumn id="2897" xr3:uid="{73F42582-F159-480D-AE37-C3B72E5F9230}" name="Column2892"/>
    <tableColumn id="2898" xr3:uid="{F0A26A2E-C764-4C3B-87D4-537FE973B2E5}" name="Column2893"/>
    <tableColumn id="2899" xr3:uid="{570D1809-51E1-4668-961F-9009A0218E1B}" name="Column2894"/>
    <tableColumn id="2900" xr3:uid="{82A2BB5E-F2F9-48C1-BF7F-A7D2B65DFC30}" name="Column2895"/>
    <tableColumn id="2901" xr3:uid="{5640EB74-575C-40A2-9A39-35ABE789AC12}" name="Column2896"/>
    <tableColumn id="2902" xr3:uid="{6EC0BC81-7D2E-420C-A182-A383B57C8500}" name="Column2897"/>
    <tableColumn id="2903" xr3:uid="{1C5F2748-B584-4C62-B024-791C4E299E42}" name="Column2898"/>
    <tableColumn id="2904" xr3:uid="{79D6FF71-9DF2-44B2-821C-66DB0584528D}" name="Column2899"/>
    <tableColumn id="2905" xr3:uid="{4F1CFC63-82E4-49C4-89C8-40C4F57F0C71}" name="Column2900"/>
    <tableColumn id="2906" xr3:uid="{9ED13AA5-9704-470B-BE6D-8EE4D1BD475E}" name="Column2901"/>
    <tableColumn id="2907" xr3:uid="{E461BF8F-1686-469E-863A-939465E531FB}" name="Column2902"/>
    <tableColumn id="2908" xr3:uid="{3CF99E5B-CEA3-40D8-9D4E-4F41C8995D52}" name="Column2903"/>
    <tableColumn id="2909" xr3:uid="{E9DA0711-0EB4-435D-BA6D-DB29184F87AE}" name="Column2904"/>
    <tableColumn id="2910" xr3:uid="{2F00D675-D6F6-4AF4-A89C-0EAA6AD7B5C9}" name="Column2905"/>
    <tableColumn id="2911" xr3:uid="{E3FF4D13-45D7-40F5-A0B3-160E57E5AA38}" name="Column2906"/>
    <tableColumn id="2912" xr3:uid="{20F7EBDE-B377-4A7D-AB11-504BC553273A}" name="Column2907"/>
    <tableColumn id="2913" xr3:uid="{9B2E8E79-FD41-40B5-9226-69B104001EC7}" name="Column2908"/>
    <tableColumn id="2914" xr3:uid="{CAF9C0B2-219D-4B74-92F0-E484EA112774}" name="Column2909"/>
    <tableColumn id="2915" xr3:uid="{223F17BE-96B9-4C37-A3FD-0E29F7277287}" name="Column2910"/>
    <tableColumn id="2916" xr3:uid="{54F154B3-ED6A-48CF-AE7F-A76974ED434E}" name="Column2911"/>
    <tableColumn id="2917" xr3:uid="{3991F36B-1599-40A4-89E2-41957ADC18D1}" name="Column2912"/>
    <tableColumn id="2918" xr3:uid="{61FBC7C4-568A-4699-956F-A89A442671A8}" name="Column2913"/>
    <tableColumn id="2919" xr3:uid="{FD343BE1-F2E0-4227-A537-66B5802CC0F7}" name="Column2914"/>
    <tableColumn id="2920" xr3:uid="{B2EA6592-D008-4338-AED9-90FE923CDB90}" name="Column2915"/>
    <tableColumn id="2921" xr3:uid="{5E6D05F1-D09B-4E97-AA3B-6610B95B48FF}" name="Column2916"/>
    <tableColumn id="2922" xr3:uid="{9DC7A681-AAFB-4910-A545-66028537EBD9}" name="Column2917"/>
    <tableColumn id="2923" xr3:uid="{4D444234-0D4C-43A9-8B79-E7C456A43DE6}" name="Column2918"/>
    <tableColumn id="2924" xr3:uid="{103124EE-AFD2-4EFA-BBD8-F82578D911AF}" name="Column2919"/>
    <tableColumn id="2925" xr3:uid="{DA86BD21-01CF-4A83-9BB5-41675320DEA9}" name="Column2920"/>
    <tableColumn id="2926" xr3:uid="{BF260731-A9FC-4CD7-8D5B-E313054AA092}" name="Column2921"/>
    <tableColumn id="2927" xr3:uid="{6BF35874-D28F-4C5A-A573-AD12BA220AEC}" name="Column2922"/>
    <tableColumn id="2928" xr3:uid="{B6569F54-AAF1-4700-A698-E70B2B16EE8D}" name="Column2923"/>
    <tableColumn id="2929" xr3:uid="{CEDB3F48-E321-4AFB-8ED8-CEAFDFBE0BD9}" name="Column2924"/>
    <tableColumn id="2930" xr3:uid="{628563F7-E7F3-455E-BA0A-A3E3E949BBCB}" name="Column2925"/>
    <tableColumn id="2931" xr3:uid="{BF3C36A5-E83D-4FAF-A441-6A458C7A7CB0}" name="Column2926"/>
    <tableColumn id="2932" xr3:uid="{5EA129C9-1947-4B42-90FE-6205CAB9E1F2}" name="Column2927"/>
    <tableColumn id="2933" xr3:uid="{5E1C727D-84F3-499E-821D-F8211D92C762}" name="Column2928"/>
    <tableColumn id="2934" xr3:uid="{F618049F-B08A-4991-BB45-F3DCCC4687FF}" name="Column2929"/>
    <tableColumn id="2935" xr3:uid="{43B8338A-97AE-4431-867F-893F2F590233}" name="Column2930"/>
    <tableColumn id="2936" xr3:uid="{2901FC06-A2F4-4F0C-A8F9-4CD90DDC8F13}" name="Column2931"/>
    <tableColumn id="2937" xr3:uid="{80A0FD64-97FE-46C2-82C0-32CAF1DD2E48}" name="Column2932"/>
    <tableColumn id="2938" xr3:uid="{9F0F220D-6888-429F-B711-0A415FE9FAC1}" name="Column2933"/>
    <tableColumn id="2939" xr3:uid="{F19F316A-3A92-44BD-A8C0-BDDD9761657A}" name="Column2934"/>
    <tableColumn id="2940" xr3:uid="{9B7AE5F8-0D0E-47B2-A9C2-F3E0473C1D3A}" name="Column2935"/>
    <tableColumn id="2941" xr3:uid="{8B185E1C-9749-44CA-9EBA-7FD33DE5EFF8}" name="Column2936"/>
    <tableColumn id="2942" xr3:uid="{F221663E-70EC-4ED4-BBF7-00F0DEE0C3E5}" name="Column2937"/>
    <tableColumn id="2943" xr3:uid="{0A5B6B0D-323E-4C6A-B1D8-2BF780A25066}" name="Column2938"/>
    <tableColumn id="2944" xr3:uid="{D6C45020-79C8-45B7-9BE5-EC98367D0E70}" name="Column2939"/>
    <tableColumn id="2945" xr3:uid="{6FB554C3-85EA-4AF8-9F29-BF163CDCC69A}" name="Column2940"/>
    <tableColumn id="2946" xr3:uid="{3DBFA9E0-4561-48F9-A00B-3C96726DDA9A}" name="Column2941"/>
    <tableColumn id="2947" xr3:uid="{8AE03D38-32F5-43B8-97A2-2DA9AE4FDAAD}" name="Column2942"/>
    <tableColumn id="2948" xr3:uid="{2373F28A-C60B-40BF-80CE-A5460EE5E000}" name="Column2943"/>
    <tableColumn id="2949" xr3:uid="{C0C001D3-3FC4-4BCF-8D27-7E70A6475F50}" name="Column2944"/>
    <tableColumn id="2950" xr3:uid="{CFD0DAE7-ABDC-43A4-A82E-7877EA87FC9C}" name="Column2945"/>
    <tableColumn id="2951" xr3:uid="{3F97F4C6-E08A-441F-AD6F-107680BC54AA}" name="Column2946"/>
    <tableColumn id="2952" xr3:uid="{5F05E72F-2770-4086-A88F-495BC5A4F812}" name="Column2947"/>
    <tableColumn id="2953" xr3:uid="{242D1E9B-0A28-4988-A6D2-B824042CFA19}" name="Column2948"/>
    <tableColumn id="2954" xr3:uid="{79F44FF1-7147-4D63-9867-774AEE6B1B88}" name="Column2949"/>
    <tableColumn id="2955" xr3:uid="{3C5F8BB9-D9B9-4AF1-89FA-5CF3011C3F4B}" name="Column2950"/>
    <tableColumn id="2956" xr3:uid="{FB4982D9-F640-4D24-81A9-8FD825D54973}" name="Column2951"/>
    <tableColumn id="2957" xr3:uid="{027235A3-097D-4751-9E5A-1C775B85B7F6}" name="Column2952"/>
    <tableColumn id="2958" xr3:uid="{252A357C-EDA8-46B4-9A87-F52BF564D360}" name="Column2953"/>
    <tableColumn id="2959" xr3:uid="{21962D21-2621-49BC-96F0-EF3FFA6E2958}" name="Column2954"/>
    <tableColumn id="2960" xr3:uid="{3CBDD9D5-B840-4873-A7AC-6434DC20D414}" name="Column2955"/>
    <tableColumn id="2961" xr3:uid="{306E6586-187E-49DA-B7A0-C53998691CB5}" name="Column2956"/>
    <tableColumn id="2962" xr3:uid="{BA3AB5B2-58D3-4D6B-B739-579E1EDD3F3A}" name="Column2957"/>
    <tableColumn id="2963" xr3:uid="{CB97BD94-1D9D-4F4C-AEB9-A396677D4419}" name="Column2958"/>
    <tableColumn id="2964" xr3:uid="{DFD042BD-F7CB-4565-AC6F-7B5C098787FA}" name="Column2959"/>
    <tableColumn id="2965" xr3:uid="{0A49D828-F475-4EBC-91CE-B6F211A00ABC}" name="Column2960"/>
    <tableColumn id="2966" xr3:uid="{76AEC5E3-9B7F-4140-9764-DF61BFDB564A}" name="Column2961"/>
    <tableColumn id="2967" xr3:uid="{107B27BC-F418-4E8C-A103-B8D1EDF5CACE}" name="Column2962"/>
    <tableColumn id="2968" xr3:uid="{798937CD-6599-4FB9-84D9-937099F20F7B}" name="Column2963"/>
    <tableColumn id="2969" xr3:uid="{6F2B136E-E304-49CC-9F8B-72866C04A97C}" name="Column2964"/>
    <tableColumn id="2970" xr3:uid="{33259280-A215-4D1A-A4D2-E28019147ABD}" name="Column2965"/>
    <tableColumn id="2971" xr3:uid="{181E0BBD-5224-4640-8BA1-6EBF709F515D}" name="Column2966"/>
    <tableColumn id="2972" xr3:uid="{D71A0D28-1EA2-48D6-B5D1-88CE4E02F069}" name="Column2967"/>
    <tableColumn id="2973" xr3:uid="{3EF963E9-4733-47D1-A3E1-B73B9A2563C4}" name="Column2968"/>
    <tableColumn id="2974" xr3:uid="{289D3FA8-0146-4E85-A737-0F3BC20797B8}" name="Column2969"/>
    <tableColumn id="2975" xr3:uid="{F6B4CA32-1FFE-403F-AC69-72487BF8BB08}" name="Column2970"/>
    <tableColumn id="2976" xr3:uid="{B6CC2C38-9B0D-4C2C-BDE5-23490A2E0397}" name="Column2971"/>
    <tableColumn id="2977" xr3:uid="{7A023902-5121-4277-B5B4-750900998A4A}" name="Column2972"/>
    <tableColumn id="2978" xr3:uid="{2EF2DE50-F678-4342-B200-80D9F8141D56}" name="Column2973"/>
    <tableColumn id="2979" xr3:uid="{B7B66AD4-D3C3-4C59-8FEA-8878B107D157}" name="Column2974"/>
    <tableColumn id="2980" xr3:uid="{9F1DF247-C31D-466E-AB52-7D4FA2B4E61A}" name="Column2975"/>
    <tableColumn id="2981" xr3:uid="{58FFBA7D-45B8-44B2-AD3A-9DA336FDE610}" name="Column2976"/>
    <tableColumn id="2982" xr3:uid="{6FBAF5A8-BA20-485C-9414-6E9CBFF31ECB}" name="Column2977"/>
    <tableColumn id="2983" xr3:uid="{EC22369A-24AE-4012-9168-15DBD0D711B7}" name="Column2978"/>
    <tableColumn id="2984" xr3:uid="{E8579D83-01E9-46C0-8444-D1D58105DAC6}" name="Column2979"/>
    <tableColumn id="2985" xr3:uid="{00C6CC8F-1FD0-40A3-A70F-A5868A0FAE20}" name="Column2980"/>
    <tableColumn id="2986" xr3:uid="{A6C4E90B-07E7-4F7B-A49B-5040E1799930}" name="Column2981"/>
    <tableColumn id="2987" xr3:uid="{04660299-719C-4784-8493-F1EE01CCFBA5}" name="Column2982"/>
    <tableColumn id="2988" xr3:uid="{64F4EFFF-00AE-4400-B778-727F3003FBE6}" name="Column2983"/>
    <tableColumn id="2989" xr3:uid="{214F1E9F-29B2-4D73-8990-03CC70FA8F8F}" name="Column2984"/>
    <tableColumn id="2990" xr3:uid="{389D754B-BE65-4C5D-AAEF-0FAEE161C195}" name="Column2985"/>
    <tableColumn id="2991" xr3:uid="{9BF55D82-BD38-4529-954E-9217243770B1}" name="Column2986"/>
    <tableColumn id="2992" xr3:uid="{59BB16C4-81CE-4278-9623-62E439152943}" name="Column2987"/>
    <tableColumn id="2993" xr3:uid="{DB3A0A85-5C46-4176-A570-2B1DE72E5E70}" name="Column2988"/>
    <tableColumn id="2994" xr3:uid="{181521E7-A64E-456F-8D30-1F891FCF0534}" name="Column2989"/>
    <tableColumn id="2995" xr3:uid="{5DD60357-9DFB-4DE4-96F8-B64E8BF847F2}" name="Column2990"/>
    <tableColumn id="2996" xr3:uid="{7DFAC071-1675-4DAD-98CF-1B024964B338}" name="Column2991"/>
    <tableColumn id="2997" xr3:uid="{50CF8ECA-33C0-40CC-8007-4F087BE8200E}" name="Column2992"/>
    <tableColumn id="2998" xr3:uid="{6403C119-B717-4EBD-AED4-9B10EC4D8487}" name="Column2993"/>
    <tableColumn id="2999" xr3:uid="{B3FBCEDD-81EF-4034-8437-681BA3D318E8}" name="Column2994"/>
    <tableColumn id="3000" xr3:uid="{C07C7330-C310-4BF1-9A1B-78E0AB1A0741}" name="Column2995"/>
    <tableColumn id="3001" xr3:uid="{5B9B18D7-EA89-4AE3-A604-C13322BDEEC3}" name="Column2996"/>
    <tableColumn id="3002" xr3:uid="{66FE10B6-7A0E-437D-A15B-ADE2652799B8}" name="Column2997"/>
    <tableColumn id="3003" xr3:uid="{59C3BA32-E65F-4CB9-8AD4-977CC223BF22}" name="Column2998"/>
    <tableColumn id="3004" xr3:uid="{0369CAD0-9C7E-46A2-85E1-591D08839C6B}" name="Column2999"/>
    <tableColumn id="3005" xr3:uid="{8F7A8AA6-87B8-4764-9F75-C6AA28C9802C}" name="Column3000"/>
    <tableColumn id="3006" xr3:uid="{D3396362-80D5-4879-832D-EBAB6FCBAB84}" name="Column3001"/>
    <tableColumn id="3007" xr3:uid="{6C1EFECB-57A1-4013-8CCD-A0B04A2B5A01}" name="Column3002"/>
    <tableColumn id="3008" xr3:uid="{6C72FE9E-3B03-4D43-B876-FA7234FA0239}" name="Column3003"/>
    <tableColumn id="3009" xr3:uid="{246F0D66-9238-4594-B360-8A750AD8AB9D}" name="Column3004"/>
    <tableColumn id="3010" xr3:uid="{CA1D79D1-2E63-4032-BC50-BE531944FFEA}" name="Column3005"/>
    <tableColumn id="3011" xr3:uid="{1B14BE06-A850-47BC-AB5B-FB08EEEFA2C5}" name="Column3006"/>
    <tableColumn id="3012" xr3:uid="{5C1D3D53-1ADF-4304-A01D-417346CC8F75}" name="Column3007"/>
    <tableColumn id="3013" xr3:uid="{6D58FE3F-9E88-4242-8997-72B6E3EC9993}" name="Column3008"/>
    <tableColumn id="3014" xr3:uid="{EB3BAB38-53DD-4FBE-8E1A-7524FDEEEC4D}" name="Column3009"/>
    <tableColumn id="3015" xr3:uid="{93D43FD9-C86D-4E10-B720-8981804796A4}" name="Column3010"/>
    <tableColumn id="3016" xr3:uid="{E21C308B-3FB1-4816-BD2A-002D0FF0F501}" name="Column3011"/>
    <tableColumn id="3017" xr3:uid="{6F16533E-158B-4C3A-A597-E95C318CFC5F}" name="Column3012"/>
    <tableColumn id="3018" xr3:uid="{014503A9-5217-4BD9-8EF1-74392A0A626F}" name="Column3013"/>
    <tableColumn id="3019" xr3:uid="{837BD300-2688-434D-B42C-0A8CC7CCC368}" name="Column3014"/>
    <tableColumn id="3020" xr3:uid="{125382B7-4238-4A89-BB30-EE3F14C50F5F}" name="Column3015"/>
    <tableColumn id="3021" xr3:uid="{4AA55822-4EF0-4158-99DE-02471A5F0E01}" name="Column3016"/>
    <tableColumn id="3022" xr3:uid="{C5C5D2B7-A96A-4E3C-9339-CA5B26633878}" name="Column3017"/>
    <tableColumn id="3023" xr3:uid="{0E547E81-517D-4A28-BFEE-63F1B0184E3F}" name="Column3018"/>
    <tableColumn id="3024" xr3:uid="{30257D12-3131-44DC-A554-2A1CFB0A12E7}" name="Column3019"/>
    <tableColumn id="3025" xr3:uid="{A8AA24D0-DA93-4DDC-94E7-0DC087214F73}" name="Column3020"/>
    <tableColumn id="3026" xr3:uid="{938B4A72-4A47-411A-8890-7616864B7750}" name="Column3021"/>
    <tableColumn id="3027" xr3:uid="{D82D5654-25CC-4F56-B2CD-A5FB8B656854}" name="Column3022"/>
    <tableColumn id="3028" xr3:uid="{512CD8E2-080E-45A3-A7A2-353FAA7521BD}" name="Column3023"/>
    <tableColumn id="3029" xr3:uid="{C6A30B9A-F115-4BBA-AD50-2492B0469E88}" name="Column3024"/>
    <tableColumn id="3030" xr3:uid="{1BF10E47-BDE7-4699-955D-2EE215623459}" name="Column3025"/>
    <tableColumn id="3031" xr3:uid="{A1005271-E49A-42E1-BF93-E1CE67595D23}" name="Column3026"/>
    <tableColumn id="3032" xr3:uid="{9A9596F5-01AA-434B-A724-75BC892CD3E0}" name="Column3027"/>
    <tableColumn id="3033" xr3:uid="{E321D1E1-08B5-4B75-BC7A-59B1D2B70518}" name="Column3028"/>
    <tableColumn id="3034" xr3:uid="{5A8C07D2-DD13-40B8-8765-6A2EFB41A1B1}" name="Column3029"/>
    <tableColumn id="3035" xr3:uid="{4A85C4F1-0B2F-4441-9F55-EEF09735F81E}" name="Column3030"/>
    <tableColumn id="3036" xr3:uid="{FEFC27CA-EDA9-447A-9622-B1DECF12CD6B}" name="Column3031"/>
    <tableColumn id="3037" xr3:uid="{D561998C-8EA6-45C6-B4EC-68871E7BCEC1}" name="Column3032"/>
    <tableColumn id="3038" xr3:uid="{F0AA737E-3C55-41CA-BB7D-D312C8652406}" name="Column3033"/>
    <tableColumn id="3039" xr3:uid="{BCC9D85C-EF92-42A1-8925-89F4F2881C3F}" name="Column3034"/>
    <tableColumn id="3040" xr3:uid="{E16BAC25-2B59-4265-A817-784A018275F2}" name="Column3035"/>
    <tableColumn id="3041" xr3:uid="{4498003E-C028-442B-B946-CA2183CE8B87}" name="Column3036"/>
    <tableColumn id="3042" xr3:uid="{545D3C61-846E-4E5D-842E-518DE43BEF5D}" name="Column3037"/>
    <tableColumn id="3043" xr3:uid="{45BA8DFA-9D1F-4C69-A080-3F287F1555F6}" name="Column3038"/>
    <tableColumn id="3044" xr3:uid="{7EA621E5-7CA1-4477-83A3-3BDF918DF947}" name="Column3039"/>
    <tableColumn id="3045" xr3:uid="{045E08EE-BF3F-4CD5-A7E3-3E3B880DD178}" name="Column3040"/>
    <tableColumn id="3046" xr3:uid="{CF122F41-A36B-42B4-A52F-C663AD2AB59D}" name="Column3041"/>
    <tableColumn id="3047" xr3:uid="{1F49B114-6F48-46EB-97B4-E5E0FF2B4C4D}" name="Column3042"/>
    <tableColumn id="3048" xr3:uid="{6474427F-E3CB-4035-A6E4-B33E4339B740}" name="Column3043"/>
    <tableColumn id="3049" xr3:uid="{18618E4D-68D1-4ABD-AC76-C9AD899C3924}" name="Column3044"/>
    <tableColumn id="3050" xr3:uid="{4F5E2DDB-72E1-42B6-9A68-8CBD41B90B57}" name="Column3045"/>
    <tableColumn id="3051" xr3:uid="{F0475E81-E3FA-49B8-AA7C-358ADC961078}" name="Column3046"/>
    <tableColumn id="3052" xr3:uid="{C53F413C-542D-4B82-8002-0304B259F38F}" name="Column3047"/>
    <tableColumn id="3053" xr3:uid="{6284E128-CE5C-4BF0-9E78-5ED5E700967D}" name="Column3048"/>
    <tableColumn id="3054" xr3:uid="{65917148-347D-45A9-A299-70E632F13623}" name="Column3049"/>
    <tableColumn id="3055" xr3:uid="{AC82D9E3-F747-404A-902E-7D404378BEB8}" name="Column3050"/>
    <tableColumn id="3056" xr3:uid="{2F33F10D-3F55-48B8-9064-041B380B2658}" name="Column3051"/>
    <tableColumn id="3057" xr3:uid="{FA216040-9655-4582-AD05-350F304BACEC}" name="Column3052"/>
    <tableColumn id="3058" xr3:uid="{62F96380-0BB1-4629-8F34-3FE912AD90EB}" name="Column3053"/>
    <tableColumn id="3059" xr3:uid="{A90EC226-2F36-49D3-AAFF-03C5CBE9232C}" name="Column3054"/>
    <tableColumn id="3060" xr3:uid="{9CAD7EA5-02EA-40C9-93C6-5B0AB782FE59}" name="Column3055"/>
    <tableColumn id="3061" xr3:uid="{F1A13556-3892-4867-9162-1CF9C70319C7}" name="Column3056"/>
    <tableColumn id="3062" xr3:uid="{F8009BE5-8E36-4EC3-8149-D5AEC119B604}" name="Column3057"/>
    <tableColumn id="3063" xr3:uid="{F4CBA233-C4E1-46CC-BB7A-3D67ACDD8D20}" name="Column3058"/>
    <tableColumn id="3064" xr3:uid="{44D56341-B6F1-49BB-81E8-658F926E5F4D}" name="Column3059"/>
    <tableColumn id="3065" xr3:uid="{9DED3D24-CEAD-415B-A7E2-D05FA757D782}" name="Column3060"/>
    <tableColumn id="3066" xr3:uid="{CC20B749-953A-408F-AE9F-5F96BE0CD2CC}" name="Column3061"/>
    <tableColumn id="3067" xr3:uid="{BE9FE6F2-533E-479B-877C-CC9762F4D05C}" name="Column3062"/>
    <tableColumn id="3068" xr3:uid="{F3488785-D75E-4DF3-BB59-71E6F26E57CE}" name="Column3063"/>
    <tableColumn id="3069" xr3:uid="{A362C2A1-AA7C-4389-9E73-E845CD9D3E24}" name="Column3064"/>
    <tableColumn id="3070" xr3:uid="{76747D99-2C07-4EE1-A463-82128ABD19E5}" name="Column3065"/>
    <tableColumn id="3071" xr3:uid="{4EA81616-02EA-461A-88BE-7DBAC3FA6722}" name="Column3066"/>
    <tableColumn id="3072" xr3:uid="{395776EC-AD19-4F33-BFE6-528A5CF163D1}" name="Column3067"/>
    <tableColumn id="3073" xr3:uid="{D7BC7591-C12C-42F3-BD94-D2BE6F3C1452}" name="Column3068"/>
    <tableColumn id="3074" xr3:uid="{7E2BD87F-F032-4A1D-81C2-EC667AE95B83}" name="Column3069"/>
    <tableColumn id="3075" xr3:uid="{D150ED38-B256-42C2-945A-E40CA8107B1E}" name="Column3070"/>
    <tableColumn id="3076" xr3:uid="{4EA37FB0-0244-4579-BD05-0D75849EDA21}" name="Column3071"/>
    <tableColumn id="3077" xr3:uid="{6D1B11A9-ABB7-4889-9F86-DFECD3BE5ECA}" name="Column3072"/>
    <tableColumn id="3078" xr3:uid="{62FF68F9-D6B9-4765-9A4D-94841C2576FA}" name="Column3073"/>
    <tableColumn id="3079" xr3:uid="{E5B1ED5A-14C0-4B10-95F3-3E7DD9E71431}" name="Column3074"/>
    <tableColumn id="3080" xr3:uid="{500CC410-CEC2-4B97-B46F-52FDBB20A1C4}" name="Column3075"/>
    <tableColumn id="3081" xr3:uid="{C96292E5-7F70-4A05-AF09-B113E1163644}" name="Column3076"/>
    <tableColumn id="3082" xr3:uid="{46540C03-13CE-4848-A444-FB9574C01F57}" name="Column3077"/>
    <tableColumn id="3083" xr3:uid="{2D7BBC0D-A03F-45D7-9191-8D3003B05759}" name="Column3078"/>
    <tableColumn id="3084" xr3:uid="{7F7D41F1-6CB5-404F-8CDD-BA71B32CE166}" name="Column3079"/>
    <tableColumn id="3085" xr3:uid="{9A18F8DE-B7F0-4453-8E20-1F0048535D6D}" name="Column3080"/>
    <tableColumn id="3086" xr3:uid="{0B7798D2-F5ED-4D43-A810-3F65156CA7EB}" name="Column3081"/>
    <tableColumn id="3087" xr3:uid="{DFBB3DD9-78F5-43A8-8DBF-8B4428F9B61E}" name="Column3082"/>
    <tableColumn id="3088" xr3:uid="{5DD50CB7-F099-4202-A6A2-F7CCACE6FB6D}" name="Column3083"/>
    <tableColumn id="3089" xr3:uid="{BBD204AD-DBCE-4A2E-81EA-CED8CB68037B}" name="Column3084"/>
    <tableColumn id="3090" xr3:uid="{CCA3408A-1E00-4AAD-BE60-8B8F5B0E6F0E}" name="Column3085"/>
    <tableColumn id="3091" xr3:uid="{D114888E-6E9E-4E9B-AB82-38ACCAC9BE8D}" name="Column3086"/>
    <tableColumn id="3092" xr3:uid="{A51AA1BF-2656-4BEA-833D-B5BEC49FBEFB}" name="Column3087"/>
    <tableColumn id="3093" xr3:uid="{899829CE-9140-48BB-AC9B-9B71AB8660C0}" name="Column3088"/>
    <tableColumn id="3094" xr3:uid="{D023BDA8-8C19-4FD5-8983-4BABED37A412}" name="Column3089"/>
    <tableColumn id="3095" xr3:uid="{02A5F188-F4F1-4897-92D3-A2D519A333BD}" name="Column3090"/>
    <tableColumn id="3096" xr3:uid="{449FC955-49E6-403D-94F7-54B6E6BBD6DB}" name="Column3091"/>
    <tableColumn id="3097" xr3:uid="{E21B06A2-A9F4-462A-BE32-E2F3759F487A}" name="Column3092"/>
    <tableColumn id="3098" xr3:uid="{0BFC044C-E422-4CC2-B6FE-7EE34D9BD56B}" name="Column3093"/>
    <tableColumn id="3099" xr3:uid="{50761120-F3D6-458F-98F4-2FEF63FD7E72}" name="Column3094"/>
    <tableColumn id="3100" xr3:uid="{0B22749F-128F-489E-80E3-C9D5510681FB}" name="Column3095"/>
    <tableColumn id="3101" xr3:uid="{A559268A-C081-4AED-A929-97A993739D13}" name="Column3096"/>
    <tableColumn id="3102" xr3:uid="{304D1832-B3C3-4A43-9321-0263A0E255EB}" name="Column3097"/>
    <tableColumn id="3103" xr3:uid="{3EFB649E-37FF-49F1-B633-59162C836519}" name="Column3098"/>
    <tableColumn id="3104" xr3:uid="{C58A39B8-EBA1-4ABC-8B6E-DE6EA8F0C3C7}" name="Column3099"/>
    <tableColumn id="3105" xr3:uid="{E820F7ED-CF57-4DFE-96E0-37DE67731E27}" name="Column3100"/>
    <tableColumn id="3106" xr3:uid="{38945114-E504-408B-BBC3-024B54353B3A}" name="Column3101"/>
    <tableColumn id="3107" xr3:uid="{7676B003-3FD5-472E-94CC-6AA437C03066}" name="Column3102"/>
    <tableColumn id="3108" xr3:uid="{AB015449-5B35-4766-9CF1-761794CB781F}" name="Column3103"/>
    <tableColumn id="3109" xr3:uid="{681103C2-5121-41E8-B2A9-4DFB9E38AADE}" name="Column3104"/>
    <tableColumn id="3110" xr3:uid="{3A80918C-27F0-47FC-93D7-6AEE4DC912B8}" name="Column3105"/>
    <tableColumn id="3111" xr3:uid="{E26AE48C-F394-4E56-A0D5-3A2457CBBD77}" name="Column3106"/>
    <tableColumn id="3112" xr3:uid="{8292D9B5-0C39-444E-9D5B-0D2F14B8EBE5}" name="Column3107"/>
    <tableColumn id="3113" xr3:uid="{F094E0EA-3A46-4C28-A156-0514B86816EA}" name="Column3108"/>
    <tableColumn id="3114" xr3:uid="{38ED4C94-953C-4313-A14D-18F4CACCFCB6}" name="Column3109"/>
    <tableColumn id="3115" xr3:uid="{019CB5E0-28F6-4BA5-923D-E737D5E69E79}" name="Column3110"/>
    <tableColumn id="3116" xr3:uid="{CD5C8F23-9D1E-4EBD-8676-6FD5A5F4C7AB}" name="Column3111"/>
    <tableColumn id="3117" xr3:uid="{C8AF764F-FF10-4936-87DB-8962706943C4}" name="Column3112"/>
    <tableColumn id="3118" xr3:uid="{BBAA6F61-29D6-40C2-B2F7-DCF17D343C80}" name="Column3113"/>
    <tableColumn id="3119" xr3:uid="{5C3BAE5D-CDFF-421B-824A-F1EF9DAF31AB}" name="Column3114"/>
    <tableColumn id="3120" xr3:uid="{B6AD31FD-E7BA-477A-AACF-855168ACCCFF}" name="Column3115"/>
    <tableColumn id="3121" xr3:uid="{2E3B4776-B776-42A9-BD9C-82302EF8F9F3}" name="Column3116"/>
    <tableColumn id="3122" xr3:uid="{5E9B78DA-24A4-4BE6-B70E-AE3DD4A96AF4}" name="Column3117"/>
    <tableColumn id="3123" xr3:uid="{996CAB75-6E72-41B4-A023-946E3015B70D}" name="Column3118"/>
    <tableColumn id="3124" xr3:uid="{F9642800-AC94-4F01-8F4A-780D3418BA89}" name="Column3119"/>
    <tableColumn id="3125" xr3:uid="{64023852-A874-442F-AE6B-B8AA063638F7}" name="Column3120"/>
    <tableColumn id="3126" xr3:uid="{7D8593E5-6DA7-4C5F-8C57-1510BD35DC6A}" name="Column3121"/>
    <tableColumn id="3127" xr3:uid="{4C56630A-66DC-434B-B2DB-68AE2A1D0C43}" name="Column3122"/>
    <tableColumn id="3128" xr3:uid="{40C9795C-C792-4884-90A8-EA999C82CDD0}" name="Column3123"/>
    <tableColumn id="3129" xr3:uid="{26C80CAD-ACAC-4CFF-BF4D-320CE7416649}" name="Column3124"/>
    <tableColumn id="3130" xr3:uid="{E81B5E86-1C27-4826-A8A7-A4A1EBBBD31E}" name="Column3125"/>
    <tableColumn id="3131" xr3:uid="{A292EC34-4287-4B1A-B20B-7505580C040D}" name="Column3126"/>
    <tableColumn id="3132" xr3:uid="{A9F846E3-8853-4405-BCA3-857BD805EC3A}" name="Column3127"/>
    <tableColumn id="3133" xr3:uid="{53F0934F-F886-4B68-8D7A-CF2B9DD697CB}" name="Column3128"/>
    <tableColumn id="3134" xr3:uid="{7F5FEFC7-C2DF-482E-B012-53BACF24E547}" name="Column3129"/>
    <tableColumn id="3135" xr3:uid="{8FD82915-BBB0-471A-BB29-47861D19E376}" name="Column3130"/>
    <tableColumn id="3136" xr3:uid="{93FE9746-1C3C-4997-A334-DE6172DC0F20}" name="Column3131"/>
    <tableColumn id="3137" xr3:uid="{DAD1E0AB-6ACE-4F27-8854-759E56E19FB6}" name="Column3132"/>
    <tableColumn id="3138" xr3:uid="{692B4D0C-7231-445B-A98F-121F97560C5E}" name="Column3133"/>
    <tableColumn id="3139" xr3:uid="{7E8F1F6D-5652-483E-8B74-3D1DCAA17973}" name="Column3134"/>
    <tableColumn id="3140" xr3:uid="{FD41EA47-4274-40B4-ABDA-49995DA5E824}" name="Column3135"/>
    <tableColumn id="3141" xr3:uid="{E2B0795C-058C-47A9-9988-2A5066ED16EA}" name="Column3136"/>
    <tableColumn id="3142" xr3:uid="{A35C5C3E-9AD5-4FEA-BA69-48A624CAB029}" name="Column3137"/>
    <tableColumn id="3143" xr3:uid="{6C6BCAA7-FD47-4141-87FB-0EF0C481EB80}" name="Column3138"/>
    <tableColumn id="3144" xr3:uid="{9169141C-19B1-4BA9-A45C-20F03CB1C995}" name="Column3139"/>
    <tableColumn id="3145" xr3:uid="{2C2EDDBD-5EBE-4B9A-B4A9-8D90700447C1}" name="Column3140"/>
    <tableColumn id="3146" xr3:uid="{38202EAD-BC8D-4417-9CF5-6A2BF4D47680}" name="Column3141"/>
    <tableColumn id="3147" xr3:uid="{DCE8EB43-E1BD-4413-99CD-C791E543FD25}" name="Column3142"/>
    <tableColumn id="3148" xr3:uid="{E94C5E53-B56F-48F8-BB27-28C9F4A75E69}" name="Column3143"/>
    <tableColumn id="3149" xr3:uid="{B60F235B-8306-45BE-8031-C7379DA3F1E4}" name="Column3144"/>
    <tableColumn id="3150" xr3:uid="{88F2CBB3-C55B-49F8-980F-C99A47A9621D}" name="Column3145"/>
    <tableColumn id="3151" xr3:uid="{0DB2F34D-3BF4-4B15-A85C-1BB64CE0980B}" name="Column3146"/>
    <tableColumn id="3152" xr3:uid="{3DA852C2-BB55-427D-88CC-BF520E8078B5}" name="Column3147"/>
    <tableColumn id="3153" xr3:uid="{6A07F2D4-5E14-4170-A6BD-202613F5B016}" name="Column3148"/>
    <tableColumn id="3154" xr3:uid="{F067DBCE-8AC3-4060-91B4-2E6A101DA042}" name="Column3149"/>
    <tableColumn id="3155" xr3:uid="{92E2E482-4BFC-4B79-9908-95D7F006E028}" name="Column3150"/>
    <tableColumn id="3156" xr3:uid="{DA9B8613-99CD-4E3B-9E58-24755730B25F}" name="Column3151"/>
    <tableColumn id="3157" xr3:uid="{42418D41-B914-4CDE-962E-566C36F6FFC4}" name="Column3152"/>
    <tableColumn id="3158" xr3:uid="{9777CF0B-731C-4D11-AB9B-5D280FF92CD9}" name="Column3153"/>
    <tableColumn id="3159" xr3:uid="{2579B68D-260F-4A20-8B62-4C6315B90E8A}" name="Column3154"/>
    <tableColumn id="3160" xr3:uid="{52315D8A-0A0F-479D-A76D-20556F6324BF}" name="Column3155"/>
    <tableColumn id="3161" xr3:uid="{A63D34D6-5DCD-480A-AD06-556BF84A0010}" name="Column3156"/>
    <tableColumn id="3162" xr3:uid="{2F0929B1-4E24-43ED-A7D9-B1D4B7E26346}" name="Column3157"/>
    <tableColumn id="3163" xr3:uid="{BA1801E9-3A4F-492E-8DAE-7EB8E926DB0E}" name="Column3158"/>
    <tableColumn id="3164" xr3:uid="{8D37D071-5600-4783-8C6A-945CEBD95057}" name="Column3159"/>
    <tableColumn id="3165" xr3:uid="{AC13997D-2FBB-4C58-B77E-8317593A788E}" name="Column3160"/>
    <tableColumn id="3166" xr3:uid="{6F486840-5472-486E-A3A4-F4DE159297B8}" name="Column3161"/>
    <tableColumn id="3167" xr3:uid="{57313CB6-96E5-4380-BBE5-F0ACA4EFC675}" name="Column3162"/>
    <tableColumn id="3168" xr3:uid="{9DF2F298-53A3-40D3-8E63-F6C152C3DDD2}" name="Column3163"/>
    <tableColumn id="3169" xr3:uid="{18298A1D-4516-4652-8571-BDDFEDAF8AC4}" name="Column3164"/>
    <tableColumn id="3170" xr3:uid="{5BD04869-5427-4D8A-BAA0-3CF642F169BD}" name="Column3165"/>
    <tableColumn id="3171" xr3:uid="{A816E8A0-D74E-4DAB-815A-287EA2308A3A}" name="Column3166"/>
    <tableColumn id="3172" xr3:uid="{2B60C880-0301-4BC1-871B-27D540DB1792}" name="Column3167"/>
    <tableColumn id="3173" xr3:uid="{470B3D96-7046-4FD7-A09C-4AD6F58F93ED}" name="Column3168"/>
    <tableColumn id="3174" xr3:uid="{ED055752-A303-49EF-A72E-F9A4B546BE2C}" name="Column3169"/>
    <tableColumn id="3175" xr3:uid="{0B864017-99DE-4AD1-918C-09B55FC9A045}" name="Column3170"/>
    <tableColumn id="3176" xr3:uid="{3B55DABF-0151-43F2-8CAD-41C15F063BE1}" name="Column3171"/>
    <tableColumn id="3177" xr3:uid="{B1C7A540-F2B9-4883-B3F3-38C3A31312CF}" name="Column3172"/>
    <tableColumn id="3178" xr3:uid="{F4B0DBBD-53B2-48F0-97BF-743EEAE9E910}" name="Column3173"/>
    <tableColumn id="3179" xr3:uid="{E32CDB72-D31E-450C-9FFB-B9FADAC322DB}" name="Column3174"/>
    <tableColumn id="3180" xr3:uid="{5DCAC5D3-C983-44B1-B2F4-CA516838B4FD}" name="Column3175"/>
    <tableColumn id="3181" xr3:uid="{FDCDCDC5-057E-49D0-93D2-CB02CF5A69AA}" name="Column3176"/>
    <tableColumn id="3182" xr3:uid="{62D022D8-8B0D-4C49-983A-9CB96B168E3D}" name="Column3177"/>
    <tableColumn id="3183" xr3:uid="{F11BBCBE-AD36-4127-8FE7-2215DA4ADD23}" name="Column3178"/>
    <tableColumn id="3184" xr3:uid="{02BDB3CC-1C3F-46AB-9C7C-D661C753EEB6}" name="Column3179"/>
    <tableColumn id="3185" xr3:uid="{B04F0E29-E976-4819-8779-54348BA364AF}" name="Column3180"/>
    <tableColumn id="3186" xr3:uid="{E173667F-94D4-4CE8-A463-853E80AE7DAD}" name="Column3181"/>
    <tableColumn id="3187" xr3:uid="{4078B7E0-2758-4971-AE6A-36DF3E3F1CB2}" name="Column3182"/>
    <tableColumn id="3188" xr3:uid="{C061F707-FD23-4EB9-AC9B-7CB32D6F9BE9}" name="Column3183"/>
    <tableColumn id="3189" xr3:uid="{BE9E5100-43A3-47E4-B1F9-BE93FA72501C}" name="Column3184"/>
    <tableColumn id="3190" xr3:uid="{93BB2661-BA94-4D8D-81CB-C91036581F81}" name="Column3185"/>
    <tableColumn id="3191" xr3:uid="{0569610D-DB81-4E67-9DBF-7EB2CFDBC26B}" name="Column3186"/>
    <tableColumn id="3192" xr3:uid="{EC9C8C1D-AC9E-4AB2-A8A6-9148C02140A3}" name="Column3187"/>
    <tableColumn id="3193" xr3:uid="{D166C402-4354-4961-9B9D-DFFD178AFDA3}" name="Column3188"/>
    <tableColumn id="3194" xr3:uid="{8649B93D-F1A5-442F-9747-C7960869AFB2}" name="Column3189"/>
    <tableColumn id="3195" xr3:uid="{1723A619-F03B-47EE-9263-D43B0DD02A4B}" name="Column3190"/>
    <tableColumn id="3196" xr3:uid="{11FF42B4-1CD9-4EB6-B778-EE1DCD109CD7}" name="Column3191"/>
    <tableColumn id="3197" xr3:uid="{F9B49B83-2B0F-4D10-8282-1705A9197669}" name="Column3192"/>
    <tableColumn id="3198" xr3:uid="{6892414C-1BD7-46C8-B13F-68CB58A5EEF8}" name="Column3193"/>
    <tableColumn id="3199" xr3:uid="{858BCE02-6F5F-4E85-8743-7D7387FE705A}" name="Column3194"/>
    <tableColumn id="3200" xr3:uid="{008844C8-F5D4-4CE9-ACE0-008E0D52F2A2}" name="Column3195"/>
    <tableColumn id="3201" xr3:uid="{00DE1179-7DAF-449A-9615-2F8E0A0094F5}" name="Column3196"/>
    <tableColumn id="3202" xr3:uid="{B84E77B1-58DC-4DF3-89A8-F0C87C38CFBC}" name="Column3197"/>
    <tableColumn id="3203" xr3:uid="{A78F8F9B-070D-4B68-9862-1BDDCD8AA83D}" name="Column3198"/>
    <tableColumn id="3204" xr3:uid="{2074158D-23D1-41E8-A3A1-AEE08545DD5E}" name="Column3199"/>
    <tableColumn id="3205" xr3:uid="{FDA6D241-9E91-457A-874A-8302D0470713}" name="Column3200"/>
    <tableColumn id="3206" xr3:uid="{2DCFC90B-1E83-420F-98C1-236EE659928B}" name="Column3201"/>
    <tableColumn id="3207" xr3:uid="{358C1503-12F0-43D5-876F-65266471FEC6}" name="Column3202"/>
    <tableColumn id="3208" xr3:uid="{291A42E2-C6E2-481C-96DB-ECC55E3558F2}" name="Column3203"/>
    <tableColumn id="3209" xr3:uid="{C62B7FE5-1A41-4E00-8E0D-12C9316EE343}" name="Column3204"/>
    <tableColumn id="3210" xr3:uid="{20E2498D-260C-4C9C-8FFC-5A4B95233BA4}" name="Column3205"/>
    <tableColumn id="3211" xr3:uid="{B0368261-D5D8-4AD7-9370-F3690F3A0DE1}" name="Column3206"/>
    <tableColumn id="3212" xr3:uid="{BE302602-2B3A-4151-AB21-8D57C4D34E1A}" name="Column3207"/>
    <tableColumn id="3213" xr3:uid="{DA8B6B9F-2F0C-4420-9422-9D04ECFFD54B}" name="Column3208"/>
    <tableColumn id="3214" xr3:uid="{8D5856D4-553D-4F0C-9FCA-2A45A8914829}" name="Column3209"/>
    <tableColumn id="3215" xr3:uid="{3F95D50D-420F-43E7-BC0B-9F7B2DAE9A0F}" name="Column3210"/>
    <tableColumn id="3216" xr3:uid="{7E9BFCF7-CB1B-492B-98B6-EC71D0FA123B}" name="Column3211"/>
    <tableColumn id="3217" xr3:uid="{FDD9E89C-277A-4610-8F2F-6BEAD3EDE7B6}" name="Column3212"/>
    <tableColumn id="3218" xr3:uid="{1DACECB7-B97E-4F27-89BF-EEBE8BF0819D}" name="Column3213"/>
    <tableColumn id="3219" xr3:uid="{24A06E2E-212D-4C61-8B03-8AFBA1D638A5}" name="Column3214"/>
    <tableColumn id="3220" xr3:uid="{C138C31A-237E-42AE-87BE-3283CC0C8BB7}" name="Column3215"/>
    <tableColumn id="3221" xr3:uid="{8E1592ED-8277-408B-902F-DE289193D654}" name="Column3216"/>
    <tableColumn id="3222" xr3:uid="{85BCBE2F-D6AF-460C-9A2D-961BEC73F067}" name="Column3217"/>
    <tableColumn id="3223" xr3:uid="{E2AED79F-3BFF-4B0A-AF38-703CCC6959BA}" name="Column3218"/>
    <tableColumn id="3224" xr3:uid="{AFF63FCE-85CD-433D-AD65-BCF5D78FA2C1}" name="Column3219"/>
    <tableColumn id="3225" xr3:uid="{6CFE3867-2E30-494A-BD48-5551F918ACCC}" name="Column3220"/>
    <tableColumn id="3226" xr3:uid="{416975D4-B838-4401-A845-209FF0BD2864}" name="Column3221"/>
    <tableColumn id="3227" xr3:uid="{5CC43D5B-15F4-4CDF-8100-4E618F29D007}" name="Column3222"/>
    <tableColumn id="3228" xr3:uid="{CDE1C79B-7257-4035-A80A-003F26344EFD}" name="Column3223"/>
    <tableColumn id="3229" xr3:uid="{7E09B66F-2BE5-433B-95C6-A9908C904419}" name="Column3224"/>
    <tableColumn id="3230" xr3:uid="{DE1F0B80-49C2-4178-926F-22AD8068824A}" name="Column3225"/>
    <tableColumn id="3231" xr3:uid="{D1667696-D11A-47AB-A35C-F1F9A1DFFC74}" name="Column3226"/>
    <tableColumn id="3232" xr3:uid="{4D5F8B1F-D9CA-4624-AED0-CD8640D92B79}" name="Column3227"/>
    <tableColumn id="3233" xr3:uid="{9BA49D2E-DF6C-4D34-AB1B-C58E4415D6AA}" name="Column3228"/>
    <tableColumn id="3234" xr3:uid="{E5097327-B993-40FE-9D4D-6631D59CE183}" name="Column3229"/>
    <tableColumn id="3235" xr3:uid="{54B9CFFE-7A8D-4158-A9C1-3F12D0A084EA}" name="Column3230"/>
    <tableColumn id="3236" xr3:uid="{A32A7CE9-36E0-4DC6-A105-024564D8F542}" name="Column3231"/>
    <tableColumn id="3237" xr3:uid="{A1554F8F-52A3-4E06-BBD4-092976F4A717}" name="Column3232"/>
    <tableColumn id="3238" xr3:uid="{3580FBC0-0746-42AE-A940-2FDACE96FE12}" name="Column3233"/>
    <tableColumn id="3239" xr3:uid="{C21DD178-F98D-4B78-A00E-2297C05CA3DC}" name="Column3234"/>
    <tableColumn id="3240" xr3:uid="{A76DB542-1C80-4CE6-A443-135A955BDBD8}" name="Column3235"/>
    <tableColumn id="3241" xr3:uid="{870DCBFA-74C0-4E6E-9DD4-D873580B7C48}" name="Column3236"/>
    <tableColumn id="3242" xr3:uid="{DD24F92D-914B-4885-B301-5EAAF78593D4}" name="Column3237"/>
    <tableColumn id="3243" xr3:uid="{5304973D-2B08-4D9D-AAF3-71C95EF7A3FE}" name="Column3238"/>
    <tableColumn id="3244" xr3:uid="{6DC5CC22-70D0-4FD3-8E17-1AD01E39008D}" name="Column3239"/>
    <tableColumn id="3245" xr3:uid="{19FF7E7B-8E77-43EB-9DBA-62C3201868DD}" name="Column3240"/>
    <tableColumn id="3246" xr3:uid="{726D49DC-FF43-4DC4-A0FA-4B1DB1B2F18F}" name="Column3241"/>
    <tableColumn id="3247" xr3:uid="{4819FC3D-2E7F-4814-BA72-B92904AE86F0}" name="Column3242"/>
    <tableColumn id="3248" xr3:uid="{BE7557B1-969E-4E3A-86FE-5FB661D6C9C2}" name="Column3243"/>
    <tableColumn id="3249" xr3:uid="{A970859B-5656-4ABF-A947-D73FA92E6E87}" name="Column3244"/>
    <tableColumn id="3250" xr3:uid="{4C0511FD-3DB2-4369-8E85-64F446D3434D}" name="Column3245"/>
    <tableColumn id="3251" xr3:uid="{15394DD4-375B-4376-82B7-AE8CF54DB4C3}" name="Column3246"/>
    <tableColumn id="3252" xr3:uid="{2CBD5FB8-E819-46FC-926E-E81605203658}" name="Column3247"/>
    <tableColumn id="3253" xr3:uid="{6419421B-1A5E-4DA9-8676-D6A6B4AB628F}" name="Column3248"/>
    <tableColumn id="3254" xr3:uid="{F95D2928-F265-4868-B081-1F5A2AAB0A16}" name="Column3249"/>
    <tableColumn id="3255" xr3:uid="{FF718C73-3392-4C1F-A82A-95E3BFE977A8}" name="Column3250"/>
    <tableColumn id="3256" xr3:uid="{B2C5E6B6-A3E9-4ECE-A26A-95D23186F2C8}" name="Column3251"/>
    <tableColumn id="3257" xr3:uid="{EEA183BD-C3FA-4C4C-8547-FA30593E44B6}" name="Column3252"/>
    <tableColumn id="3258" xr3:uid="{70F192E1-090A-4638-9FFF-2D1B3BFEE0CE}" name="Column3253"/>
    <tableColumn id="3259" xr3:uid="{6440AA56-8E39-46DC-BB64-8269349935FD}" name="Column3254"/>
    <tableColumn id="3260" xr3:uid="{5F3365DF-157A-43DD-8783-C5461171E12E}" name="Column3255"/>
    <tableColumn id="3261" xr3:uid="{BD98C8CA-FCEA-431E-AE14-E2FB4D7E2DA3}" name="Column3256"/>
    <tableColumn id="3262" xr3:uid="{21AAB24B-ACDB-4A8F-B712-8D3CFD54439E}" name="Column3257"/>
    <tableColumn id="3263" xr3:uid="{496CA7E7-4F0E-4534-BECA-6679B1C01A19}" name="Column3258"/>
    <tableColumn id="3264" xr3:uid="{288BADCB-E59A-45F7-8456-9A79EA0C6F20}" name="Column3259"/>
    <tableColumn id="3265" xr3:uid="{803C308A-8538-4D1E-864C-A94FDD44E21E}" name="Column3260"/>
    <tableColumn id="3266" xr3:uid="{2DF7B73E-C55C-49AC-BC1B-0CCBA4B37A43}" name="Column3261"/>
    <tableColumn id="3267" xr3:uid="{FD641172-B774-47CA-88B8-35BBE0A23E25}" name="Column3262"/>
    <tableColumn id="3268" xr3:uid="{BE423B99-26BD-4811-B306-9B5CA8D873B9}" name="Column3263"/>
    <tableColumn id="3269" xr3:uid="{14FAE729-23D0-43CD-9917-637604E0841C}" name="Column3264"/>
    <tableColumn id="3270" xr3:uid="{76F8B00C-9186-436D-A7D3-E82262FFB763}" name="Column3265"/>
    <tableColumn id="3271" xr3:uid="{191CFCD5-62F5-44C3-A2D7-56F185B320D4}" name="Column3266"/>
    <tableColumn id="3272" xr3:uid="{EA773238-D1F9-449C-A0A3-6B86AB7E46DF}" name="Column3267"/>
    <tableColumn id="3273" xr3:uid="{936F921F-7FB5-41E0-8227-78FB11C25006}" name="Column3268"/>
    <tableColumn id="3274" xr3:uid="{4607F607-C0B6-472E-89F9-05E145C03208}" name="Column3269"/>
    <tableColumn id="3275" xr3:uid="{8FE1C4E9-A66F-4E7B-828A-9E8ABB7C0147}" name="Column3270"/>
    <tableColumn id="3276" xr3:uid="{72C38A36-6DE3-4269-8DC6-E0387A6A1F7D}" name="Column3271"/>
    <tableColumn id="3277" xr3:uid="{714738B3-4311-4F81-B9CF-3876C2FF51D7}" name="Column3272"/>
    <tableColumn id="3278" xr3:uid="{8DF9D8FD-2875-492A-887C-C5D1DC94F463}" name="Column3273"/>
    <tableColumn id="3279" xr3:uid="{3E576589-F851-4EE3-B91D-027431B9D8AF}" name="Column3274"/>
    <tableColumn id="3280" xr3:uid="{F4253C2E-024E-41F7-953E-5D1E790EF487}" name="Column3275"/>
    <tableColumn id="3281" xr3:uid="{832A8FEB-BEF9-4490-9420-EA218151DD9F}" name="Column3276"/>
    <tableColumn id="3282" xr3:uid="{2FC7F25F-7D0B-4BEE-BE87-C227733EC1B4}" name="Column3277"/>
    <tableColumn id="3283" xr3:uid="{E7011D6D-C3B7-4E58-82D4-D462C8EEA752}" name="Column3278"/>
    <tableColumn id="3284" xr3:uid="{CA80F5AD-F5F5-4C23-AD9F-3BC28736B3BA}" name="Column3279"/>
    <tableColumn id="3285" xr3:uid="{C60614ED-AD3C-4A76-8297-7A0000505838}" name="Column3280"/>
    <tableColumn id="3286" xr3:uid="{13EFF1F1-21F7-4B29-B771-7B2D2FCA9194}" name="Column3281"/>
    <tableColumn id="3287" xr3:uid="{5B60B293-BB4C-4F0B-9094-9B3498FFB995}" name="Column3282"/>
    <tableColumn id="3288" xr3:uid="{A8B2AA9B-63E5-4C57-B279-ACDE18A61554}" name="Column3283"/>
    <tableColumn id="3289" xr3:uid="{E8B64AA7-2299-43B2-8C36-AD3E05BC67B6}" name="Column3284"/>
    <tableColumn id="3290" xr3:uid="{FE66D688-D660-490F-B7FE-117B946A4EE5}" name="Column3285"/>
    <tableColumn id="3291" xr3:uid="{251648A7-5AEF-425F-B1CC-9E42A527E15E}" name="Column3286"/>
    <tableColumn id="3292" xr3:uid="{43CF7C99-21E6-428B-9343-D6F069160D8C}" name="Column3287"/>
    <tableColumn id="3293" xr3:uid="{11B1DC21-E2DA-4E4B-BD73-4939AFF9BF09}" name="Column3288"/>
    <tableColumn id="3294" xr3:uid="{BAA2B5BC-86DF-465F-8F80-0914558BCD13}" name="Column3289"/>
    <tableColumn id="3295" xr3:uid="{505C7F09-EBFF-4F03-85F3-53D1CC1C30F1}" name="Column3290"/>
    <tableColumn id="3296" xr3:uid="{69677989-93B0-4302-B618-4790348EF492}" name="Column3291"/>
    <tableColumn id="3297" xr3:uid="{0AE98EA8-52B9-4A1C-8634-839DF2EDFC47}" name="Column3292"/>
    <tableColumn id="3298" xr3:uid="{02B262B4-EDD4-4889-9C06-9B55620EF034}" name="Column3293"/>
    <tableColumn id="3299" xr3:uid="{386A2E30-49DF-419E-94C9-BA18EB8E39EB}" name="Column3294"/>
    <tableColumn id="3300" xr3:uid="{1F530EFA-6065-4AB5-A58F-DF85E2DA8FED}" name="Column3295"/>
    <tableColumn id="3301" xr3:uid="{FCE24111-5661-4FD3-A3CB-C161A122A0EB}" name="Column3296"/>
    <tableColumn id="3302" xr3:uid="{2BFB70DE-F66E-47E5-ADA8-CDC381F1A99C}" name="Column3297"/>
    <tableColumn id="3303" xr3:uid="{4B03F646-8D9B-4815-B0E4-47537028B93F}" name="Column3298"/>
    <tableColumn id="3304" xr3:uid="{CFD78AC2-8DFE-4D73-87AE-AA277AD06562}" name="Column3299"/>
    <tableColumn id="3305" xr3:uid="{3DF714C2-FEDF-4D56-9654-3127B003DC42}" name="Column3300"/>
    <tableColumn id="3306" xr3:uid="{955AEF64-6D47-4453-996C-B38593E10D5A}" name="Column3301"/>
    <tableColumn id="3307" xr3:uid="{B5C86CE8-F1C7-41BE-95DF-AA455D42BC74}" name="Column3302"/>
    <tableColumn id="3308" xr3:uid="{F994FAB0-7D06-40EF-B0F3-C9C3D11B37E9}" name="Column3303"/>
    <tableColumn id="3309" xr3:uid="{0FD46F87-75E7-441F-B9CC-1CC7333FE669}" name="Column3304"/>
    <tableColumn id="3310" xr3:uid="{6BD2309B-A6DB-4B50-ACA2-81762873557B}" name="Column3305"/>
    <tableColumn id="3311" xr3:uid="{E4AD8A4F-62D7-4918-A927-5C519A5F7226}" name="Column3306"/>
    <tableColumn id="3312" xr3:uid="{20902E16-5244-4A77-8C8A-AC4161BF8A61}" name="Column3307"/>
    <tableColumn id="3313" xr3:uid="{3B394BCB-163C-4538-930F-A94613A59EBA}" name="Column3308"/>
    <tableColumn id="3314" xr3:uid="{AF08665D-72A7-44AF-95C4-1D24D10C0620}" name="Column3309"/>
    <tableColumn id="3315" xr3:uid="{D0BD3D41-90CC-4150-872B-789E0B4495AB}" name="Column3310"/>
    <tableColumn id="3316" xr3:uid="{E2C14495-449C-4492-A9D6-9C7DF8E34950}" name="Column3311"/>
    <tableColumn id="3317" xr3:uid="{77A23BCD-254F-4F17-BB28-0217D4D77D19}" name="Column3312"/>
    <tableColumn id="3318" xr3:uid="{DD0D93A0-CD2A-4205-8B4B-4444FFF739A7}" name="Column3313"/>
    <tableColumn id="3319" xr3:uid="{81ECCCEF-F62D-436F-B198-55C7222B4558}" name="Column3314"/>
    <tableColumn id="3320" xr3:uid="{78E5FEE8-1EDA-4028-A6F7-254EB75EE8EA}" name="Column3315"/>
    <tableColumn id="3321" xr3:uid="{5FB22535-E8BB-43CB-8106-C5C67038518C}" name="Column3316"/>
    <tableColumn id="3322" xr3:uid="{EE3CE450-E0B3-4B03-A07F-49BEA5FD7BC5}" name="Column3317"/>
    <tableColumn id="3323" xr3:uid="{01270373-BF9B-449F-AE59-ECE09FDF27D5}" name="Column3318"/>
    <tableColumn id="3324" xr3:uid="{3E6A9C2F-BA0B-48EB-95B7-B0FA612C7E7C}" name="Column3319"/>
    <tableColumn id="3325" xr3:uid="{04BC7F20-09BD-4476-BC74-338C07C33872}" name="Column3320"/>
    <tableColumn id="3326" xr3:uid="{17C089BB-381A-4C45-9A6E-9E69DD7DC65C}" name="Column3321"/>
    <tableColumn id="3327" xr3:uid="{9C6E215D-A434-4FF3-85F3-BC660EEA1B6D}" name="Column3322"/>
    <tableColumn id="3328" xr3:uid="{ACFB8E3A-B212-4DF9-83AF-F7BFF75FE7EE}" name="Column3323"/>
    <tableColumn id="3329" xr3:uid="{2494584D-553D-4B85-8FFC-E9AC211E90C7}" name="Column3324"/>
    <tableColumn id="3330" xr3:uid="{85FAEF0C-CFC2-4502-B68F-1F8C71D4EC36}" name="Column3325"/>
    <tableColumn id="3331" xr3:uid="{377C3E17-7B39-4ED0-97D1-244D6D6BCA66}" name="Column3326"/>
    <tableColumn id="3332" xr3:uid="{9CADDAC0-457D-4BAB-9FEE-D2EF1311CC98}" name="Column3327"/>
    <tableColumn id="3333" xr3:uid="{48CEACCA-156C-4519-80C1-C83403A098A5}" name="Column3328"/>
    <tableColumn id="3334" xr3:uid="{67197CEF-52DC-480C-9F4A-05803834A5A3}" name="Column3329"/>
    <tableColumn id="3335" xr3:uid="{951F522C-1CC6-4F55-82B7-B31D4E5A9953}" name="Column3330"/>
    <tableColumn id="3336" xr3:uid="{A96AD029-D006-4229-BBCA-328EEAC29AF2}" name="Column3331"/>
    <tableColumn id="3337" xr3:uid="{A652D6FE-E753-4FEB-94DB-082FD0C7FB80}" name="Column3332"/>
    <tableColumn id="3338" xr3:uid="{61130ABE-96E2-4CDC-AF2A-FD115946607A}" name="Column3333"/>
    <tableColumn id="3339" xr3:uid="{F96CE76B-BCED-4796-BB21-5E84A8F2A89F}" name="Column3334"/>
    <tableColumn id="3340" xr3:uid="{C6F46C10-394B-4975-98E3-875AE452DAE4}" name="Column3335"/>
    <tableColumn id="3341" xr3:uid="{823EFF5E-1C44-4034-8D72-E08A61117693}" name="Column3336"/>
    <tableColumn id="3342" xr3:uid="{95D7E03E-11D0-4BD7-BC3F-98732C9BD40F}" name="Column3337"/>
    <tableColumn id="3343" xr3:uid="{089AFED6-B00D-49C2-A897-AC7562E2BD14}" name="Column3338"/>
    <tableColumn id="3344" xr3:uid="{3B6F3B16-BDA7-444D-ADDE-C99643FC0D2B}" name="Column3339"/>
    <tableColumn id="3345" xr3:uid="{BA71BFA3-A1F3-4797-B6CB-C2592CD9F12A}" name="Column3340"/>
    <tableColumn id="3346" xr3:uid="{043BFDD3-C99F-43E4-A494-BDB3E3F05D49}" name="Column3341"/>
    <tableColumn id="3347" xr3:uid="{3AA7A839-C580-45AB-8225-162CC23D7AAB}" name="Column3342"/>
    <tableColumn id="3348" xr3:uid="{6F7D874B-0BA6-4918-851A-91EB1560165F}" name="Column3343"/>
    <tableColumn id="3349" xr3:uid="{1E85822A-695A-4034-A81C-20F95EFFA91E}" name="Column3344"/>
    <tableColumn id="3350" xr3:uid="{226CEBD0-7C29-45C4-AF60-FFD01B6D258D}" name="Column3345"/>
    <tableColumn id="3351" xr3:uid="{3CC06540-65EF-45DF-AB5E-4CCEDF70A1E0}" name="Column3346"/>
    <tableColumn id="3352" xr3:uid="{2748F9B2-7320-4D72-A758-F143CCFC0A8C}" name="Column3347"/>
    <tableColumn id="3353" xr3:uid="{44552A51-2CF5-423E-BB2D-C3286A10C602}" name="Column3348"/>
    <tableColumn id="3354" xr3:uid="{EE500D1A-BA4E-4C50-8BA8-7AF88A662E1B}" name="Column3349"/>
    <tableColumn id="3355" xr3:uid="{84EC6151-8C0C-4BF7-A6C6-B2AA2AC2696C}" name="Column3350"/>
    <tableColumn id="3356" xr3:uid="{F9FF76B2-F282-46C7-ABEB-81B2E6E5A325}" name="Column3351"/>
    <tableColumn id="3357" xr3:uid="{4F8CBF0C-B4DC-4750-8DEB-83AD581BA677}" name="Column3352"/>
    <tableColumn id="3358" xr3:uid="{8B9AE44E-238B-4B7E-A0E0-69FEBF56E230}" name="Column3353"/>
    <tableColumn id="3359" xr3:uid="{3651FB47-5BB6-4865-A586-D93499BC66AC}" name="Column3354"/>
    <tableColumn id="3360" xr3:uid="{A4C76ADE-E780-48F7-B806-3A836FBFB2D0}" name="Column3355"/>
    <tableColumn id="3361" xr3:uid="{63E85448-5B0E-4F0D-81F3-6BBD85EE7885}" name="Column3356"/>
    <tableColumn id="3362" xr3:uid="{81220054-9CA5-4E1A-A405-969226DF7148}" name="Column3357"/>
    <tableColumn id="3363" xr3:uid="{5D25EAB1-1A55-4AEE-ABB0-B29E0B4394DF}" name="Column3358"/>
    <tableColumn id="3364" xr3:uid="{23184C91-EB6A-43BD-BE85-CC614EF354E2}" name="Column3359"/>
    <tableColumn id="3365" xr3:uid="{82AABF16-D230-4B0B-95A0-43A394784927}" name="Column3360"/>
    <tableColumn id="3366" xr3:uid="{39A029AA-33D6-4887-93B2-2425B74EFD06}" name="Column3361"/>
    <tableColumn id="3367" xr3:uid="{58EE62EA-DDE4-44B2-BFBC-A2C9AB1666AE}" name="Column3362"/>
    <tableColumn id="3368" xr3:uid="{91F7EF6B-C9CC-4B38-8EDE-20011B248B6C}" name="Column3363"/>
    <tableColumn id="3369" xr3:uid="{B6DEC653-FDE0-4508-B24C-098C09847B9D}" name="Column3364"/>
    <tableColumn id="3370" xr3:uid="{56211B4E-7238-4FE9-8198-8987264AA823}" name="Column3365"/>
    <tableColumn id="3371" xr3:uid="{CB8FE34B-5708-498B-82AD-977E3892D31A}" name="Column3366"/>
    <tableColumn id="3372" xr3:uid="{134C950E-DA08-4B2D-9E59-8D907A936545}" name="Column3367"/>
    <tableColumn id="3373" xr3:uid="{B137BD8D-1016-4D6B-B5FA-2473AD36E674}" name="Column3368"/>
    <tableColumn id="3374" xr3:uid="{EDDF6887-90C1-43B2-8404-18AFDCD6507A}" name="Column3369"/>
    <tableColumn id="3375" xr3:uid="{CF78CDAD-2078-4D68-BE91-BEEC443141BD}" name="Column3370"/>
    <tableColumn id="3376" xr3:uid="{8611D819-0440-4543-9CC9-0417C4DEEECB}" name="Column3371"/>
    <tableColumn id="3377" xr3:uid="{3568597D-C044-4D83-A2C0-0F56256D497E}" name="Column3372"/>
    <tableColumn id="3378" xr3:uid="{C5C62D4B-82FE-4B44-ACDD-2D4190BA5C54}" name="Column3373"/>
    <tableColumn id="3379" xr3:uid="{A9A90A8C-F342-4A63-8CF3-14DC2D0E0F7F}" name="Column3374"/>
    <tableColumn id="3380" xr3:uid="{930690BE-CB60-4DAE-A098-BB088DB3FABC}" name="Column3375"/>
    <tableColumn id="3381" xr3:uid="{B86DA929-6B88-48C5-9800-3FC0E41CE49F}" name="Column3376"/>
    <tableColumn id="3382" xr3:uid="{2AA00F78-E516-4CF3-9509-6753968DBEC1}" name="Column3377"/>
    <tableColumn id="3383" xr3:uid="{929A679D-9708-4D73-8164-E52A4BFF76D4}" name="Column3378"/>
    <tableColumn id="3384" xr3:uid="{95F2D5F3-8C36-481E-9DC3-501667C22A30}" name="Column3379"/>
    <tableColumn id="3385" xr3:uid="{B18BA962-4FC7-44F0-A10A-F05C82CB4410}" name="Column3380"/>
    <tableColumn id="3386" xr3:uid="{4675EB79-2AF3-4108-840C-50B78DD6DC8C}" name="Column3381"/>
    <tableColumn id="3387" xr3:uid="{B36C1D9A-FFD2-4654-8B7D-3A3D80BD025F}" name="Column3382"/>
    <tableColumn id="3388" xr3:uid="{997402A8-6246-460F-AA6E-AADF9DD26628}" name="Column3383"/>
    <tableColumn id="3389" xr3:uid="{43D4AA24-CDD2-4224-8F1E-CC34DA3AA46E}" name="Column3384"/>
    <tableColumn id="3390" xr3:uid="{5AD12C92-2E90-4383-AD7A-9E0EFAD8A27C}" name="Column3385"/>
    <tableColumn id="3391" xr3:uid="{37B44AA6-05A3-41B7-8479-1D906EB2A76C}" name="Column3386"/>
    <tableColumn id="3392" xr3:uid="{673BF6CF-341A-4312-A3E5-373A259A462D}" name="Column3387"/>
    <tableColumn id="3393" xr3:uid="{C05B1684-F828-4380-ABA4-A4B4362E5D74}" name="Column3388"/>
    <tableColumn id="3394" xr3:uid="{FC9A3045-42F6-4F16-B32D-C8E0E8068B1A}" name="Column3389"/>
    <tableColumn id="3395" xr3:uid="{8F0CEA2D-A9B4-47FE-985A-E73B92D8EA42}" name="Column3390"/>
    <tableColumn id="3396" xr3:uid="{77578CB2-5C29-4E1D-A65F-70D43B5B95F8}" name="Column3391"/>
    <tableColumn id="3397" xr3:uid="{0BAA6FC5-76F6-4C35-8387-6EF0AABCF260}" name="Column3392"/>
    <tableColumn id="3398" xr3:uid="{73B9D7CB-4AC7-49EF-8ECE-2B4297D42607}" name="Column3393"/>
    <tableColumn id="3399" xr3:uid="{E0D6FD4B-6305-40A8-BC04-323E58DDCE29}" name="Column3394"/>
    <tableColumn id="3400" xr3:uid="{C0FED9A3-CF34-4513-84A3-6B016B61D27C}" name="Column3395"/>
    <tableColumn id="3401" xr3:uid="{5FDC0443-D520-470D-B356-FA0EA25E5493}" name="Column3396"/>
    <tableColumn id="3402" xr3:uid="{1A1611BC-5D55-40A0-BBAF-7E6D4DEA6864}" name="Column3397"/>
    <tableColumn id="3403" xr3:uid="{734744F5-BC73-4F4F-9DC6-8BEB4FA84045}" name="Column3398"/>
    <tableColumn id="3404" xr3:uid="{E87AAC30-4138-4A8B-82A1-84AA95DD1D35}" name="Column3399"/>
    <tableColumn id="3405" xr3:uid="{1A431ECD-2415-4997-9A63-260963CE9C9E}" name="Column3400"/>
    <tableColumn id="3406" xr3:uid="{F649E946-B30B-4B5B-86DA-8F37D88788BA}" name="Column3401"/>
    <tableColumn id="3407" xr3:uid="{34CF4DD6-2E16-4619-B112-12419CF54882}" name="Column3402"/>
    <tableColumn id="3408" xr3:uid="{7F03C341-8DF2-42DC-90C4-D5DD24D32A14}" name="Column3403"/>
    <tableColumn id="3409" xr3:uid="{3B33F2DF-EAF2-4B45-9B53-7EB41E33B004}" name="Column3404"/>
    <tableColumn id="3410" xr3:uid="{786C4F42-30C5-44F1-9E81-3566E2710496}" name="Column3405"/>
    <tableColumn id="3411" xr3:uid="{5F1B6D41-214C-4989-A748-0662E9EAFA08}" name="Column3406"/>
    <tableColumn id="3412" xr3:uid="{4A49FC62-35E3-43F8-97E5-1491CFD3D410}" name="Column3407"/>
    <tableColumn id="3413" xr3:uid="{104B9072-5BE9-4327-9EB8-B5B31959A130}" name="Column3408"/>
    <tableColumn id="3414" xr3:uid="{2BF04237-B28D-4AF6-B2D4-A46045B62AE5}" name="Column3409"/>
    <tableColumn id="3415" xr3:uid="{3228FD9F-B98C-4535-A236-EA1791691A32}" name="Column3410"/>
    <tableColumn id="3416" xr3:uid="{8DC2CB34-6B35-4C26-8A65-110C483B7CF6}" name="Column3411"/>
    <tableColumn id="3417" xr3:uid="{572DDA6F-33D5-4204-B826-2BB515FC34AA}" name="Column3412"/>
    <tableColumn id="3418" xr3:uid="{D69880AE-F666-4B2F-8F73-FE05C76734D5}" name="Column3413"/>
    <tableColumn id="3419" xr3:uid="{3FD22465-6D14-4B47-AA6E-9A75915E0F9E}" name="Column3414"/>
    <tableColumn id="3420" xr3:uid="{4EA2E94D-0CBD-42C9-BBA9-8D3C9A87F460}" name="Column3415"/>
    <tableColumn id="3421" xr3:uid="{A0E83C00-CCCB-4CBD-BC90-C0EE66286671}" name="Column3416"/>
    <tableColumn id="3422" xr3:uid="{8473AECB-8605-449C-9CFD-A2FD3FF2AAC2}" name="Column3417"/>
    <tableColumn id="3423" xr3:uid="{3A338008-F7FB-447C-98DC-B31E882AC62E}" name="Column3418"/>
    <tableColumn id="3424" xr3:uid="{33508522-F9FC-4833-9710-C12FCBB89C13}" name="Column3419"/>
    <tableColumn id="3425" xr3:uid="{FB2C8E85-9CC6-401F-99C7-24AC0F153621}" name="Column3420"/>
    <tableColumn id="3426" xr3:uid="{1EE7B2DA-DDD3-42CB-9C68-B18EF74692A9}" name="Column3421"/>
    <tableColumn id="3427" xr3:uid="{BEE82BF3-DF73-4D53-B9A9-01D2BCF9E993}" name="Column3422"/>
    <tableColumn id="3428" xr3:uid="{EF9859FC-5C3C-4B0D-983A-5848FC44BDB3}" name="Column3423"/>
    <tableColumn id="3429" xr3:uid="{DEACCFE4-8A50-4194-96C2-9E51A1EC9582}" name="Column3424"/>
    <tableColumn id="3430" xr3:uid="{C80BAA7A-029E-4485-B258-29F4B44915AE}" name="Column3425"/>
    <tableColumn id="3431" xr3:uid="{200D0E4D-4026-41C7-A78B-4DF2CD74388D}" name="Column3426"/>
    <tableColumn id="3432" xr3:uid="{2D8E637B-32AE-4C7C-BCE5-6C152D4388DB}" name="Column3427"/>
    <tableColumn id="3433" xr3:uid="{01DC3483-A3A5-463A-B7CF-6A1BF9CCFE9F}" name="Column3428"/>
    <tableColumn id="3434" xr3:uid="{69F53239-E4F8-4B33-AA21-089098DF77E3}" name="Column3429"/>
    <tableColumn id="3435" xr3:uid="{41FFF9A6-9880-44A6-B640-26F69CE6D06B}" name="Column3430"/>
    <tableColumn id="3436" xr3:uid="{1997F0EE-F59F-4A33-8A84-484C46E95F35}" name="Column3431"/>
    <tableColumn id="3437" xr3:uid="{FB3ECF30-7712-4CD2-9DF7-342435EE1B47}" name="Column3432"/>
    <tableColumn id="3438" xr3:uid="{09DBAC5F-3B38-4D5A-AD48-67B3994C656D}" name="Column3433"/>
    <tableColumn id="3439" xr3:uid="{EC43615C-3C24-46E0-B74E-E0495D7CB114}" name="Column3434"/>
    <tableColumn id="3440" xr3:uid="{5FA66D7B-0588-46FB-AB6E-08FBAC6B8CCA}" name="Column3435"/>
    <tableColumn id="3441" xr3:uid="{E7253987-BE1B-4429-B68D-158B6B589A38}" name="Column3436"/>
    <tableColumn id="3442" xr3:uid="{61CEF49E-D3C9-416A-8532-3E4772E0863C}" name="Column3437"/>
    <tableColumn id="3443" xr3:uid="{6A28C171-D1D5-48E5-A0CF-B68A9FC47D41}" name="Column3438"/>
    <tableColumn id="3444" xr3:uid="{A9B1B9C9-68C2-470C-85AA-342B05C88D37}" name="Column3439"/>
    <tableColumn id="3445" xr3:uid="{1B41CADC-8FDE-484F-A330-B11DBDF501D2}" name="Column3440"/>
    <tableColumn id="3446" xr3:uid="{DAB6F38E-1150-47A6-843C-59C55B55F30D}" name="Column3441"/>
    <tableColumn id="3447" xr3:uid="{AFDD47D5-37AF-48CB-AD3C-79E81390B6FA}" name="Column3442"/>
    <tableColumn id="3448" xr3:uid="{9AF31183-D5F4-4F40-88F1-C25222C2E2E4}" name="Column3443"/>
    <tableColumn id="3449" xr3:uid="{90D14453-0894-4613-A87A-01FD5C61E13E}" name="Column3444"/>
    <tableColumn id="3450" xr3:uid="{D2031080-366F-4854-A74C-D350A0C4A3E6}" name="Column3445"/>
    <tableColumn id="3451" xr3:uid="{4A0DEF82-09AD-46C4-AFA2-FB2AEE886A5D}" name="Column3446"/>
    <tableColumn id="3452" xr3:uid="{BCA4FF3F-807E-4D5B-9E36-DDC247306EE7}" name="Column3447"/>
    <tableColumn id="3453" xr3:uid="{540150B7-BCA0-4C6D-95A4-B9051CFE5502}" name="Column3448"/>
    <tableColumn id="3454" xr3:uid="{6D827735-9D40-4B02-A61A-96EA37A0ACCE}" name="Column3449"/>
    <tableColumn id="3455" xr3:uid="{EB0DC548-8F03-48D0-947D-74CB8D3F451F}" name="Column3450"/>
    <tableColumn id="3456" xr3:uid="{F4808917-0B9C-4AD5-8B48-C6A212694145}" name="Column3451"/>
    <tableColumn id="3457" xr3:uid="{121367BB-27AE-47E8-B96C-4BBE0C98BC06}" name="Column3452"/>
    <tableColumn id="3458" xr3:uid="{44AA78B8-A19B-4318-865D-B5D084CC55AF}" name="Column3453"/>
    <tableColumn id="3459" xr3:uid="{F044AAE6-1664-42FC-A3AF-34D3C2EE8D9B}" name="Column3454"/>
    <tableColumn id="3460" xr3:uid="{B002971B-4369-4FAA-9278-1FD2E541FDD0}" name="Column3455"/>
    <tableColumn id="3461" xr3:uid="{37AE29D8-1C4F-444B-B448-153B463F85CF}" name="Column3456"/>
    <tableColumn id="3462" xr3:uid="{6B608748-0138-4B1B-949F-74B77164988A}" name="Column3457"/>
    <tableColumn id="3463" xr3:uid="{725B53AB-5E21-4E7D-A82E-5D8645298E89}" name="Column3458"/>
    <tableColumn id="3464" xr3:uid="{BC7C7F97-26CB-4F03-A592-06C750280C36}" name="Column3459"/>
    <tableColumn id="3465" xr3:uid="{CEE8EC20-F26F-45D6-8D5B-589E923ED09B}" name="Column3460"/>
    <tableColumn id="3466" xr3:uid="{ECE02C0B-7D66-4F7A-91DD-B6BA2E07CC95}" name="Column3461"/>
    <tableColumn id="3467" xr3:uid="{9F60A435-7662-4469-BA9D-097C6AFFE5F7}" name="Column3462"/>
    <tableColumn id="3468" xr3:uid="{D3CBEE9B-DD5C-4744-A63C-CBA1AFCC805A}" name="Column3463"/>
    <tableColumn id="3469" xr3:uid="{3900EC92-7480-4258-87AC-4F24591AFEE3}" name="Column3464"/>
    <tableColumn id="3470" xr3:uid="{D95C5D97-4C50-4D0D-B76B-50F29B018CCD}" name="Column3465"/>
    <tableColumn id="3471" xr3:uid="{B99F9DEB-D533-4661-BCDD-C90FEE2FCE80}" name="Column3466"/>
    <tableColumn id="3472" xr3:uid="{091B8450-979C-4CDC-990C-B0496D0365BF}" name="Column3467"/>
    <tableColumn id="3473" xr3:uid="{C1566E6E-4223-4696-95E0-5C709B68204F}" name="Column3468"/>
    <tableColumn id="3474" xr3:uid="{5DC3D0C2-0D65-4A64-9163-A14C5165819A}" name="Column3469"/>
    <tableColumn id="3475" xr3:uid="{C5AEB48A-679A-43FB-8473-70A8C1ACB915}" name="Column3470"/>
    <tableColumn id="3476" xr3:uid="{3ACADAA0-83DE-4B22-B3B8-ABE008CCB67C}" name="Column3471"/>
    <tableColumn id="3477" xr3:uid="{C1B20F3C-026E-4170-8379-7AA3BA77A71B}" name="Column3472"/>
    <tableColumn id="3478" xr3:uid="{65C1413D-2F6B-4476-81A8-47D881887382}" name="Column3473"/>
    <tableColumn id="3479" xr3:uid="{5F322C86-B896-45A6-8899-7A017480412D}" name="Column3474"/>
    <tableColumn id="3480" xr3:uid="{AA8D169B-6BC4-4B5D-AAB0-A97D9B7C3126}" name="Column3475"/>
    <tableColumn id="3481" xr3:uid="{54C84CFA-6355-47CC-BC3E-78D35D95C00A}" name="Column3476"/>
    <tableColumn id="3482" xr3:uid="{8CC052EE-4C9F-47A3-8C03-32DA260AE885}" name="Column3477"/>
    <tableColumn id="3483" xr3:uid="{0EB608C4-A446-4D68-8CE5-E0DD0B07ACE7}" name="Column3478"/>
    <tableColumn id="3484" xr3:uid="{91CCA857-1849-48A0-83E9-3A884149FD5E}" name="Column3479"/>
    <tableColumn id="3485" xr3:uid="{203922C5-3131-4E9E-B105-22A5A6F0E22A}" name="Column3480"/>
    <tableColumn id="3486" xr3:uid="{F1758DFA-C4D3-4CB6-9FB7-4E0BA881D551}" name="Column3481"/>
    <tableColumn id="3487" xr3:uid="{882057E5-5B3D-4194-B582-FBAF679FFE79}" name="Column3482"/>
    <tableColumn id="3488" xr3:uid="{0AB37623-9C72-4F36-A8D2-C48DBC615A42}" name="Column3483"/>
    <tableColumn id="3489" xr3:uid="{89F015CF-E725-4906-A2DD-57C368A4E58A}" name="Column3484"/>
    <tableColumn id="3490" xr3:uid="{BF7FB4A0-1817-4D9F-99A2-5E244CB2ED36}" name="Column3485"/>
    <tableColumn id="3491" xr3:uid="{B127FA7C-E142-4AC3-9C4B-408A85113CCA}" name="Column3486"/>
    <tableColumn id="3492" xr3:uid="{E1CB1677-55C0-4E62-8E64-E68A4608AD77}" name="Column3487"/>
    <tableColumn id="3493" xr3:uid="{06453197-CFA8-4867-8383-F9D8FE7D6A40}" name="Column3488"/>
    <tableColumn id="3494" xr3:uid="{F0E84305-43B1-42E9-AA67-91A57BDFC5AE}" name="Column3489"/>
    <tableColumn id="3495" xr3:uid="{25473BD3-47AF-4259-9026-3E9DF067127E}" name="Column3490"/>
    <tableColumn id="3496" xr3:uid="{57A894EA-6AEC-4563-A1CA-326BE6770646}" name="Column3491"/>
    <tableColumn id="3497" xr3:uid="{77E26AE4-577E-4ED1-8F2E-6BFAB761875F}" name="Column3492"/>
    <tableColumn id="3498" xr3:uid="{54B18A6A-9078-4F42-A136-03D6B7B44296}" name="Column3493"/>
    <tableColumn id="3499" xr3:uid="{5B2FEDD4-4483-4ECA-9F0D-A79004994B51}" name="Column3494"/>
    <tableColumn id="3500" xr3:uid="{0F369077-7FCA-4DE0-AB01-9D402D6563B5}" name="Column3495"/>
    <tableColumn id="3501" xr3:uid="{C56D6FB9-4B20-4383-84EE-14CA7B0E5548}" name="Column3496"/>
    <tableColumn id="3502" xr3:uid="{94F618A3-DFA8-45DD-BAAF-58DDF49EE062}" name="Column3497"/>
    <tableColumn id="3503" xr3:uid="{55F2004C-BEF1-4291-B276-26B7D86C1D27}" name="Column3498"/>
    <tableColumn id="3504" xr3:uid="{B8ED99B1-123C-4BEF-9008-6DF8A277A17D}" name="Column3499"/>
    <tableColumn id="3505" xr3:uid="{278C4EC3-C1B1-4F7D-8C33-8B765154AE9E}" name="Column3500"/>
    <tableColumn id="3506" xr3:uid="{4983974D-6E3C-4966-96F8-15B7ACF87380}" name="Column3501"/>
    <tableColumn id="3507" xr3:uid="{E2BAA495-F67F-4643-A3E7-74D178C84F6B}" name="Column3502"/>
    <tableColumn id="3508" xr3:uid="{1011ACF7-1928-4609-909E-B81409C6A3DD}" name="Column3503"/>
    <tableColumn id="3509" xr3:uid="{6BF190AD-D6AB-4946-AEA7-8E0D36F0950D}" name="Column3504"/>
    <tableColumn id="3510" xr3:uid="{764D4661-9DAD-4A65-8BAE-84A92DD9143D}" name="Column3505"/>
    <tableColumn id="3511" xr3:uid="{11CB81CC-6634-4F78-80FB-B562236EC174}" name="Column3506"/>
    <tableColumn id="3512" xr3:uid="{DB782F2D-F6E5-4D2F-8F82-1A223BD91425}" name="Column3507"/>
    <tableColumn id="3513" xr3:uid="{F174DF55-F760-405A-B610-2C14ED32B7EB}" name="Column3508"/>
    <tableColumn id="3514" xr3:uid="{FD0E6BEA-F56B-43C6-86A6-93EB462E752F}" name="Column3509"/>
    <tableColumn id="3515" xr3:uid="{E49270D2-D87D-40B5-A5BD-C398AAB48A03}" name="Column3510"/>
    <tableColumn id="3516" xr3:uid="{7FAC4A3E-8982-4F96-997C-AEAE351DE8FC}" name="Column3511"/>
    <tableColumn id="3517" xr3:uid="{9DCA64DE-21FF-4A1B-B0AB-44E2BCB6B5CD}" name="Column3512"/>
    <tableColumn id="3518" xr3:uid="{33980147-0F58-46D5-AEC4-1922FA4D2799}" name="Column3513"/>
    <tableColumn id="3519" xr3:uid="{A465A6EB-30CF-470D-B17A-EE11DB4D483F}" name="Column3514"/>
    <tableColumn id="3520" xr3:uid="{33CF5F7D-EE58-4E3F-88C1-3E3F18DF0C8F}" name="Column3515"/>
    <tableColumn id="3521" xr3:uid="{CBA6ABFF-AAED-481A-A6D3-F71575791992}" name="Column3516"/>
    <tableColumn id="3522" xr3:uid="{5A46D3E7-12DD-47E8-BD94-8390E56B9CD6}" name="Column3517"/>
    <tableColumn id="3523" xr3:uid="{C343308A-E4D5-4414-B80F-E69844731059}" name="Column3518"/>
    <tableColumn id="3524" xr3:uid="{1B3AADB4-E524-428E-9DC5-548B65D8349E}" name="Column3519"/>
    <tableColumn id="3525" xr3:uid="{96C9051E-27BD-48DB-ADB8-73FABD554770}" name="Column3520"/>
    <tableColumn id="3526" xr3:uid="{647FCEE0-B0E1-480B-992B-151577288CA2}" name="Column3521"/>
    <tableColumn id="3527" xr3:uid="{8976FAB7-5B65-4586-BC14-5B498A906656}" name="Column3522"/>
    <tableColumn id="3528" xr3:uid="{413B14E3-357B-4999-BEFF-744C1CCFE935}" name="Column3523"/>
    <tableColumn id="3529" xr3:uid="{30821985-AC5B-4C3F-B20F-C47AC177FBBC}" name="Column3524"/>
    <tableColumn id="3530" xr3:uid="{E6906114-2AAA-47F2-94B2-E487F8634C72}" name="Column3525"/>
    <tableColumn id="3531" xr3:uid="{4E2A7BAD-BCD9-4711-B3DF-15AE23083DDB}" name="Column3526"/>
    <tableColumn id="3532" xr3:uid="{69745819-4ABA-483F-BF8A-1CCE87EC2D38}" name="Column3527"/>
    <tableColumn id="3533" xr3:uid="{D378F09C-0ADA-4AE3-827C-ED8E1639A00E}" name="Column3528"/>
    <tableColumn id="3534" xr3:uid="{CC98CEC4-BB09-463B-876A-703EE9A21B19}" name="Column3529"/>
    <tableColumn id="3535" xr3:uid="{7F3E611F-ECA2-4A44-9114-079E4A0709CE}" name="Column3530"/>
    <tableColumn id="3536" xr3:uid="{769CCF3B-7107-468A-AF79-038D28E6F423}" name="Column3531"/>
    <tableColumn id="3537" xr3:uid="{EEA827E7-24E9-45C5-8E14-C52D1BB130CA}" name="Column3532"/>
    <tableColumn id="3538" xr3:uid="{CF355A6A-B898-4FE6-BB26-0BED876A9D30}" name="Column3533"/>
    <tableColumn id="3539" xr3:uid="{B16FB835-117D-4DB3-8A54-D09782A64602}" name="Column3534"/>
    <tableColumn id="3540" xr3:uid="{097806A8-E754-4801-A084-0F2167C78925}" name="Column3535"/>
    <tableColumn id="3541" xr3:uid="{F8084834-D55D-4E42-B4C7-963DBF7FCF35}" name="Column3536"/>
    <tableColumn id="3542" xr3:uid="{EC010F9D-9D6F-4510-A5B8-1CC235FE9490}" name="Column3537"/>
    <tableColumn id="3543" xr3:uid="{D2A44CE5-97E4-4B99-9923-14005636A687}" name="Column3538"/>
    <tableColumn id="3544" xr3:uid="{A43B4B3C-076A-4E7F-B7D9-D35C7952E95E}" name="Column3539"/>
    <tableColumn id="3545" xr3:uid="{B8BC2096-D912-4260-AD28-A50D24E1B11C}" name="Column3540"/>
    <tableColumn id="3546" xr3:uid="{78FDD88C-D544-440E-AB2C-04B471F63260}" name="Column3541"/>
    <tableColumn id="3547" xr3:uid="{66A760DB-0BE2-4958-8304-F0998B778BD3}" name="Column3542"/>
    <tableColumn id="3548" xr3:uid="{66B37B4E-E46E-4F60-BCB7-DC9F1B71F89C}" name="Column3543"/>
    <tableColumn id="3549" xr3:uid="{C3EFCE40-27A5-42D8-8162-E97754062674}" name="Column3544"/>
    <tableColumn id="3550" xr3:uid="{B02AEF2F-DF7E-44AD-9112-35DAF2A14722}" name="Column3545"/>
    <tableColumn id="3551" xr3:uid="{2D5AAFB8-D8C5-4C14-8028-D1C21D0A2724}" name="Column3546"/>
    <tableColumn id="3552" xr3:uid="{D400D789-FD3D-4870-B76D-39CF059FFD12}" name="Column3547"/>
    <tableColumn id="3553" xr3:uid="{8301EB27-0406-45E7-B338-5F5B7C6E4F9C}" name="Column3548"/>
    <tableColumn id="3554" xr3:uid="{DD0C2167-6197-44D4-9995-B46C44C6C6C1}" name="Column3549"/>
    <tableColumn id="3555" xr3:uid="{04E4094D-7632-4952-BC09-0613030D2AE6}" name="Column3550"/>
    <tableColumn id="3556" xr3:uid="{94DA099D-2A14-400F-9DBD-8CB06DDBDAF5}" name="Column3551"/>
    <tableColumn id="3557" xr3:uid="{477AC592-3B93-4FBA-B6C7-D8775876B727}" name="Column3552"/>
    <tableColumn id="3558" xr3:uid="{DE2860FD-5D06-4F8B-A7AD-7E0FE719AD77}" name="Column3553"/>
    <tableColumn id="3559" xr3:uid="{0A06386D-2F45-466B-95E8-6D4DAF5434BA}" name="Column3554"/>
    <tableColumn id="3560" xr3:uid="{A937204A-132B-4790-930C-2FBE2BF5DEA4}" name="Column3555"/>
    <tableColumn id="3561" xr3:uid="{DBC74586-146A-48B7-B84B-1916810225CC}" name="Column3556"/>
    <tableColumn id="3562" xr3:uid="{81CEBDDF-BCD9-4EA8-A783-656C05E33AEB}" name="Column3557"/>
    <tableColumn id="3563" xr3:uid="{5215E5DB-9707-4C8A-A21F-D5BAFD404AA3}" name="Column3558"/>
    <tableColumn id="3564" xr3:uid="{0C855085-CBA6-4237-9096-F8762F04B3E3}" name="Column3559"/>
    <tableColumn id="3565" xr3:uid="{C095A2C4-2134-43C5-846D-089FDE168B11}" name="Column3560"/>
    <tableColumn id="3566" xr3:uid="{ADBAFD3C-B674-4D84-B008-210D5D6B3BA7}" name="Column3561"/>
    <tableColumn id="3567" xr3:uid="{D66F80AC-922A-4D2C-BAFB-817BB7F47EE4}" name="Column3562"/>
    <tableColumn id="3568" xr3:uid="{5D31E3B1-30E8-4D86-9ED7-AB35C29F040E}" name="Column3563"/>
    <tableColumn id="3569" xr3:uid="{7C33C8E9-AE35-4C99-921E-688E05D19894}" name="Column3564"/>
    <tableColumn id="3570" xr3:uid="{4C12304A-4ECC-4F07-A505-4404EA7F240B}" name="Column3565"/>
    <tableColumn id="3571" xr3:uid="{E2508EA2-0A74-4631-9F60-9131AA76C884}" name="Column3566"/>
    <tableColumn id="3572" xr3:uid="{D6CD6022-8180-44C8-B3E5-65215ABC9C84}" name="Column3567"/>
    <tableColumn id="3573" xr3:uid="{BAFED9A4-1901-4A6A-98A8-35D1D8F7CCD2}" name="Column3568"/>
    <tableColumn id="3574" xr3:uid="{8DBA143F-E6FE-48B0-BBC0-E703FC052977}" name="Column3569"/>
    <tableColumn id="3575" xr3:uid="{D3344001-E8AA-4183-AE9F-6EBFF75734FA}" name="Column3570"/>
    <tableColumn id="3576" xr3:uid="{2B429F39-C90E-4E25-A950-1D3E22382893}" name="Column3571"/>
    <tableColumn id="3577" xr3:uid="{5D1A536A-6DD7-4C1C-AAB8-B4FA360651CA}" name="Column3572"/>
    <tableColumn id="3578" xr3:uid="{746B342B-2A69-47BA-8B58-25F36F1B50BD}" name="Column3573"/>
    <tableColumn id="3579" xr3:uid="{49561070-500C-4366-A033-9CAFA09D6503}" name="Column3574"/>
    <tableColumn id="3580" xr3:uid="{2C9CB388-61FE-4B1D-B485-C73CDD66CD1F}" name="Column3575"/>
    <tableColumn id="3581" xr3:uid="{E8EC93D9-52C7-4BE8-87DA-02280E76C982}" name="Column3576"/>
    <tableColumn id="3582" xr3:uid="{68F2F5F5-BE4C-49DE-9F26-7CB000514B6C}" name="Column3577"/>
    <tableColumn id="3583" xr3:uid="{501DC940-D049-4B99-B8FC-E5342CC4A0B3}" name="Column3578"/>
    <tableColumn id="3584" xr3:uid="{F29B154F-0237-42C3-8C09-3ABFD78EB202}" name="Column3579"/>
    <tableColumn id="3585" xr3:uid="{54BBED7C-5DA0-4A50-BACD-5840D66161DD}" name="Column3580"/>
    <tableColumn id="3586" xr3:uid="{4BF635EC-2D9F-4720-A81A-41EB1A414E1E}" name="Column3581"/>
    <tableColumn id="3587" xr3:uid="{9B46519D-4ADF-4035-8F7B-9A39C218800D}" name="Column3582"/>
    <tableColumn id="3588" xr3:uid="{CFDED5CF-4EDA-4D5A-BB21-59C76BC6B288}" name="Column3583"/>
    <tableColumn id="3589" xr3:uid="{EBDD32E3-4B8E-4E75-8B27-79C9E104E03D}" name="Column3584"/>
    <tableColumn id="3590" xr3:uid="{B853881E-96E9-4EA9-99E4-53BF2C408EEB}" name="Column3585"/>
    <tableColumn id="3591" xr3:uid="{38209630-AB22-4ED7-B4AC-B2DFA0B942E6}" name="Column3586"/>
    <tableColumn id="3592" xr3:uid="{2116D80E-A1B6-4B70-B76D-0C81B949AC4E}" name="Column3587"/>
    <tableColumn id="3593" xr3:uid="{71D3BA43-C965-4A8D-97EC-87B37A8DBA12}" name="Column3588"/>
    <tableColumn id="3594" xr3:uid="{83E26DC1-8B6C-4765-96B2-44F6A70A5F41}" name="Column3589"/>
    <tableColumn id="3595" xr3:uid="{E94734AB-9477-4838-A4A8-27FECDAE18C2}" name="Column3590"/>
    <tableColumn id="3596" xr3:uid="{6C598527-D689-40F0-9BEB-3643E5CEDCE9}" name="Column3591"/>
    <tableColumn id="3597" xr3:uid="{A9C47291-FC4D-4BDD-8C32-2C1523464252}" name="Column3592"/>
    <tableColumn id="3598" xr3:uid="{31E5CB03-1FFC-440D-A239-7D83CCA17996}" name="Column3593"/>
    <tableColumn id="3599" xr3:uid="{A9AABF13-8B33-41EF-B900-54849419F995}" name="Column3594"/>
    <tableColumn id="3600" xr3:uid="{58567B9E-AF83-4736-B790-358B360805E3}" name="Column3595"/>
    <tableColumn id="3601" xr3:uid="{87E1D7F2-A845-42C7-B376-78CA24736A47}" name="Column3596"/>
    <tableColumn id="3602" xr3:uid="{59044C13-8FFC-4EB0-A6B7-204CE606C60C}" name="Column3597"/>
    <tableColumn id="3603" xr3:uid="{9BA461E0-2F83-4200-B672-176E2E3C520F}" name="Column3598"/>
    <tableColumn id="3604" xr3:uid="{64F2A9C8-3127-4CE5-9A2C-59620F50F951}" name="Column3599"/>
    <tableColumn id="3605" xr3:uid="{7667FBFF-FC8D-41D8-B8BF-3585D5CC85C8}" name="Column3600"/>
    <tableColumn id="3606" xr3:uid="{159B77EE-A3D5-4BF2-9A32-E780B4C7C06D}" name="Column3601"/>
    <tableColumn id="3607" xr3:uid="{AB1632D5-4EAC-4658-9089-238CE4FA1106}" name="Column3602"/>
    <tableColumn id="3608" xr3:uid="{C08D227D-36C1-47E2-AF1C-E15B139829D3}" name="Column3603"/>
    <tableColumn id="3609" xr3:uid="{2F47DE4F-8AF7-4F6D-AD3E-026C69959FA1}" name="Column3604"/>
    <tableColumn id="3610" xr3:uid="{2F52A894-8985-4478-9620-D9C11323AE78}" name="Column3605"/>
    <tableColumn id="3611" xr3:uid="{7272044C-6C95-4BAC-B960-07A038A0117B}" name="Column3606"/>
    <tableColumn id="3612" xr3:uid="{AF36B44C-FA9E-4529-B74E-9B924B18FEB8}" name="Column3607"/>
    <tableColumn id="3613" xr3:uid="{1367BF12-8E17-43B3-8F3D-CF6F321E2092}" name="Column3608"/>
    <tableColumn id="3614" xr3:uid="{23623738-7CFD-4A7F-AC28-A5B5A98B4858}" name="Column3609"/>
    <tableColumn id="3615" xr3:uid="{E83AEFA5-965D-4D69-AC76-A7208762179E}" name="Column3610"/>
    <tableColumn id="3616" xr3:uid="{1EDBA394-1E28-48F5-B371-F9302E1D9BE1}" name="Column3611"/>
    <tableColumn id="3617" xr3:uid="{EDD4194C-FBF9-4FAC-BAA0-E14197124166}" name="Column3612"/>
    <tableColumn id="3618" xr3:uid="{14322FD7-EDE5-48B6-A759-BB3C3EF6A45B}" name="Column3613"/>
    <tableColumn id="3619" xr3:uid="{476AF4ED-E31D-4BF9-BC01-A80334B254BE}" name="Column3614"/>
    <tableColumn id="3620" xr3:uid="{39ED86D8-E1B5-4C8A-BF50-C1C4D2DDCF9B}" name="Column3615"/>
    <tableColumn id="3621" xr3:uid="{B33FE8F4-8A1B-429E-8E37-73656E4C5872}" name="Column3616"/>
    <tableColumn id="3622" xr3:uid="{AA5EEFB7-3C88-4538-81E8-D30EA9612951}" name="Column3617"/>
    <tableColumn id="3623" xr3:uid="{B65B553E-FE80-414D-94E6-82A4E894EE98}" name="Column3618"/>
    <tableColumn id="3624" xr3:uid="{1C9AF679-5C6D-4107-8649-0F17807F9A16}" name="Column3619"/>
    <tableColumn id="3625" xr3:uid="{8FDF89CA-655F-4D94-AF60-4458B644D55B}" name="Column3620"/>
    <tableColumn id="3626" xr3:uid="{4487DC29-71F3-4E7B-B35E-7329CA7E9CCD}" name="Column3621"/>
    <tableColumn id="3627" xr3:uid="{1B0325CD-C67D-4449-B128-E201F045FD8C}" name="Column3622"/>
    <tableColumn id="3628" xr3:uid="{F27FD738-B4D6-4D4A-B9FC-5FF9D7F75DA5}" name="Column3623"/>
    <tableColumn id="3629" xr3:uid="{AACCF8D4-7538-4453-ADFE-F174AC02EB1F}" name="Column3624"/>
    <tableColumn id="3630" xr3:uid="{33AFB1DA-F3B1-4C2C-B0AA-4588537E3498}" name="Column3625"/>
    <tableColumn id="3631" xr3:uid="{A3DD1A7A-FD1E-42D3-82B0-71A13802BCD9}" name="Column3626"/>
    <tableColumn id="3632" xr3:uid="{3B35F6D9-6A7C-4607-A974-0BA919D5BDEE}" name="Column3627"/>
    <tableColumn id="3633" xr3:uid="{0A3BDE17-0CA2-4810-B65D-4BB433C620FA}" name="Column3628"/>
    <tableColumn id="3634" xr3:uid="{74954F14-7412-4CB1-B469-6CF66C1BA3E7}" name="Column3629"/>
    <tableColumn id="3635" xr3:uid="{1CB92122-0D3A-4949-A13B-139326AB0ED3}" name="Column3630"/>
    <tableColumn id="3636" xr3:uid="{D09A7472-CCC2-4AFE-9CB8-2653D57D252C}" name="Column3631"/>
    <tableColumn id="3637" xr3:uid="{F03A7A21-47C4-4E37-A12D-CEB9065B9454}" name="Column3632"/>
    <tableColumn id="3638" xr3:uid="{1F5148B8-9375-482A-92B7-15DA47ADFB47}" name="Column3633"/>
    <tableColumn id="3639" xr3:uid="{E0286617-FF35-4EDA-8EA4-F94FCE4F9366}" name="Column3634"/>
    <tableColumn id="3640" xr3:uid="{C9A5409E-7B8A-445F-B473-118FBC4579A3}" name="Column3635"/>
    <tableColumn id="3641" xr3:uid="{919D9B1A-D9B8-43B3-98B9-1A8C801CD17F}" name="Column3636"/>
    <tableColumn id="3642" xr3:uid="{842A5370-0D22-462A-BB83-50F46D368BE0}" name="Column3637"/>
    <tableColumn id="3643" xr3:uid="{5D5A9E59-0110-4887-B7B4-C406C308FEFB}" name="Column3638"/>
    <tableColumn id="3644" xr3:uid="{09D60701-CBC6-48DA-A3E3-CE7686144CA4}" name="Column3639"/>
    <tableColumn id="3645" xr3:uid="{CFA261FE-F2F5-434D-9713-A9121E38EB9E}" name="Column3640"/>
    <tableColumn id="3646" xr3:uid="{C6690BEC-E2F9-4DD0-A6BE-B425529BAFCE}" name="Column3641"/>
    <tableColumn id="3647" xr3:uid="{355AA0EA-230C-4B5D-BA5A-FD0B14A3D10C}" name="Column3642"/>
    <tableColumn id="3648" xr3:uid="{EB243313-F493-4608-A44C-8EAC7A14A933}" name="Column3643"/>
    <tableColumn id="3649" xr3:uid="{94FB48ED-1AE1-4BCA-918C-437AB097F42F}" name="Column3644"/>
    <tableColumn id="3650" xr3:uid="{5EE77824-BDAF-47E0-9666-A2D99C9282D1}" name="Column3645"/>
    <tableColumn id="3651" xr3:uid="{DDC0491E-1695-4AC4-8DBA-DE2B3A99124D}" name="Column3646"/>
    <tableColumn id="3652" xr3:uid="{2A6B0134-91B8-444D-8F1D-BD3A86FD5EDE}" name="Column3647"/>
    <tableColumn id="3653" xr3:uid="{4607DFEB-639B-498D-8B4C-8D76C12843E0}" name="Column3648"/>
    <tableColumn id="3654" xr3:uid="{27072263-789E-4B8D-9A0C-FD7E52BD9B73}" name="Column3649"/>
    <tableColumn id="3655" xr3:uid="{081D71AB-928F-4B1F-84D1-1FBCC7786D79}" name="Column3650"/>
    <tableColumn id="3656" xr3:uid="{67E5932A-F079-4D42-A499-02918124D44D}" name="Column3651"/>
    <tableColumn id="3657" xr3:uid="{57981954-DF07-4F5A-B966-2B1907EEBD2B}" name="Column3652"/>
    <tableColumn id="3658" xr3:uid="{3D3ADCCD-1780-464B-9A29-B7D19B093E17}" name="Column3653"/>
    <tableColumn id="3659" xr3:uid="{5E793D58-7934-45E3-B0C8-EF40F4627C30}" name="Column3654"/>
    <tableColumn id="3660" xr3:uid="{05D491C3-A162-4B9F-8BAE-F1C613D6AF4E}" name="Column3655"/>
    <tableColumn id="3661" xr3:uid="{2DBDFD5F-ED2F-4B71-9629-F332F2622558}" name="Column3656"/>
    <tableColumn id="3662" xr3:uid="{9B32DD62-1AF0-4E90-8AE1-D1F4B4BFEBDA}" name="Column3657"/>
    <tableColumn id="3663" xr3:uid="{D2A56785-18CC-4D0A-92AB-BDD8BDE68DA9}" name="Column3658"/>
    <tableColumn id="3664" xr3:uid="{4253653B-D350-464A-8006-C3E3112CF376}" name="Column3659"/>
    <tableColumn id="3665" xr3:uid="{B3D5DC3F-1B27-44E9-B8FC-6A48E9B40C65}" name="Column3660"/>
    <tableColumn id="3666" xr3:uid="{0D2650DA-7FC3-4D13-BD2A-B5DFEDD43166}" name="Column3661"/>
    <tableColumn id="3667" xr3:uid="{1E265A17-10E8-4141-A8F3-059CCA75649A}" name="Column3662"/>
    <tableColumn id="3668" xr3:uid="{22D7D9BE-37F8-49FB-A91C-224D461A8607}" name="Column3663"/>
    <tableColumn id="3669" xr3:uid="{9FE80A78-DD1E-49E9-85A4-5B3DBB302051}" name="Column3664"/>
    <tableColumn id="3670" xr3:uid="{AFCFA8BC-52E5-4BFC-97D5-F34EF272EE3D}" name="Column3665"/>
    <tableColumn id="3671" xr3:uid="{9155222D-5AF3-4235-A982-9AA4A5CFA94D}" name="Column3666"/>
    <tableColumn id="3672" xr3:uid="{7098707F-61E0-4665-8AFA-0549B341649E}" name="Column3667"/>
    <tableColumn id="3673" xr3:uid="{C270C1D7-4770-4DD3-9EF9-7136367334CB}" name="Column3668"/>
    <tableColumn id="3674" xr3:uid="{A3AD986D-289F-4920-9A80-CB33628E6E14}" name="Column3669"/>
    <tableColumn id="3675" xr3:uid="{C098BD05-B493-4722-A1C6-186D6E0D752A}" name="Column3670"/>
    <tableColumn id="3676" xr3:uid="{4B74BBD2-F6A3-4F32-AA8B-536FB482318A}" name="Column3671"/>
    <tableColumn id="3677" xr3:uid="{975D0539-80BA-4872-8EA2-3EB74EBEC219}" name="Column3672"/>
    <tableColumn id="3678" xr3:uid="{7A17752C-6737-46C5-9A74-F3392CA0F276}" name="Column3673"/>
    <tableColumn id="3679" xr3:uid="{447C6C58-30F8-4593-A9D8-32468BE1186B}" name="Column3674"/>
    <tableColumn id="3680" xr3:uid="{61386BA3-AFCC-4106-8FD5-176161B13F18}" name="Column3675"/>
    <tableColumn id="3681" xr3:uid="{81FB657A-3A99-4580-B6B1-91EF0215D190}" name="Column3676"/>
    <tableColumn id="3682" xr3:uid="{E53B7E7B-2ABA-4396-B3FE-78E139BA414A}" name="Column3677"/>
    <tableColumn id="3683" xr3:uid="{BD57B012-2152-4E6C-90DA-FB79FE0AAA4C}" name="Column3678"/>
    <tableColumn id="3684" xr3:uid="{DE2F9A30-0E9B-4288-9F4B-80B193AFC20A}" name="Column3679"/>
    <tableColumn id="3685" xr3:uid="{4C316015-90B8-4491-8097-B966D592CF8B}" name="Column3680"/>
    <tableColumn id="3686" xr3:uid="{390ADD8A-6A1B-4545-AECA-62B42C981750}" name="Column3681"/>
    <tableColumn id="3687" xr3:uid="{BDD70C00-14A6-4E53-A514-3B06F1604562}" name="Column3682"/>
    <tableColumn id="3688" xr3:uid="{4310AB64-B810-4EEE-B106-860C2ED9C252}" name="Column3683"/>
    <tableColumn id="3689" xr3:uid="{26A93D53-B68E-4793-A35F-88B8F4699D2D}" name="Column3684"/>
    <tableColumn id="3690" xr3:uid="{49563449-F278-4143-9781-0BB6290AA111}" name="Column3685"/>
    <tableColumn id="3691" xr3:uid="{AD550B25-35FB-4D7E-B716-08E489894EE9}" name="Column3686"/>
    <tableColumn id="3692" xr3:uid="{8BF32AE9-9387-49FA-AB37-D3D4754DB430}" name="Column3687"/>
    <tableColumn id="3693" xr3:uid="{1C613C7C-7525-45C2-A881-50AC752E733B}" name="Column3688"/>
    <tableColumn id="3694" xr3:uid="{474706CB-57BC-4AA1-BC71-3AE6113F4A2F}" name="Column3689"/>
    <tableColumn id="3695" xr3:uid="{A1944431-3B98-45B7-924E-54B6F063CB38}" name="Column3690"/>
    <tableColumn id="3696" xr3:uid="{8FE15E50-9EA1-4AFD-9EBF-7D70AC0DB3B0}" name="Column3691"/>
    <tableColumn id="3697" xr3:uid="{F9CB103E-E362-45AD-B28D-404A15BB99F1}" name="Column3692"/>
    <tableColumn id="3698" xr3:uid="{84F8DBD0-A78C-4B92-B8F3-EF31146F8A61}" name="Column3693"/>
    <tableColumn id="3699" xr3:uid="{2FC9D9CC-E036-49C4-8524-374FD213231F}" name="Column3694"/>
    <tableColumn id="3700" xr3:uid="{772E99D5-D79B-463F-A1DB-6C30E12B18B3}" name="Column3695"/>
    <tableColumn id="3701" xr3:uid="{16662453-AA1D-47D0-AE1B-2AFD7B442B5A}" name="Column3696"/>
    <tableColumn id="3702" xr3:uid="{0DD99E5D-DB3E-4C31-99D3-C388F418074F}" name="Column3697"/>
    <tableColumn id="3703" xr3:uid="{E38437E2-6031-4D4B-B4A9-2CAA254846A6}" name="Column3698"/>
    <tableColumn id="3704" xr3:uid="{90C6A5E3-B656-4539-A774-95703991FFCB}" name="Column3699"/>
    <tableColumn id="3705" xr3:uid="{6B6D84DA-9810-4C80-942D-E27DE59A5D97}" name="Column3700"/>
    <tableColumn id="3706" xr3:uid="{7ED696CC-0B2D-411C-8CC6-DE6CAC97ED80}" name="Column3701"/>
    <tableColumn id="3707" xr3:uid="{F337E4F0-655A-4CDF-B55B-3B0FFD400A40}" name="Column3702"/>
    <tableColumn id="3708" xr3:uid="{01635BE2-43CD-42EF-8CBA-550DFC8EDF17}" name="Column3703"/>
    <tableColumn id="3709" xr3:uid="{0C1A14BB-31B2-4E2C-8982-C8AD1CBA5751}" name="Column3704"/>
    <tableColumn id="3710" xr3:uid="{8565395D-23F9-4CB8-8AEF-D99979AA919B}" name="Column3705"/>
    <tableColumn id="3711" xr3:uid="{60562C62-0636-4800-B6F9-4F62B4A412AC}" name="Column3706"/>
    <tableColumn id="3712" xr3:uid="{B169FB5F-8DBC-40AE-B5A3-3FDDAB2EEE38}" name="Column3707"/>
    <tableColumn id="3713" xr3:uid="{B015479C-6734-4ACD-B9C7-E423BDF33F05}" name="Column3708"/>
    <tableColumn id="3714" xr3:uid="{217B247F-99C4-49BF-BAC0-A0CD586E4BEB}" name="Column3709"/>
    <tableColumn id="3715" xr3:uid="{F7D0D3F4-D1FD-4E2D-BE37-3981FEA39FEB}" name="Column3710"/>
    <tableColumn id="3716" xr3:uid="{A79F54BD-4EC9-4D91-8ED1-13B749CFD806}" name="Column3711"/>
    <tableColumn id="3717" xr3:uid="{E38E3472-958E-4235-B8C4-F8D8CD6DAB9D}" name="Column3712"/>
    <tableColumn id="3718" xr3:uid="{2F38544F-A4CD-4C77-BE4B-DB5741361BB3}" name="Column3713"/>
    <tableColumn id="3719" xr3:uid="{B39C85F1-9B89-49B9-B4CA-F2EF3385956F}" name="Column3714"/>
    <tableColumn id="3720" xr3:uid="{D517D0E1-8638-4D0E-AE1E-32D433789CC3}" name="Column3715"/>
    <tableColumn id="3721" xr3:uid="{A1166E0F-69D7-4DE8-8391-D680093DB1A3}" name="Column3716"/>
    <tableColumn id="3722" xr3:uid="{15D8302E-676C-4B62-B911-5EF79D82D43C}" name="Column3717"/>
    <tableColumn id="3723" xr3:uid="{1E45BFE0-5601-4637-A36E-132AF57CD4FD}" name="Column3718"/>
    <tableColumn id="3724" xr3:uid="{1770B64F-1CFF-449D-A63D-72274D7E5571}" name="Column3719"/>
    <tableColumn id="3725" xr3:uid="{D49F0F1B-A1AA-4284-BE65-F84CD58CFB71}" name="Column3720"/>
    <tableColumn id="3726" xr3:uid="{FF256B15-8388-43C2-976C-6784EB300D6C}" name="Column3721"/>
    <tableColumn id="3727" xr3:uid="{E088EB19-AA60-4441-8466-ED3B01A59B3B}" name="Column3722"/>
    <tableColumn id="3728" xr3:uid="{36130C69-EE85-4591-8879-1AA3D06B9540}" name="Column3723"/>
    <tableColumn id="3729" xr3:uid="{F7F5A7A7-0489-4BD0-9310-B12757318149}" name="Column3724"/>
    <tableColumn id="3730" xr3:uid="{74C0797F-E69D-4E40-BC1E-097D8A081645}" name="Column3725"/>
    <tableColumn id="3731" xr3:uid="{C586F345-221A-4434-A167-3CF0017F773C}" name="Column3726"/>
    <tableColumn id="3732" xr3:uid="{0E836F39-62CF-4359-866D-CD43A7B6328C}" name="Column3727"/>
    <tableColumn id="3733" xr3:uid="{1324A1C8-28DD-48E6-833C-623422DB8FD2}" name="Column3728"/>
    <tableColumn id="3734" xr3:uid="{8E018DAF-3EDF-471F-A7AE-27D25209BFBB}" name="Column3729"/>
    <tableColumn id="3735" xr3:uid="{3991A346-A702-4A47-A2D6-B96810EF6CC1}" name="Column3730"/>
    <tableColumn id="3736" xr3:uid="{AE1EBB24-16D6-4E2C-B02A-C781B07A0207}" name="Column3731"/>
    <tableColumn id="3737" xr3:uid="{AA4D32CA-C6CF-486B-87F4-1910D2AE7B15}" name="Column3732"/>
    <tableColumn id="3738" xr3:uid="{D05B9468-1460-430C-93DC-2ACBE655B779}" name="Column3733"/>
    <tableColumn id="3739" xr3:uid="{6842309E-27AB-4EEC-9354-18DE782AC9AA}" name="Column3734"/>
    <tableColumn id="3740" xr3:uid="{8AB3352F-A6DA-4D8E-BA24-F3C793D1DB8F}" name="Column3735"/>
    <tableColumn id="3741" xr3:uid="{36A2B172-AF6F-4E38-93F7-AB9B82D81E13}" name="Column3736"/>
    <tableColumn id="3742" xr3:uid="{BDEDD9DC-2970-4278-BE03-519E29A5952E}" name="Column3737"/>
    <tableColumn id="3743" xr3:uid="{2D85CE20-429A-485D-AD0B-311B47B207E1}" name="Column3738"/>
    <tableColumn id="3744" xr3:uid="{14630419-A91A-4305-B7B1-8B449F8E8ED0}" name="Column3739"/>
    <tableColumn id="3745" xr3:uid="{B1CEDBF1-7D6A-40D1-B1EF-911E00DA4EF1}" name="Column3740"/>
    <tableColumn id="3746" xr3:uid="{2224897E-FEE1-4791-A6C2-020A5D4B5F25}" name="Column3741"/>
    <tableColumn id="3747" xr3:uid="{8248C2B6-8AD5-4B83-8100-C57619A8411D}" name="Column3742"/>
    <tableColumn id="3748" xr3:uid="{A3062B6D-99F7-4376-931B-DE87FECD7786}" name="Column3743"/>
    <tableColumn id="3749" xr3:uid="{C16CA318-34F1-44EF-B70A-2E0F7AF48421}" name="Column3744"/>
    <tableColumn id="3750" xr3:uid="{CA396696-F099-4E9D-80D6-B55C8353EB1D}" name="Column3745"/>
    <tableColumn id="3751" xr3:uid="{A18022C8-9928-4CCD-9FC7-28F146E66F84}" name="Column3746"/>
    <tableColumn id="3752" xr3:uid="{3C4D5BFA-6301-4129-97D7-D06D5A1A4DEF}" name="Column3747"/>
    <tableColumn id="3753" xr3:uid="{9E76E8E2-929A-4A90-8A6B-BE844BD827AF}" name="Column3748"/>
    <tableColumn id="3754" xr3:uid="{EEB04101-BFDE-4347-B5FA-4DD22001AB99}" name="Column3749"/>
    <tableColumn id="3755" xr3:uid="{7417E0D4-44DB-41C8-9A8A-4F695311135E}" name="Column3750"/>
    <tableColumn id="3756" xr3:uid="{641AF2F2-DF75-4E74-B239-1438426B1732}" name="Column3751"/>
    <tableColumn id="3757" xr3:uid="{3697C9BF-458E-47CB-BFCC-8DBED9752E73}" name="Column3752"/>
    <tableColumn id="3758" xr3:uid="{4C3F5910-D5C7-4DC4-8065-F9BD114A2862}" name="Column3753"/>
    <tableColumn id="3759" xr3:uid="{C5F08D6C-C180-4F16-953B-6C53D0B6999C}" name="Column3754"/>
    <tableColumn id="3760" xr3:uid="{881114BD-A74B-4A46-9E2E-C95A2EF5E06E}" name="Column3755"/>
    <tableColumn id="3761" xr3:uid="{D2D10FC1-F2A2-458A-9951-2352D15C4463}" name="Column3756"/>
    <tableColumn id="3762" xr3:uid="{D834E604-21CF-4455-A989-8F2D1217737E}" name="Column3757"/>
    <tableColumn id="3763" xr3:uid="{B2F59477-289E-49AF-A117-0E18536C2EDB}" name="Column3758"/>
    <tableColumn id="3764" xr3:uid="{8A5D0279-C9AD-421E-8546-B4966EAF5D39}" name="Column3759"/>
    <tableColumn id="3765" xr3:uid="{A2483678-7C3B-4AB1-8E59-8E1865C8588B}" name="Column3760"/>
    <tableColumn id="3766" xr3:uid="{F98321D8-24E8-46FD-885F-E24AD4B16B28}" name="Column3761"/>
    <tableColumn id="3767" xr3:uid="{394AF5E9-C5C7-4D1B-9AB6-351159C7AC40}" name="Column3762"/>
    <tableColumn id="3768" xr3:uid="{18732D9A-AC4D-4B82-93E7-676DCC36C61B}" name="Column3763"/>
    <tableColumn id="3769" xr3:uid="{03FB222C-37A8-474E-9EBC-09C893D29F8A}" name="Column3764"/>
    <tableColumn id="3770" xr3:uid="{03277799-8E82-445A-B69B-EACCB1749038}" name="Column3765"/>
    <tableColumn id="3771" xr3:uid="{53A8C894-E778-4A45-B622-EEF5FAA601F0}" name="Column3766"/>
    <tableColumn id="3772" xr3:uid="{C53B3093-ABD4-4014-BBAF-117EB79550E4}" name="Column3767"/>
    <tableColumn id="3773" xr3:uid="{878F3DA2-A3A4-4C44-90D6-1E4ABE3C06BF}" name="Column3768"/>
    <tableColumn id="3774" xr3:uid="{ECE1B165-1D2C-4313-B940-C3ED669F5B1C}" name="Column3769"/>
    <tableColumn id="3775" xr3:uid="{F6F30D84-062B-48B2-A958-75AC7621F3BC}" name="Column3770"/>
    <tableColumn id="3776" xr3:uid="{906E1DC2-9FD5-49FC-A92F-59949C07DE36}" name="Column3771"/>
    <tableColumn id="3777" xr3:uid="{38BF7407-BB1D-4C8A-9ECE-AE1B2539137A}" name="Column3772"/>
    <tableColumn id="3778" xr3:uid="{E69D4A1C-07C0-4DE6-AB9C-4DF2D7B40EBE}" name="Column3773"/>
    <tableColumn id="3779" xr3:uid="{664EE4FB-5118-4765-AEDC-9D6D5113F851}" name="Column3774"/>
    <tableColumn id="3780" xr3:uid="{E50F3DA1-9D10-4A61-93E6-44B796861406}" name="Column3775"/>
    <tableColumn id="3781" xr3:uid="{C0580038-FE77-47DB-A593-6CAF08BA33CC}" name="Column3776"/>
    <tableColumn id="3782" xr3:uid="{52ECB5BB-7BF0-4DF2-B678-1DD8382F2548}" name="Column3777"/>
    <tableColumn id="3783" xr3:uid="{341D49EE-5B2C-4E4F-89FB-ADEF1EE99542}" name="Column3778"/>
    <tableColumn id="3784" xr3:uid="{E02661EC-74AF-48BC-B547-FE58C7DC6298}" name="Column3779"/>
    <tableColumn id="3785" xr3:uid="{071E0292-AD55-4BC4-8C0D-B018C65C7169}" name="Column3780"/>
    <tableColumn id="3786" xr3:uid="{C745B6F0-D848-4182-BCD9-7D9FABC718E9}" name="Column3781"/>
    <tableColumn id="3787" xr3:uid="{D47B3F29-7822-4ED7-8E37-FC0A7154C9C6}" name="Column3782"/>
    <tableColumn id="3788" xr3:uid="{34789DEE-97B8-425B-AEA4-3711EC3D5C3C}" name="Column3783"/>
    <tableColumn id="3789" xr3:uid="{5AAC8F01-002A-4636-BF58-C08B1AE0C3F7}" name="Column3784"/>
    <tableColumn id="3790" xr3:uid="{2B3011D1-C515-49C8-8661-DFD24A4757B8}" name="Column3785"/>
    <tableColumn id="3791" xr3:uid="{2D3A29C5-A74E-434F-A0BF-0E17AD88A263}" name="Column3786"/>
    <tableColumn id="3792" xr3:uid="{9285B3BB-593B-4C6C-83E4-3A54BC2CCFA9}" name="Column3787"/>
    <tableColumn id="3793" xr3:uid="{959F8D32-3075-47E4-B59E-B5561DF20D00}" name="Column3788"/>
    <tableColumn id="3794" xr3:uid="{336A1D66-D8C6-409C-9FF9-6844874D48CA}" name="Column3789"/>
    <tableColumn id="3795" xr3:uid="{6FEEBE40-782B-4E63-BB96-6608DE1B027D}" name="Column3790"/>
    <tableColumn id="3796" xr3:uid="{70A2C9A8-0ED2-443E-9DEB-7F5EBB16015F}" name="Column3791"/>
    <tableColumn id="3797" xr3:uid="{1F8865D6-1F95-4CEC-9993-61DB8C6E58DD}" name="Column3792"/>
    <tableColumn id="3798" xr3:uid="{5E34A7A7-D8CF-4633-8CEA-C082B5432E71}" name="Column3793"/>
    <tableColumn id="3799" xr3:uid="{D73E68CF-B32F-417C-A201-DD91647680F0}" name="Column3794"/>
    <tableColumn id="3800" xr3:uid="{14C2CDB5-9D63-494F-9645-B95376D36849}" name="Column3795"/>
    <tableColumn id="3801" xr3:uid="{6C1F9BE6-3678-4521-B3E8-09D0ACFB71D2}" name="Column3796"/>
    <tableColumn id="3802" xr3:uid="{5005406B-7CBE-439C-834A-A5F825E68165}" name="Column3797"/>
    <tableColumn id="3803" xr3:uid="{0084ABD4-A912-4987-9B01-F56E6E57012B}" name="Column3798"/>
    <tableColumn id="3804" xr3:uid="{DCDE72A8-40AB-4F3E-99F8-476B8F2D4279}" name="Column3799"/>
    <tableColumn id="3805" xr3:uid="{B0BF426D-982B-4301-9C1E-CDA18BB3336B}" name="Column3800"/>
    <tableColumn id="3806" xr3:uid="{5CCA6C04-37BD-4575-8D13-9456CD00E5C2}" name="Column3801"/>
    <tableColumn id="3807" xr3:uid="{E4BD7D10-2988-456A-9681-F57BF3E733CD}" name="Column3802"/>
    <tableColumn id="3808" xr3:uid="{BD9F0167-5260-43A6-8CE8-E29F0577AC8E}" name="Column3803"/>
    <tableColumn id="3809" xr3:uid="{5C1CF20F-9A4B-4036-B428-28F1D2150E8B}" name="Column3804"/>
    <tableColumn id="3810" xr3:uid="{8A58E562-C651-493B-AEB0-CC70189E7B79}" name="Column3805"/>
    <tableColumn id="3811" xr3:uid="{BE352C49-4F01-46B4-B454-EA1DA477575F}" name="Column3806"/>
    <tableColumn id="3812" xr3:uid="{1D70FFE5-7328-4FB9-AE75-FF9453ABD4A0}" name="Column3807"/>
    <tableColumn id="3813" xr3:uid="{70428216-E270-48FE-8643-DB43984A90D7}" name="Column3808"/>
    <tableColumn id="3814" xr3:uid="{7CB81AD2-AC3B-44CC-A5C5-9134931F5EE1}" name="Column3809"/>
    <tableColumn id="3815" xr3:uid="{492E928C-46FE-45D4-966D-B002A1E36E01}" name="Column3810"/>
    <tableColumn id="3816" xr3:uid="{03AA67AF-4CB9-4EF1-9E8D-9527F372ADE9}" name="Column3811"/>
    <tableColumn id="3817" xr3:uid="{E9FB919A-6963-48B8-A154-62DB88576011}" name="Column3812"/>
    <tableColumn id="3818" xr3:uid="{952B6A26-F33C-4060-8539-3349D70BA92A}" name="Column3813"/>
    <tableColumn id="3819" xr3:uid="{5C693958-40AB-46E9-8D76-D4B65A2AF937}" name="Column3814"/>
    <tableColumn id="3820" xr3:uid="{003B05E8-6A16-4FD7-AD70-7DB9F68CF4ED}" name="Column3815"/>
    <tableColumn id="3821" xr3:uid="{33255F89-876D-47FC-B569-A3C38A732B09}" name="Column3816"/>
    <tableColumn id="3822" xr3:uid="{69237E71-0340-47B6-8C59-DE09147D046B}" name="Column3817"/>
    <tableColumn id="3823" xr3:uid="{87BB14C0-EECF-4FA5-9CFE-DB85B4EB9DB0}" name="Column3818"/>
    <tableColumn id="3824" xr3:uid="{E89C2603-8AD9-4BD2-9D81-C95ACD4B7BA0}" name="Column3819"/>
    <tableColumn id="3825" xr3:uid="{D3213FEC-ED77-446E-BC4E-6C6C08436194}" name="Column3820"/>
    <tableColumn id="3826" xr3:uid="{3D07D572-3F91-42D3-B9DF-8531D14D245D}" name="Column3821"/>
    <tableColumn id="3827" xr3:uid="{DCBC730B-1CE3-4A28-B56F-6C3713B6A802}" name="Column3822"/>
    <tableColumn id="3828" xr3:uid="{80B3A30B-2659-4B13-9CED-0FD1BE7DB25F}" name="Column3823"/>
    <tableColumn id="3829" xr3:uid="{256A3DA9-0B27-4641-9D7D-4F5C34917ADC}" name="Column3824"/>
    <tableColumn id="3830" xr3:uid="{6F375EDF-98E1-49FA-B745-5554EF136E52}" name="Column3825"/>
    <tableColumn id="3831" xr3:uid="{0D29B709-D364-49AE-A337-44F28DB02FF3}" name="Column3826"/>
    <tableColumn id="3832" xr3:uid="{A5857220-5905-4546-8F20-4FC50908C15B}" name="Column3827"/>
    <tableColumn id="3833" xr3:uid="{24030E43-F550-40F0-826C-454709AF665D}" name="Column3828"/>
    <tableColumn id="3834" xr3:uid="{4AF0E8AF-5D54-409B-B91F-97DE4ADAA97F}" name="Column3829"/>
    <tableColumn id="3835" xr3:uid="{89484F4E-43BF-4A0D-ADEF-5CD21FD811D9}" name="Column3830"/>
    <tableColumn id="3836" xr3:uid="{5C030774-E613-459B-884F-67EFDC4F37C9}" name="Column3831"/>
    <tableColumn id="3837" xr3:uid="{D0208349-AD19-4BB0-8309-CD0E5370B717}" name="Column3832"/>
    <tableColumn id="3838" xr3:uid="{4EC49783-DC88-4FCB-8A16-9BF26285C632}" name="Column3833"/>
    <tableColumn id="3839" xr3:uid="{DF69AD57-97B4-450C-8290-C884CFA82BB5}" name="Column3834"/>
    <tableColumn id="3840" xr3:uid="{149EA9CD-77CC-455A-9563-F4B401C4F9DC}" name="Column3835"/>
    <tableColumn id="3841" xr3:uid="{C8BF095F-EB2A-45CB-9C49-2022B29C3513}" name="Column3836"/>
    <tableColumn id="3842" xr3:uid="{CD3F1D47-C7E6-4BF6-AA7E-888F175F1077}" name="Column3837"/>
    <tableColumn id="3843" xr3:uid="{1289C82E-0FAF-48F9-ACAD-895C10506AB7}" name="Column3838"/>
    <tableColumn id="3844" xr3:uid="{1E379BEA-0BEF-4030-849C-296AA8CC0CD3}" name="Column3839"/>
    <tableColumn id="3845" xr3:uid="{DA135E36-3F71-4B4B-AC87-50CD4AAA6A6A}" name="Column3840"/>
    <tableColumn id="3846" xr3:uid="{3952773D-6D95-49DA-B460-3112ECE81B71}" name="Column3841"/>
    <tableColumn id="3847" xr3:uid="{60141C2F-3E1E-48AF-B528-2203831C2256}" name="Column3842"/>
    <tableColumn id="3848" xr3:uid="{55337ABD-56AB-420C-A534-573FCC1FB098}" name="Column3843"/>
    <tableColumn id="3849" xr3:uid="{8AC60918-2CD2-4E60-9278-7583E8445688}" name="Column3844"/>
    <tableColumn id="3850" xr3:uid="{FFDEFADA-016D-4931-8FFD-E06E314A7524}" name="Column3845"/>
    <tableColumn id="3851" xr3:uid="{585A541F-CEB2-4B85-A6ED-610360DA116E}" name="Column3846"/>
    <tableColumn id="3852" xr3:uid="{D564C2D1-1B4F-462F-A4BD-F547968945AE}" name="Column3847"/>
    <tableColumn id="3853" xr3:uid="{11B30ECD-37AB-450E-9757-85A4918F854B}" name="Column3848"/>
    <tableColumn id="3854" xr3:uid="{2FB58B0A-D130-4EF0-A570-E248952A351E}" name="Column3849"/>
    <tableColumn id="3855" xr3:uid="{19BFBBCA-1A37-4232-86BF-2B8DA37B4AFB}" name="Column3850"/>
    <tableColumn id="3856" xr3:uid="{F6FE47B7-60FA-4231-8C19-7E6B3B40A9D7}" name="Column3851"/>
    <tableColumn id="3857" xr3:uid="{E4D8CFDD-C9DE-4594-8400-02FF18E5FCEF}" name="Column3852"/>
    <tableColumn id="3858" xr3:uid="{1D369925-7DAA-4733-B656-EBF3D1029D20}" name="Column3853"/>
    <tableColumn id="3859" xr3:uid="{21A82789-9038-4980-8EDB-C8C068F917E9}" name="Column3854"/>
    <tableColumn id="3860" xr3:uid="{52F7B101-46EB-4C76-801D-65AB04C1258E}" name="Column3855"/>
    <tableColumn id="3861" xr3:uid="{7E439FE6-8068-4753-B63D-20FBC829FFD5}" name="Column3856"/>
    <tableColumn id="3862" xr3:uid="{0524BAC3-C1A9-44E5-8E31-B5A08FE59BB9}" name="Column3857"/>
    <tableColumn id="3863" xr3:uid="{BE2BD525-84AC-4428-BDB5-4DC794B9648B}" name="Column3858"/>
    <tableColumn id="3864" xr3:uid="{3C746B0B-9D4F-4875-9E2D-C6C5E5240D5C}" name="Column3859"/>
    <tableColumn id="3865" xr3:uid="{43C0EBCC-4455-4758-AE32-24C81D318FB4}" name="Column3860"/>
    <tableColumn id="3866" xr3:uid="{54E8E909-14BE-4193-A297-D7C9C3052E49}" name="Column3861"/>
    <tableColumn id="3867" xr3:uid="{37B865DC-C252-49FA-A90D-C50BE02B1B11}" name="Column3862"/>
    <tableColumn id="3868" xr3:uid="{C9258424-0C98-4034-9643-5D7EB68C8105}" name="Column3863"/>
    <tableColumn id="3869" xr3:uid="{389C2B97-1A92-420A-B4B1-A88F534AE2A3}" name="Column3864"/>
    <tableColumn id="3870" xr3:uid="{720DB5CA-ADE5-4201-992D-8E27451A615F}" name="Column3865"/>
    <tableColumn id="3871" xr3:uid="{A07593E4-2B0A-487D-B824-15D0506BA90E}" name="Column3866"/>
    <tableColumn id="3872" xr3:uid="{FA25309A-2E8B-45E2-8746-ED49F7FAC3DC}" name="Column3867"/>
    <tableColumn id="3873" xr3:uid="{9DF3BD1B-BAB5-44DA-A891-882ED766159B}" name="Column3868"/>
    <tableColumn id="3874" xr3:uid="{D49277EF-B98B-4124-82E8-0099537A227E}" name="Column3869"/>
    <tableColumn id="3875" xr3:uid="{40A71CFE-B34A-444C-99DF-EEFE34494CF0}" name="Column3870"/>
    <tableColumn id="3876" xr3:uid="{49431730-499E-485E-AA48-EFF36C21425F}" name="Column3871"/>
    <tableColumn id="3877" xr3:uid="{FF84E16E-857E-4A9C-A8AA-02B49DCB84D0}" name="Column3872"/>
    <tableColumn id="3878" xr3:uid="{9027A599-6743-4A09-BD11-5DDF207E4E14}" name="Column3873"/>
    <tableColumn id="3879" xr3:uid="{59F016D3-0D23-40B8-94E9-F6288398EC7A}" name="Column3874"/>
    <tableColumn id="3880" xr3:uid="{EBB8A803-3D4E-417F-8074-CBA30C058DB8}" name="Column3875"/>
    <tableColumn id="3881" xr3:uid="{3472D049-C741-4ED6-9E91-86DC214D6F51}" name="Column3876"/>
    <tableColumn id="3882" xr3:uid="{B387700F-901B-41D7-8790-77E71EC3277C}" name="Column3877"/>
    <tableColumn id="3883" xr3:uid="{C5C83D7F-DED9-4AE8-A763-66D0418687C5}" name="Column3878"/>
    <tableColumn id="3884" xr3:uid="{F7C84F20-CE54-4001-B1E2-1F30B0246D08}" name="Column3879"/>
    <tableColumn id="3885" xr3:uid="{6F8D026D-A491-41D2-9CF8-71688132D716}" name="Column3880"/>
    <tableColumn id="3886" xr3:uid="{915D3EBE-84D5-4C7E-91C2-1966A3BEDAA3}" name="Column3881"/>
    <tableColumn id="3887" xr3:uid="{FF595F88-1143-4EFB-9518-06C859097961}" name="Column3882"/>
    <tableColumn id="3888" xr3:uid="{5F7A085E-889D-48C6-8988-D01B23F917BB}" name="Column3883"/>
    <tableColumn id="3889" xr3:uid="{10FBCD7B-CF0B-4CDF-A946-F63001ED570C}" name="Column3884"/>
    <tableColumn id="3890" xr3:uid="{5D511831-722D-4B18-A20B-F1C11242D7FD}" name="Column3885"/>
    <tableColumn id="3891" xr3:uid="{213EE159-AE2E-4B7F-9F4D-E8D304B8D76E}" name="Column3886"/>
    <tableColumn id="3892" xr3:uid="{38EF0DA2-16AE-458F-837F-0FDDBAD78830}" name="Column3887"/>
    <tableColumn id="3893" xr3:uid="{473BE2EE-F380-4BE4-9B43-328A67BBC2AA}" name="Column3888"/>
    <tableColumn id="3894" xr3:uid="{F60AEBC8-12A1-4175-8BE6-30BF734D8BA1}" name="Column3889"/>
    <tableColumn id="3895" xr3:uid="{187918AB-662E-49F1-8D84-A0AA2F534C24}" name="Column3890"/>
    <tableColumn id="3896" xr3:uid="{3AC21097-08BE-4194-A2DD-B00A3BE10199}" name="Column3891"/>
    <tableColumn id="3897" xr3:uid="{D59406CB-7B8C-41DF-9CDD-662B321BA16C}" name="Column3892"/>
    <tableColumn id="3898" xr3:uid="{EC80561C-F7D6-4DAC-85F5-7379E8E484D8}" name="Column3893"/>
    <tableColumn id="3899" xr3:uid="{1A31DF64-3B9E-4385-BBF7-C45A6BDC2A64}" name="Column3894"/>
    <tableColumn id="3900" xr3:uid="{3FCBBF9E-CF79-47B0-B91F-1A07D1BE8CBB}" name="Column3895"/>
    <tableColumn id="3901" xr3:uid="{F6D4C6B2-1FFB-4BB7-B0DF-108E97D7D557}" name="Column3896"/>
    <tableColumn id="3902" xr3:uid="{D87F35E5-EA85-47B1-9B69-08068492856E}" name="Column3897"/>
    <tableColumn id="3903" xr3:uid="{93AD30AE-65A0-442B-B64B-6B03527F2D0D}" name="Column3898"/>
    <tableColumn id="3904" xr3:uid="{047FDF47-EC57-4E44-BE8B-0945EC64C083}" name="Column3899"/>
    <tableColumn id="3905" xr3:uid="{F03B371E-6FFD-4FEF-965F-0427C04D53A1}" name="Column3900"/>
    <tableColumn id="3906" xr3:uid="{3390B026-E3D6-4B26-A437-262430CF6FAD}" name="Column3901"/>
    <tableColumn id="3907" xr3:uid="{121C8B7B-8C53-43ED-BF15-4B12B397D061}" name="Column3902"/>
    <tableColumn id="3908" xr3:uid="{16E92948-86B7-4424-8C28-C9BF8FB09E22}" name="Column3903"/>
    <tableColumn id="3909" xr3:uid="{86932BBB-0C27-4B5A-B8E9-4630BAA5CC5E}" name="Column3904"/>
    <tableColumn id="3910" xr3:uid="{7CCF02EE-C00C-4C47-9A40-B91632AAA0C1}" name="Column3905"/>
    <tableColumn id="3911" xr3:uid="{5538A260-F0F0-483D-B8C9-A19FA92F89C0}" name="Column3906"/>
    <tableColumn id="3912" xr3:uid="{28252F05-0962-453D-8B53-DF910C7ACDB0}" name="Column3907"/>
    <tableColumn id="3913" xr3:uid="{1C5F38C0-DF15-44AF-BC54-509F3F8A5B58}" name="Column3908"/>
    <tableColumn id="3914" xr3:uid="{06CFC746-7A8F-4335-9877-F0BB5212BB46}" name="Column3909"/>
    <tableColumn id="3915" xr3:uid="{FCEE52F5-12D6-4CA2-8EC5-9F17A4528D42}" name="Column3910"/>
    <tableColumn id="3916" xr3:uid="{7E469A86-36B4-47D0-A422-4B9046AAE56F}" name="Column3911"/>
    <tableColumn id="3917" xr3:uid="{7759A546-D15D-432D-82EC-F476D65A4319}" name="Column3912"/>
    <tableColumn id="3918" xr3:uid="{04433936-88AB-46A0-BD26-1BDE189B424D}" name="Column3913"/>
    <tableColumn id="3919" xr3:uid="{6A188306-BD36-438A-B032-517A3BA2FC34}" name="Column3914"/>
    <tableColumn id="3920" xr3:uid="{500648B9-3A64-48F5-A6CC-0200B8240135}" name="Column3915"/>
    <tableColumn id="3921" xr3:uid="{CA041029-4990-4D15-BF40-E1E374E9155B}" name="Column3916"/>
    <tableColumn id="3922" xr3:uid="{3077034A-546C-4E30-AD4C-5737108E89CC}" name="Column3917"/>
    <tableColumn id="3923" xr3:uid="{FAB1BFB2-C8BA-452B-9B51-6488A8716BD6}" name="Column3918"/>
    <tableColumn id="3924" xr3:uid="{9B55C68D-EAEF-4A96-A36C-458242D8AD10}" name="Column3919"/>
    <tableColumn id="3925" xr3:uid="{4F22668E-0E83-4A8E-963D-9DF286080893}" name="Column3920"/>
    <tableColumn id="3926" xr3:uid="{5FA61E7C-E4CA-4346-A87D-FFF489615022}" name="Column3921"/>
    <tableColumn id="3927" xr3:uid="{A92E9B5C-EE90-4190-B42C-32A4CEFFCFD5}" name="Column3922"/>
    <tableColumn id="3928" xr3:uid="{91705768-95DB-4E60-A450-0B24E4485F7B}" name="Column3923"/>
    <tableColumn id="3929" xr3:uid="{C73A04AE-EAD6-40B7-98B7-29362185C543}" name="Column3924"/>
    <tableColumn id="3930" xr3:uid="{53059102-5050-420C-A477-8395188264AA}" name="Column3925"/>
    <tableColumn id="3931" xr3:uid="{186278D1-F295-44C8-8F8A-8576A33BC0FC}" name="Column3926"/>
    <tableColumn id="3932" xr3:uid="{BDAE3561-BC38-4545-94DB-AE7999434622}" name="Column3927"/>
    <tableColumn id="3933" xr3:uid="{F47C9B58-F6A1-4185-BCD2-91D29770C156}" name="Column3928"/>
    <tableColumn id="3934" xr3:uid="{24AED0B9-031F-4F6D-9A0C-B12C080ED436}" name="Column3929"/>
    <tableColumn id="3935" xr3:uid="{BBD83CE3-9EF4-4A5D-8291-4035F78300F2}" name="Column3930"/>
    <tableColumn id="3936" xr3:uid="{C661AC38-A17A-49B2-BE24-DF9BD0FF0B3D}" name="Column3931"/>
    <tableColumn id="3937" xr3:uid="{9170EABA-84AD-4F84-ABF2-42040A4216C5}" name="Column3932"/>
    <tableColumn id="3938" xr3:uid="{FECA061F-8337-4959-9669-D015AEDAD962}" name="Column3933"/>
    <tableColumn id="3939" xr3:uid="{3A45E17B-F6CB-4DC9-A44D-105DB51636CA}" name="Column3934"/>
    <tableColumn id="3940" xr3:uid="{FAF7CC6C-A201-4566-A4CC-3591283E7563}" name="Column3935"/>
    <tableColumn id="3941" xr3:uid="{36E4D470-A4CE-42F9-A7C4-023BAC46E8E7}" name="Column3936"/>
    <tableColumn id="3942" xr3:uid="{7735063E-27B0-43DC-8DC4-18A668B6E2AB}" name="Column3937"/>
    <tableColumn id="3943" xr3:uid="{A6E6ABEE-2077-4764-AC3B-C978F5743F49}" name="Column3938"/>
    <tableColumn id="3944" xr3:uid="{BC98FF82-620B-4B9C-8120-548043BADFEB}" name="Column3939"/>
    <tableColumn id="3945" xr3:uid="{19A5249B-7E96-4129-B807-07D45BB4B882}" name="Column3940"/>
    <tableColumn id="3946" xr3:uid="{6AA70109-4E0D-4471-BDD7-9B944FC21EF1}" name="Column3941"/>
    <tableColumn id="3947" xr3:uid="{E732FFD0-29A2-4202-BD6A-F2229C0E94DC}" name="Column3942"/>
    <tableColumn id="3948" xr3:uid="{0AAF7714-DFE5-4CA0-BBC7-3AF42B4843F9}" name="Column3943"/>
    <tableColumn id="3949" xr3:uid="{E5FAB223-9F82-4B3E-9336-680D2195111C}" name="Column3944"/>
    <tableColumn id="3950" xr3:uid="{5F276889-FC18-4F8D-8267-065C17A07A1D}" name="Column3945"/>
    <tableColumn id="3951" xr3:uid="{3522C02C-9CC9-4249-9917-1E22C8AF3F54}" name="Column3946"/>
    <tableColumn id="3952" xr3:uid="{FA79C9D5-198C-48BB-890C-85B036366329}" name="Column3947"/>
    <tableColumn id="3953" xr3:uid="{DBF6C495-3A87-4E61-A987-6A4501B9CD60}" name="Column3948"/>
    <tableColumn id="3954" xr3:uid="{74AEAD2B-FB22-4BAE-99F1-4634F60DF40C}" name="Column3949"/>
    <tableColumn id="3955" xr3:uid="{D20F3DE2-11F3-4CB0-ACA8-2DD30D388C36}" name="Column3950"/>
    <tableColumn id="3956" xr3:uid="{6D044FF7-27DF-4AF8-BC3C-0109BC43EB63}" name="Column3951"/>
    <tableColumn id="3957" xr3:uid="{C000C62B-8850-4453-BC23-708CCA16A5A3}" name="Column3952"/>
    <tableColumn id="3958" xr3:uid="{18D81027-537E-4ADC-A924-B8AFBFB8A8EF}" name="Column3953"/>
    <tableColumn id="3959" xr3:uid="{94730A07-978B-422D-8B6B-99632E0A3B16}" name="Column3954"/>
    <tableColumn id="3960" xr3:uid="{C16F5438-B171-43A7-B505-97A64D970329}" name="Column3955"/>
    <tableColumn id="3961" xr3:uid="{47E9C629-75AE-464F-AB6D-CAC4EA24671F}" name="Column3956"/>
    <tableColumn id="3962" xr3:uid="{867E5B92-F178-40CD-B712-E7BDB660BD52}" name="Column3957"/>
    <tableColumn id="3963" xr3:uid="{273E9190-7C88-41F3-A240-0D6B6BE363A2}" name="Column3958"/>
    <tableColumn id="3964" xr3:uid="{A0C7D508-DF0D-4635-AFB7-1858AC09EBF3}" name="Column3959"/>
    <tableColumn id="3965" xr3:uid="{C8E5E8E5-74F4-4C78-A10C-D7FC6DDBDE6C}" name="Column3960"/>
    <tableColumn id="3966" xr3:uid="{B6EB9A6C-B32B-4883-82FA-5B0E7002DB2F}" name="Column3961"/>
    <tableColumn id="3967" xr3:uid="{1C04C736-F638-4631-8CA7-0C696A9743E3}" name="Column3962"/>
    <tableColumn id="3968" xr3:uid="{798DE8A0-5D38-4DE7-BDED-60FD5541CA00}" name="Column3963"/>
    <tableColumn id="3969" xr3:uid="{96249E85-28E6-4A97-B419-8FAA93841759}" name="Column3964"/>
    <tableColumn id="3970" xr3:uid="{53597B6F-F79F-48AD-BD47-B3CCDB420192}" name="Column3965"/>
    <tableColumn id="3971" xr3:uid="{000FDA78-FB09-4B25-BDC2-CE2D9C0C4DB4}" name="Column3966"/>
    <tableColumn id="3972" xr3:uid="{17DAF256-80FC-4DAF-9058-6E8B42B2DA4B}" name="Column3967"/>
    <tableColumn id="3973" xr3:uid="{895B25EE-B064-495E-8755-89B25F9E73AC}" name="Column3968"/>
    <tableColumn id="3974" xr3:uid="{EE1B2439-B88B-49CD-8A65-E2138F851346}" name="Column3969"/>
    <tableColumn id="3975" xr3:uid="{0125E250-5981-464B-A8B6-DD5D1E8AC23F}" name="Column3970"/>
    <tableColumn id="3976" xr3:uid="{D2755128-1ED7-4EC4-AE58-B42F550DCC6A}" name="Column3971"/>
    <tableColumn id="3977" xr3:uid="{12FF428E-7985-46FA-A6E5-1CCE4F014DBE}" name="Column3972"/>
    <tableColumn id="3978" xr3:uid="{ACA04E0D-24D1-4150-9017-D68150F87361}" name="Column3973"/>
    <tableColumn id="3979" xr3:uid="{14D40E0C-9E75-414D-A4A1-48E2F9D736B9}" name="Column3974"/>
    <tableColumn id="3980" xr3:uid="{D3E9A206-CF81-465A-936A-1C7C93955492}" name="Column3975"/>
    <tableColumn id="3981" xr3:uid="{1F3D343A-35C7-400F-9EC9-37AA80C26F9E}" name="Column3976"/>
    <tableColumn id="3982" xr3:uid="{073AB4BE-8875-451F-B046-CFC4F157FD4B}" name="Column3977"/>
    <tableColumn id="3983" xr3:uid="{C87A707A-2FC5-4F4E-ADBE-4668E8B738B0}" name="Column3978"/>
    <tableColumn id="3984" xr3:uid="{151C7F42-8628-4CD0-BB7A-FCAFF44C5C08}" name="Column3979"/>
    <tableColumn id="3985" xr3:uid="{2170FC82-9D8B-44F1-88ED-8D5DDC341444}" name="Column3980"/>
    <tableColumn id="3986" xr3:uid="{BCBD9158-9066-425D-9918-18281A148B73}" name="Column3981"/>
    <tableColumn id="3987" xr3:uid="{55B84A05-01BF-46F1-8894-6A6C0718F0A1}" name="Column3982"/>
    <tableColumn id="3988" xr3:uid="{0662C1C4-611D-4CB0-8142-375B28FB30E8}" name="Column3983"/>
    <tableColumn id="3989" xr3:uid="{DFA6F83C-3541-4F31-BF43-D110378F263F}" name="Column3984"/>
    <tableColumn id="3990" xr3:uid="{1F89A76D-5501-4E85-9C2A-00CF75156919}" name="Column3985"/>
    <tableColumn id="3991" xr3:uid="{4CAA443E-7F12-4044-914D-848571323AE3}" name="Column3986"/>
    <tableColumn id="3992" xr3:uid="{B71645BE-1E00-430C-8C4F-3F1EBB3F129E}" name="Column3987"/>
    <tableColumn id="3993" xr3:uid="{A656C5A1-0080-48B3-8D30-344397FC0C3D}" name="Column3988"/>
    <tableColumn id="3994" xr3:uid="{CBDA0D79-C59B-4E6C-A565-A235228C92FA}" name="Column3989"/>
    <tableColumn id="3995" xr3:uid="{0B711A1D-D741-4320-A156-6EE074A97CF0}" name="Column3990"/>
    <tableColumn id="3996" xr3:uid="{20E5AF00-BA4A-41DA-AF85-D6DA914F6DE0}" name="Column3991"/>
    <tableColumn id="3997" xr3:uid="{FE9DECA3-2BF4-43EF-A0AD-789221CCF050}" name="Column3992"/>
    <tableColumn id="3998" xr3:uid="{13435B79-8ED0-4CA1-864E-844EE3D926D9}" name="Column3993"/>
    <tableColumn id="3999" xr3:uid="{353F568A-F44B-4961-87DC-D9D6085EE642}" name="Column3994"/>
    <tableColumn id="4000" xr3:uid="{C5C6B747-AA56-4BEF-92AC-5D2A7EDCA1D8}" name="Column3995"/>
    <tableColumn id="4001" xr3:uid="{344F3522-7EB4-4D31-AC2F-7E0D10CC56CE}" name="Column3996"/>
    <tableColumn id="4002" xr3:uid="{6FE13E60-8E8C-4C34-8915-33681D68CEF9}" name="Column3997"/>
    <tableColumn id="4003" xr3:uid="{B6F5BD45-923A-492C-822F-F624AABDA9EA}" name="Column3998"/>
    <tableColumn id="4004" xr3:uid="{72A01067-0748-4660-8761-5BD3EE25A979}" name="Column3999"/>
    <tableColumn id="4005" xr3:uid="{B9600822-2DBB-40AC-8FC0-7EE18852FD48}" name="Column4000"/>
    <tableColumn id="4006" xr3:uid="{975282CB-96C6-40A5-8A2B-F8B052A399C4}" name="Column4001"/>
    <tableColumn id="4007" xr3:uid="{1CE649BA-E6B0-4859-89C1-F776444003E9}" name="Column4002"/>
    <tableColumn id="4008" xr3:uid="{1E6CB4F4-2D0D-4CBD-9180-02E3C61E9EEA}" name="Column4003"/>
    <tableColumn id="4009" xr3:uid="{7892F278-5647-4B48-8081-0DE7F857C4C1}" name="Column4004"/>
    <tableColumn id="4010" xr3:uid="{C60F9CFA-A333-4471-81CA-2F28D99B69DA}" name="Column4005"/>
    <tableColumn id="4011" xr3:uid="{06D6EAD8-FBDC-44F6-9059-3684BF697FD6}" name="Column4006"/>
    <tableColumn id="4012" xr3:uid="{7C8D77C7-CF08-4880-A102-AD36C26932BD}" name="Column4007"/>
    <tableColumn id="4013" xr3:uid="{83532D06-D5C7-4CF7-AEE6-9B3C2FE5D92D}" name="Column4008"/>
    <tableColumn id="4014" xr3:uid="{5ADEE437-3491-4D70-9F73-707A0CE85725}" name="Column4009"/>
    <tableColumn id="4015" xr3:uid="{40D012BA-BDCA-4ED0-8060-39E1F03C43D2}" name="Column4010"/>
    <tableColumn id="4016" xr3:uid="{40E8538A-3F75-4504-9F1C-C9876D575E4B}" name="Column4011"/>
    <tableColumn id="4017" xr3:uid="{55715A60-8AC0-45C6-918B-D8ADEA060A32}" name="Column4012"/>
    <tableColumn id="4018" xr3:uid="{33207AA8-2E63-4105-A230-947CD82141C8}" name="Column4013"/>
    <tableColumn id="4019" xr3:uid="{2751919F-21E4-496A-8153-76CE6B62CD65}" name="Column4014"/>
    <tableColumn id="4020" xr3:uid="{E29C79D8-33AB-471B-B61D-80797E325C5A}" name="Column4015"/>
    <tableColumn id="4021" xr3:uid="{A232F065-F231-4D6F-B464-FB657BC4875C}" name="Column4016"/>
    <tableColumn id="4022" xr3:uid="{93ADDD0B-2AA0-4DDC-83B0-417B3450FF0D}" name="Column4017"/>
    <tableColumn id="4023" xr3:uid="{CD7F3F83-58AE-49AE-B81D-72836BFC560D}" name="Column4018"/>
    <tableColumn id="4024" xr3:uid="{229DBED0-BEF7-4182-894D-C7690FA381A8}" name="Column4019"/>
    <tableColumn id="4025" xr3:uid="{5B6C56CE-E7E3-4353-97FD-9EF1AE3C1ADA}" name="Column4020"/>
    <tableColumn id="4026" xr3:uid="{BCC4AA67-844E-4D3E-AA91-92B376B495BE}" name="Column4021"/>
    <tableColumn id="4027" xr3:uid="{478CEF68-F9C3-4CA3-948D-27DE530D4EAA}" name="Column4022"/>
    <tableColumn id="4028" xr3:uid="{942E1CAB-470D-4615-936C-B0CAE52DA770}" name="Column4023"/>
    <tableColumn id="4029" xr3:uid="{47709717-BEAA-4DDC-AEE4-44CF093985A9}" name="Column4024"/>
    <tableColumn id="4030" xr3:uid="{688913CE-5522-4128-8D7E-54707CF5DDB2}" name="Column4025"/>
    <tableColumn id="4031" xr3:uid="{0860A703-8F16-49CE-A88D-C063E7270CE6}" name="Column4026"/>
    <tableColumn id="4032" xr3:uid="{58422F29-8A1C-437F-8439-49A945C498D0}" name="Column4027"/>
    <tableColumn id="4033" xr3:uid="{25822295-D947-4AE6-8F14-92D2CCF8EB91}" name="Column4028"/>
    <tableColumn id="4034" xr3:uid="{CC37FEBB-D9DD-45A9-AF57-78E8F64484AD}" name="Column4029"/>
    <tableColumn id="4035" xr3:uid="{E9D29400-C03C-4868-A5CB-D80ECC56121B}" name="Column4030"/>
    <tableColumn id="4036" xr3:uid="{857D50CE-4426-4DDE-81A7-2A627250E3B3}" name="Column4031"/>
    <tableColumn id="4037" xr3:uid="{287C42A3-A215-468B-B752-283750535667}" name="Column4032"/>
    <tableColumn id="4038" xr3:uid="{981CBB0C-3D65-44DC-B238-5450E94A330B}" name="Column4033"/>
    <tableColumn id="4039" xr3:uid="{74AE635B-6D2D-4056-9B29-825814EF7305}" name="Column4034"/>
    <tableColumn id="4040" xr3:uid="{E849BC63-F68B-4BEA-97C4-C503500880A0}" name="Column4035"/>
    <tableColumn id="4041" xr3:uid="{03A9A281-719E-4249-B81C-118C9C935B75}" name="Column4036"/>
    <tableColumn id="4042" xr3:uid="{2F3869AC-AC31-41E9-B625-76AA28247220}" name="Column4037"/>
    <tableColumn id="4043" xr3:uid="{298D3F40-AC02-4476-B839-B8821EFC59E2}" name="Column4038"/>
    <tableColumn id="4044" xr3:uid="{7451E928-808A-4614-A8B8-4CC1016DCAA4}" name="Column4039"/>
    <tableColumn id="4045" xr3:uid="{3BC63027-32B5-44E6-ACCE-34C37B121922}" name="Column4040"/>
    <tableColumn id="4046" xr3:uid="{F717886F-955C-4B50-947F-E479E21197D5}" name="Column4041"/>
    <tableColumn id="4047" xr3:uid="{016002CE-A205-4B82-B537-312F0928E5B7}" name="Column4042"/>
    <tableColumn id="4048" xr3:uid="{5C60D6BC-8C62-4471-AE36-A8E403A0220E}" name="Column4043"/>
    <tableColumn id="4049" xr3:uid="{660A6B98-953A-4BA7-8CC6-B5C48E09AA5B}" name="Column4044"/>
    <tableColumn id="4050" xr3:uid="{8396065D-65FE-45BB-88C4-EF11CBB88239}" name="Column4045"/>
    <tableColumn id="4051" xr3:uid="{E7F9070F-5736-4FF0-B619-50409A0BED70}" name="Column4046"/>
    <tableColumn id="4052" xr3:uid="{A8CBC470-502B-48B7-B52C-F9745188AFA1}" name="Column4047"/>
    <tableColumn id="4053" xr3:uid="{06EEEB42-3123-44A6-8961-4EB9BEFE708E}" name="Column4048"/>
    <tableColumn id="4054" xr3:uid="{FB86044B-0702-4D40-B0B1-E09ABF9EBE19}" name="Column4049"/>
    <tableColumn id="4055" xr3:uid="{E23A446F-DEDD-41B7-8443-A1565B76BA87}" name="Column4050"/>
    <tableColumn id="4056" xr3:uid="{FD75A612-2117-426B-A549-EE07D89517B2}" name="Column4051"/>
    <tableColumn id="4057" xr3:uid="{B8EC2D1A-D5CF-4891-B241-5A9500C2AA38}" name="Column4052"/>
    <tableColumn id="4058" xr3:uid="{228DB2D9-6342-4B99-9F8A-C7EFDE9CC4C4}" name="Column4053"/>
    <tableColumn id="4059" xr3:uid="{1AE31A96-3849-462F-BA3C-9A0536897A84}" name="Column4054"/>
    <tableColumn id="4060" xr3:uid="{7E87B920-4AD5-4409-B96B-53120F0293ED}" name="Column4055"/>
    <tableColumn id="4061" xr3:uid="{9E2E5CC4-DE60-41CF-99B9-D1A762051BE0}" name="Column4056"/>
    <tableColumn id="4062" xr3:uid="{12BFFED0-9270-475A-96CC-5B88AEB60AA8}" name="Column4057"/>
    <tableColumn id="4063" xr3:uid="{23B7B83F-042A-46D0-9BA1-86CA168B332A}" name="Column4058"/>
    <tableColumn id="4064" xr3:uid="{837A24D6-2B80-4778-8394-2FD0737B7942}" name="Column4059"/>
    <tableColumn id="4065" xr3:uid="{1A79C3BF-83C7-4407-A083-188DEF415D12}" name="Column4060"/>
    <tableColumn id="4066" xr3:uid="{CC92E654-FF0E-429D-9F97-72E22A1D3FEE}" name="Column4061"/>
    <tableColumn id="4067" xr3:uid="{01A46BC5-2901-4E3B-B164-3D80B819CBBE}" name="Column4062"/>
    <tableColumn id="4068" xr3:uid="{70323A2B-7313-43EA-AF3C-AFB87F4768F8}" name="Column4063"/>
    <tableColumn id="4069" xr3:uid="{1595E8D1-3BA5-4ED3-B6CB-35BDE0FED713}" name="Column4064"/>
    <tableColumn id="4070" xr3:uid="{399AF21F-D95A-48F4-BE60-CB170877194A}" name="Column4065"/>
    <tableColumn id="4071" xr3:uid="{ACCDCF1E-2B45-44E7-A7CE-562678AD8AF6}" name="Column4066"/>
    <tableColumn id="4072" xr3:uid="{CF7F89FE-044A-478B-8A87-CA8FFE136086}" name="Column4067"/>
    <tableColumn id="4073" xr3:uid="{551177BF-EBE8-4AA6-A6CE-25FDE74163C4}" name="Column4068"/>
    <tableColumn id="4074" xr3:uid="{CAD10632-90FF-4347-8E98-A8D7EFBAF4C6}" name="Column4069"/>
    <tableColumn id="4075" xr3:uid="{03E37A03-AEB7-48A9-8C1C-B3F60EB25D86}" name="Column4070"/>
    <tableColumn id="4076" xr3:uid="{D09AC7AD-1DAB-467E-BF49-A8E9770FC1A8}" name="Column4071"/>
    <tableColumn id="4077" xr3:uid="{515E25A7-7413-44E7-B0AA-9EA890766CFE}" name="Column4072"/>
    <tableColumn id="4078" xr3:uid="{B9E9724E-B9C3-46E2-BD17-59953C82A4DE}" name="Column4073"/>
    <tableColumn id="4079" xr3:uid="{7B4F848F-27AA-4A36-AD53-BE08AB732C87}" name="Column4074"/>
    <tableColumn id="4080" xr3:uid="{081E7877-D549-4B20-9B65-83B3E2F24710}" name="Column4075"/>
    <tableColumn id="4081" xr3:uid="{B756CCB2-8A56-469E-A508-3DAB8399B55A}" name="Column4076"/>
    <tableColumn id="4082" xr3:uid="{BDC9F471-48C6-4A87-840D-6298F0F2F690}" name="Column4077"/>
    <tableColumn id="4083" xr3:uid="{67398235-6EEF-4CDD-9CA7-E568CC2CFEC5}" name="Column4078"/>
    <tableColumn id="4084" xr3:uid="{53689D99-0638-4A62-A272-03369D9DE95A}" name="Column4079"/>
    <tableColumn id="4085" xr3:uid="{1C34EF66-9EBB-4DB4-9BEE-C0B0C10BECB5}" name="Column4080"/>
    <tableColumn id="4086" xr3:uid="{9A7465A6-8AB6-4FD1-8638-B7DB8B5EA3C2}" name="Column4081"/>
    <tableColumn id="4087" xr3:uid="{FA30B20C-8177-489E-8998-3DE01A031771}" name="Column4082"/>
    <tableColumn id="4088" xr3:uid="{D7BB5AE1-A54F-48A9-AD80-375842147798}" name="Column4083"/>
    <tableColumn id="4089" xr3:uid="{9CAC4C53-B433-41E0-B96E-501D1DC49755}" name="Column4084"/>
    <tableColumn id="4090" xr3:uid="{9599810A-4A18-4F4E-8B0F-5E6C354FE655}" name="Column4085"/>
    <tableColumn id="4091" xr3:uid="{5A34DBE0-D27A-4F3F-BB1E-114393469038}" name="Column4086"/>
    <tableColumn id="4092" xr3:uid="{06791B95-F19E-41CE-AEA4-F955658D36A4}" name="Column4087"/>
    <tableColumn id="4093" xr3:uid="{881B2D4E-50C5-4065-B69D-622FDB40677A}" name="Column4088"/>
    <tableColumn id="4094" xr3:uid="{FD6AD9F2-BAC6-4EFD-9D4B-1544C04E7DF5}" name="Column4089"/>
    <tableColumn id="4095" xr3:uid="{29D24AC3-8AD0-4FAA-A9B2-5DF3F2AE5912}" name="Column4090"/>
    <tableColumn id="4096" xr3:uid="{EEA5273B-5DFB-4DEA-BCF4-D332C1F64650}" name="Column4091"/>
    <tableColumn id="4097" xr3:uid="{253ADCEF-7F07-4355-98C4-846A2D8E7408}" name="Column4092"/>
    <tableColumn id="4098" xr3:uid="{B901B04D-5ACC-4CFE-814C-E764C081DF61}" name="Column4093"/>
    <tableColumn id="4099" xr3:uid="{0944E98A-AFBD-4F8E-B461-75E459588084}" name="Column4094"/>
    <tableColumn id="4100" xr3:uid="{5C00E603-41C2-41A3-B12D-FB8DFB808FC6}" name="Column4095"/>
    <tableColumn id="4101" xr3:uid="{48994580-3593-48AA-A8B0-487922EF09C7}" name="Column4096"/>
    <tableColumn id="4102" xr3:uid="{C25A5C75-4524-4F9D-8BF5-269CD5994815}" name="Column4097"/>
    <tableColumn id="4103" xr3:uid="{38B2D32A-E1DD-4E18-AB55-90B71962EA24}" name="Column4098"/>
    <tableColumn id="4104" xr3:uid="{EBA81DF4-85D0-4E54-9C9D-D40A16BAE5BE}" name="Column4099"/>
    <tableColumn id="4105" xr3:uid="{1B12723B-4D06-4B97-A6AB-64BB1F7A3F23}" name="Column4100"/>
    <tableColumn id="4106" xr3:uid="{BD08D8C9-8416-427B-AAA6-66BEEA342A7C}" name="Column4101"/>
    <tableColumn id="4107" xr3:uid="{48A07893-3E2D-4BD2-870E-F1B03C1BE399}" name="Column4102"/>
    <tableColumn id="4108" xr3:uid="{3451510A-7DD7-49F0-A1E6-CC07EA061FC3}" name="Column4103"/>
    <tableColumn id="4109" xr3:uid="{CBD62E6A-63B5-44DB-831E-AC8E217C21D3}" name="Column4104"/>
    <tableColumn id="4110" xr3:uid="{0DBA0944-9E3F-4794-90C3-C83B4BAE78B0}" name="Column4105"/>
    <tableColumn id="4111" xr3:uid="{27C84919-9CF2-4292-8D01-4395D0B634ED}" name="Column4106"/>
    <tableColumn id="4112" xr3:uid="{B4459EF7-F6EE-4665-BB63-564203C14B2F}" name="Column4107"/>
    <tableColumn id="4113" xr3:uid="{DACAC0BD-77A6-47CE-93B7-CDDBB5BC861F}" name="Column4108"/>
    <tableColumn id="4114" xr3:uid="{9F8DADCB-E2E7-4324-B04D-BF529EB4944C}" name="Column4109"/>
    <tableColumn id="4115" xr3:uid="{D24E0A3B-6A95-441D-931F-F6498D4AD17A}" name="Column4110"/>
    <tableColumn id="4116" xr3:uid="{888B0A18-5930-406F-8D26-2DDD29B16B8D}" name="Column4111"/>
    <tableColumn id="4117" xr3:uid="{50C81BA6-77C0-45F7-9987-BE1584C78181}" name="Column4112"/>
    <tableColumn id="4118" xr3:uid="{2128E2AD-8175-47AE-B139-4D443D7911F1}" name="Column4113"/>
    <tableColumn id="4119" xr3:uid="{EB77184B-472A-4485-8926-F11F541AA0A9}" name="Column4114"/>
    <tableColumn id="4120" xr3:uid="{36E72F78-E0C9-45D3-9DAB-E4E572BDF71D}" name="Column4115"/>
    <tableColumn id="4121" xr3:uid="{89147F8F-C201-46AC-9092-2792B86079A8}" name="Column4116"/>
    <tableColumn id="4122" xr3:uid="{120531F7-01CB-46AA-B9F5-39CAB5937109}" name="Column4117"/>
    <tableColumn id="4123" xr3:uid="{5C9C2482-FB76-4F86-B56B-1E6EA1ED3D1F}" name="Column4118"/>
    <tableColumn id="4124" xr3:uid="{184F33D5-AAC9-49F1-84E1-61DFDED7C65A}" name="Column4119"/>
    <tableColumn id="4125" xr3:uid="{B65E01AD-1486-4A2B-820B-B64F384F53EE}" name="Column4120"/>
    <tableColumn id="4126" xr3:uid="{D77086E5-6AAE-44DA-9568-67056D2664AF}" name="Column4121"/>
    <tableColumn id="4127" xr3:uid="{1A0D5CE2-CE8F-4765-A718-BE870DE935C7}" name="Column4122"/>
    <tableColumn id="4128" xr3:uid="{E6DFDBF0-A5F8-4482-A221-9A5BED04C449}" name="Column4123"/>
    <tableColumn id="4129" xr3:uid="{7B84F42F-38B5-4829-9633-F996722565A2}" name="Column4124"/>
    <tableColumn id="4130" xr3:uid="{F0F4E995-9DDC-4F15-9D95-9EE16F2D2286}" name="Column4125"/>
    <tableColumn id="4131" xr3:uid="{E68C0F27-BB9B-44C6-8EF0-345ACC5656F2}" name="Column4126"/>
    <tableColumn id="4132" xr3:uid="{935F7CAD-7407-43B5-8E61-B3A51E931D95}" name="Column4127"/>
    <tableColumn id="4133" xr3:uid="{C335D355-517D-4948-AA27-8DDFB9DFC377}" name="Column4128"/>
    <tableColumn id="4134" xr3:uid="{ECE9634A-97C8-4874-B3C0-2E5D15EA1818}" name="Column4129"/>
    <tableColumn id="4135" xr3:uid="{ED2ECF03-3355-417F-8243-B501665908B4}" name="Column4130"/>
    <tableColumn id="4136" xr3:uid="{008D390F-0D2E-43B6-B056-8ACAC5A6A976}" name="Column4131"/>
    <tableColumn id="4137" xr3:uid="{39EA9084-7F05-4C2E-8D49-0A4FCFC92767}" name="Column4132"/>
    <tableColumn id="4138" xr3:uid="{2CC15955-FC9B-480D-AE08-6546DF2AD7ED}" name="Column4133"/>
    <tableColumn id="4139" xr3:uid="{1720B43F-9378-4B43-B112-13FDAAC8CD4A}" name="Column4134"/>
    <tableColumn id="4140" xr3:uid="{28FAB74E-0A76-41DF-A59D-336B509A5518}" name="Column4135"/>
    <tableColumn id="4141" xr3:uid="{95A533BD-785B-4CDF-9F3E-3009E373C65F}" name="Column4136"/>
    <tableColumn id="4142" xr3:uid="{FEF72290-54E0-47CF-A651-1B70BBC4F09E}" name="Column4137"/>
    <tableColumn id="4143" xr3:uid="{00A9102F-5297-4D53-B72F-C5151A06B5F9}" name="Column4138"/>
    <tableColumn id="4144" xr3:uid="{1F63C74C-80B5-45B8-AA8D-467CEDDF225E}" name="Column4139"/>
    <tableColumn id="4145" xr3:uid="{93484513-A082-417B-AF6E-1A62F4ED7338}" name="Column4140"/>
    <tableColumn id="4146" xr3:uid="{F29955FB-F02D-4B57-8344-E781A18DB669}" name="Column4141"/>
    <tableColumn id="4147" xr3:uid="{380CCB85-822D-410A-8572-557C624711CD}" name="Column4142"/>
    <tableColumn id="4148" xr3:uid="{03A19C53-AF3E-4FAF-9E1A-AC557F98533D}" name="Column4143"/>
    <tableColumn id="4149" xr3:uid="{4160BA62-A9B8-460F-A6AA-39A11C304C89}" name="Column4144"/>
    <tableColumn id="4150" xr3:uid="{EA4F6FF9-F57E-4A7B-84AA-26B7B01DF775}" name="Column4145"/>
    <tableColumn id="4151" xr3:uid="{8235F5F5-0CB3-4AD4-B36C-E7F0D6E6D55E}" name="Column4146"/>
    <tableColumn id="4152" xr3:uid="{11DDB1DC-35F2-4B3D-AFB5-AC7A04248E97}" name="Column4147"/>
    <tableColumn id="4153" xr3:uid="{B6845A7E-A151-4946-9D7F-24C7BAC7DEF5}" name="Column4148"/>
    <tableColumn id="4154" xr3:uid="{2E245CF1-24F7-425E-93D3-E5AEE0C32B8A}" name="Column4149"/>
    <tableColumn id="4155" xr3:uid="{57CE06BA-B5F5-4CEF-A9FF-6ADB5258A186}" name="Column4150"/>
    <tableColumn id="4156" xr3:uid="{30D59BD2-0C4A-4658-91EF-E7FA71F81548}" name="Column4151"/>
    <tableColumn id="4157" xr3:uid="{ED08C108-B548-4217-9EC6-4DF0A146E3D3}" name="Column4152"/>
    <tableColumn id="4158" xr3:uid="{C149199E-6324-42C3-9513-D0AFF063DF16}" name="Column4153"/>
    <tableColumn id="4159" xr3:uid="{CA35FCBB-9B5F-41E8-B908-09BFA1A1117F}" name="Column4154"/>
    <tableColumn id="4160" xr3:uid="{C8773438-792B-4A2D-B721-CD52A0371006}" name="Column4155"/>
    <tableColumn id="4161" xr3:uid="{55BD88AF-4431-49CA-80B9-C74CDDF8C6E6}" name="Column4156"/>
    <tableColumn id="4162" xr3:uid="{CA71BF36-FA8F-4BB0-8D73-058935452B71}" name="Column4157"/>
    <tableColumn id="4163" xr3:uid="{DE1A5FF1-0DED-404E-9AB7-DDDDB0E0BE46}" name="Column4158"/>
    <tableColumn id="4164" xr3:uid="{8EA3A327-E245-42FB-8601-1509FFA95716}" name="Column4159"/>
    <tableColumn id="4165" xr3:uid="{F7E09205-4ED4-4C01-BD71-CBC28EFF621F}" name="Column4160"/>
    <tableColumn id="4166" xr3:uid="{82A21BA6-8212-44D0-933B-6F94E9180493}" name="Column4161"/>
    <tableColumn id="4167" xr3:uid="{BE58A77B-D280-4D1D-B124-6B08BCB2F37C}" name="Column4162"/>
    <tableColumn id="4168" xr3:uid="{09D1B5BC-406E-4641-909E-56B84536E203}" name="Column4163"/>
    <tableColumn id="4169" xr3:uid="{CD6B9A91-E70B-4833-B8BD-212D1875B247}" name="Column4164"/>
    <tableColumn id="4170" xr3:uid="{47F5B7BF-EED9-4DA4-81C9-10179AA5311D}" name="Column4165"/>
    <tableColumn id="4171" xr3:uid="{2909FF9D-2DDD-4693-BFC0-94C9337E927E}" name="Column4166"/>
    <tableColumn id="4172" xr3:uid="{B1BA3480-9056-44D8-8BEA-F13D2CD52582}" name="Column4167"/>
    <tableColumn id="4173" xr3:uid="{8452C978-A0F8-41F0-8DFD-D9E72B10E417}" name="Column4168"/>
    <tableColumn id="4174" xr3:uid="{C1A3401C-D444-4F8F-9B88-3CC5D408703A}" name="Column4169"/>
    <tableColumn id="4175" xr3:uid="{D654A4BE-2C74-463E-B737-497BEACB1232}" name="Column4170"/>
    <tableColumn id="4176" xr3:uid="{C0C09143-EB3E-40EF-9A4F-836B5589F663}" name="Column4171"/>
    <tableColumn id="4177" xr3:uid="{D5F7B21D-DE1D-4BA4-9B13-6E992F310E69}" name="Column4172"/>
    <tableColumn id="4178" xr3:uid="{79856698-5F8B-45B3-80BD-7B839F179274}" name="Column4173"/>
    <tableColumn id="4179" xr3:uid="{11C41D7A-6F29-440B-8383-58B46FCB8AA4}" name="Column4174"/>
    <tableColumn id="4180" xr3:uid="{3793787F-131F-43D9-9228-52572AAA4DF3}" name="Column4175"/>
    <tableColumn id="4181" xr3:uid="{AA39BA84-9DDF-4A64-9CB0-2A6D324C446B}" name="Column4176"/>
    <tableColumn id="4182" xr3:uid="{4FCA4400-D6BB-4C66-B8FA-C7A1649B6E7E}" name="Column4177"/>
    <tableColumn id="4183" xr3:uid="{335EEF95-2120-4F77-8233-BFB8EFBBDB6B}" name="Column4178"/>
    <tableColumn id="4184" xr3:uid="{8C769B21-66F4-47AB-BA60-FBEB9387FCED}" name="Column4179"/>
    <tableColumn id="4185" xr3:uid="{4BD9383D-EDC5-4CA9-A671-8F042CFFA9BD}" name="Column4180"/>
    <tableColumn id="4186" xr3:uid="{7193394E-2395-4F64-AD7D-74BB53C285AF}" name="Column4181"/>
    <tableColumn id="4187" xr3:uid="{BC5C6FA3-D2AF-4A21-9C17-716C0B6B0F96}" name="Column4182"/>
    <tableColumn id="4188" xr3:uid="{47EBD9A2-6DCD-4FC5-A88E-DFC276B450C3}" name="Column4183"/>
    <tableColumn id="4189" xr3:uid="{4B050D66-7754-4C8A-9CC8-32CF990BE999}" name="Column4184"/>
    <tableColumn id="4190" xr3:uid="{3EF6E572-FFAC-4DEB-BF21-84576CF917D4}" name="Column4185"/>
    <tableColumn id="4191" xr3:uid="{7FEFCB65-670F-4BD0-A6A5-DEBA7C0AF7C1}" name="Column4186"/>
    <tableColumn id="4192" xr3:uid="{108697CA-DD49-4852-B1EA-221A5A8BE5AF}" name="Column4187"/>
    <tableColumn id="4193" xr3:uid="{7C0BF281-AE36-459E-AADA-E8D6F9FE367A}" name="Column4188"/>
    <tableColumn id="4194" xr3:uid="{9131F07B-A62E-471F-AEC4-05BB1586E37E}" name="Column4189"/>
    <tableColumn id="4195" xr3:uid="{0D011F2D-586A-4A46-8F57-E4CCCEE37380}" name="Column4190"/>
    <tableColumn id="4196" xr3:uid="{9193A3E2-8E73-4480-BC9D-6611164676CE}" name="Column4191"/>
    <tableColumn id="4197" xr3:uid="{C773FE41-0E70-42C2-B5CE-E50AEE701577}" name="Column4192"/>
    <tableColumn id="4198" xr3:uid="{5E401944-0789-4731-8EDC-4D38A79597F4}" name="Column4193"/>
    <tableColumn id="4199" xr3:uid="{908A8EF4-4C02-424B-9F03-26FD804529C1}" name="Column4194"/>
    <tableColumn id="4200" xr3:uid="{DC62926B-5BA8-4A93-B016-13E8E9B24654}" name="Column4195"/>
    <tableColumn id="4201" xr3:uid="{500ADFCC-69F6-4084-9FB6-F41862D89E2F}" name="Column4196"/>
    <tableColumn id="4202" xr3:uid="{C8962F8B-79F6-43F8-9A3C-0F981077027C}" name="Column4197"/>
    <tableColumn id="4203" xr3:uid="{65EDE029-9ECC-41EF-8B92-692656AC9ACC}" name="Column4198"/>
    <tableColumn id="4204" xr3:uid="{07E5891F-7C23-4DB8-86BA-C67FCA76824D}" name="Column4199"/>
    <tableColumn id="4205" xr3:uid="{9A7E45B6-4469-47A4-BCBC-B9D451484DDF}" name="Column4200"/>
    <tableColumn id="4206" xr3:uid="{3BE928B9-8C54-4E2F-812C-3F7CF9895CBD}" name="Column4201"/>
    <tableColumn id="4207" xr3:uid="{DA16554A-A53F-46A9-8791-5C4326050811}" name="Column4202"/>
    <tableColumn id="4208" xr3:uid="{B2FC819F-E440-42B9-8A95-9CBE06726297}" name="Column4203"/>
    <tableColumn id="4209" xr3:uid="{64315DF6-8988-4AE3-8B27-BB90A972CA5E}" name="Column4204"/>
    <tableColumn id="4210" xr3:uid="{76BF6557-4901-4B83-8651-E9C3B628A52E}" name="Column4205"/>
    <tableColumn id="4211" xr3:uid="{508E73C3-EF71-4228-AF00-4520FCA7B986}" name="Column4206"/>
    <tableColumn id="4212" xr3:uid="{5056A255-C918-4635-BE14-DEA774B43DF6}" name="Column4207"/>
    <tableColumn id="4213" xr3:uid="{0CDAA5A0-74B7-4433-8FD3-2754A02FA752}" name="Column4208"/>
    <tableColumn id="4214" xr3:uid="{17F6FA74-5A1F-4B69-8D46-0CA1A3DB0C43}" name="Column4209"/>
    <tableColumn id="4215" xr3:uid="{8E8B349A-5FA3-41C4-BBCC-0CDAD62F8644}" name="Column4210"/>
    <tableColumn id="4216" xr3:uid="{98FE5060-B9FE-4DAB-AEBB-F6DEB5DCFBA3}" name="Column4211"/>
    <tableColumn id="4217" xr3:uid="{8FBD2AC3-3530-4661-AB85-0DC41DF514FD}" name="Column4212"/>
    <tableColumn id="4218" xr3:uid="{451B17A3-0C50-4C4B-9847-897C3EB31C95}" name="Column4213"/>
    <tableColumn id="4219" xr3:uid="{A5C93300-A971-48B5-8AAA-26E9639CE30D}" name="Column4214"/>
    <tableColumn id="4220" xr3:uid="{579516F5-B90F-40DF-9502-A15EE6A8AE61}" name="Column4215"/>
    <tableColumn id="4221" xr3:uid="{A0DBEAC9-544F-463F-9F1A-19646F978A6B}" name="Column4216"/>
    <tableColumn id="4222" xr3:uid="{949FC21F-3E81-4CBD-AC0E-D343F6EB3270}" name="Column4217"/>
    <tableColumn id="4223" xr3:uid="{C717C276-6445-4872-8EE3-34759D931F30}" name="Column4218"/>
    <tableColumn id="4224" xr3:uid="{F9405756-3D53-4BA3-ACDC-0CB6A1E08C2D}" name="Column4219"/>
    <tableColumn id="4225" xr3:uid="{B0CFB563-16AE-46F6-ACB5-F6A1272A51BB}" name="Column4220"/>
    <tableColumn id="4226" xr3:uid="{6D0B5963-BC21-47DE-BE4E-301115F8BCEF}" name="Column4221"/>
    <tableColumn id="4227" xr3:uid="{F2AAF9DB-5738-446F-BF6D-FA95FB3A6B8C}" name="Column4222"/>
    <tableColumn id="4228" xr3:uid="{09D795CA-8809-4D0F-8930-48A92A641967}" name="Column4223"/>
    <tableColumn id="4229" xr3:uid="{B329EB2D-B975-4A53-A141-C27D9F9E8480}" name="Column4224"/>
    <tableColumn id="4230" xr3:uid="{A4AF4EB8-FB8F-406F-9513-3542AF230084}" name="Column4225"/>
    <tableColumn id="4231" xr3:uid="{9E50B3D8-D101-4427-83FC-D5EC6B27F319}" name="Column4226"/>
    <tableColumn id="4232" xr3:uid="{22045B82-6F44-47DF-91C5-6D5A4B2E40D1}" name="Column4227"/>
    <tableColumn id="4233" xr3:uid="{FC319B00-1D46-422E-B463-4882572224FD}" name="Column4228"/>
    <tableColumn id="4234" xr3:uid="{688A550F-F228-41D0-A427-67FE5E9EC8CA}" name="Column4229"/>
    <tableColumn id="4235" xr3:uid="{414596DE-0B56-464C-A605-2C949D90EA2A}" name="Column4230"/>
    <tableColumn id="4236" xr3:uid="{DE5F2DFC-71C8-4D54-919A-54DC2D1D2420}" name="Column4231"/>
    <tableColumn id="4237" xr3:uid="{46F4F07F-AD5A-4BC9-AD00-7A13A4701483}" name="Column4232"/>
    <tableColumn id="4238" xr3:uid="{8794AED2-5AC2-475E-B96C-7F0332FC9B5B}" name="Column4233"/>
    <tableColumn id="4239" xr3:uid="{67496D75-4587-4A0A-8233-C64309846BE8}" name="Column4234"/>
    <tableColumn id="4240" xr3:uid="{18AF930F-B492-4128-B75C-788BB67A235A}" name="Column4235"/>
    <tableColumn id="4241" xr3:uid="{3BE43E7E-0C80-4106-96DA-11CBA3E6159C}" name="Column4236"/>
    <tableColumn id="4242" xr3:uid="{8E55EEAE-AE20-4BCF-A0C6-E987697CA5F7}" name="Column4237"/>
    <tableColumn id="4243" xr3:uid="{A0C4FD0B-C20D-4968-A1AE-ED6E03367A05}" name="Column4238"/>
    <tableColumn id="4244" xr3:uid="{B0C04571-7C47-4DDD-86BA-2356EC424A89}" name="Column4239"/>
    <tableColumn id="4245" xr3:uid="{BE1481AE-F038-4C54-951E-BA7360E60F8B}" name="Column4240"/>
    <tableColumn id="4246" xr3:uid="{D8BC1F53-1D0A-4414-93F7-41ED12290FE3}" name="Column4241"/>
    <tableColumn id="4247" xr3:uid="{310E1DBF-683B-4A69-8549-5BA0CA8B77B9}" name="Column4242"/>
    <tableColumn id="4248" xr3:uid="{99636E2D-DB83-4A2C-8C2B-63837CC20705}" name="Column4243"/>
    <tableColumn id="4249" xr3:uid="{7C98C72E-FEF2-4DC3-ABDA-6A396211C394}" name="Column4244"/>
    <tableColumn id="4250" xr3:uid="{9C21D1D0-2B53-43A7-ABF0-5185CC8379AD}" name="Column4245"/>
    <tableColumn id="4251" xr3:uid="{609DFDD2-BF1C-40BD-9C50-FC6FC08D457E}" name="Column4246"/>
    <tableColumn id="4252" xr3:uid="{B64979A5-2D28-43E4-9DA1-359D4F5C5104}" name="Column4247"/>
    <tableColumn id="4253" xr3:uid="{50E819A2-D1DE-46EF-A802-2C1F774F92BA}" name="Column4248"/>
    <tableColumn id="4254" xr3:uid="{2A60964B-9F20-4F35-838C-6D389AACA66F}" name="Column4249"/>
    <tableColumn id="4255" xr3:uid="{C7A454C4-BDBC-423D-ACF3-6F44F67E7B5E}" name="Column4250"/>
    <tableColumn id="4256" xr3:uid="{B7163AD7-A5E3-443C-9A11-3787DCEA4CE7}" name="Column4251"/>
    <tableColumn id="4257" xr3:uid="{D9F67933-E88F-4C77-B5DF-49B60E6D05CB}" name="Column4252"/>
    <tableColumn id="4258" xr3:uid="{4E70E05C-D423-4B4E-AF6C-7B0E56C7AEE4}" name="Column4253"/>
    <tableColumn id="4259" xr3:uid="{8B468DB9-A8A7-44A0-891A-A3E1CA914D18}" name="Column4254"/>
    <tableColumn id="4260" xr3:uid="{F0D56A01-09C0-412D-B5FB-FF18902AACB8}" name="Column4255"/>
    <tableColumn id="4261" xr3:uid="{40879132-7ED7-4B73-B92A-132C2A1CA4FE}" name="Column4256"/>
    <tableColumn id="4262" xr3:uid="{D1311B2F-F9A4-47CB-9E2F-DEEFF685D34D}" name="Column4257"/>
    <tableColumn id="4263" xr3:uid="{E6C75B42-DA60-4275-8BA8-E649DE982DDD}" name="Column4258"/>
    <tableColumn id="4264" xr3:uid="{A54399DC-C7E4-4950-A2DB-7C2E4494113B}" name="Column4259"/>
    <tableColumn id="4265" xr3:uid="{620B0D5C-01CE-4D71-BB2F-564DB31CE3AE}" name="Column4260"/>
    <tableColumn id="4266" xr3:uid="{F905C64D-E5B6-443E-91F0-6437611D5029}" name="Column4261"/>
    <tableColumn id="4267" xr3:uid="{BE27DA46-515D-45CF-8FDA-9694C21EF088}" name="Column4262"/>
    <tableColumn id="4268" xr3:uid="{62A70F49-AEA7-409B-BD10-B32D063CE14A}" name="Column4263"/>
    <tableColumn id="4269" xr3:uid="{77A76D33-A57E-4386-B10E-46EF7CAE1794}" name="Column4264"/>
    <tableColumn id="4270" xr3:uid="{D5E6A957-A169-4690-8FDA-7DFDA422689F}" name="Column4265"/>
    <tableColumn id="4271" xr3:uid="{A3EFB35E-2131-483A-BAE2-CF770A1ED56C}" name="Column4266"/>
    <tableColumn id="4272" xr3:uid="{1178304E-D285-4FA7-B995-79FA8DD0E020}" name="Column4267"/>
    <tableColumn id="4273" xr3:uid="{E6D05998-B38C-4F3B-9060-34CF1521811B}" name="Column4268"/>
    <tableColumn id="4274" xr3:uid="{CE4FBAB3-EDF2-4B9B-86F3-EA9A78551563}" name="Column4269"/>
    <tableColumn id="4275" xr3:uid="{8422AC9C-F152-45A2-9C38-C809728A1866}" name="Column4270"/>
    <tableColumn id="4276" xr3:uid="{4071231C-4943-4262-8E87-A2E6C66E3BF1}" name="Column4271"/>
    <tableColumn id="4277" xr3:uid="{54568BE1-F474-4EA4-B6A8-188D9ED6CFCF}" name="Column4272"/>
    <tableColumn id="4278" xr3:uid="{6DC8BEFA-4E30-46D2-874F-F128ADCA5F8A}" name="Column4273"/>
    <tableColumn id="4279" xr3:uid="{9937B38F-BDA5-435B-84C8-1C806D9C6BDF}" name="Column4274"/>
    <tableColumn id="4280" xr3:uid="{CCEF7030-2C19-4A67-BFC9-5EC0B14D29DB}" name="Column4275"/>
    <tableColumn id="4281" xr3:uid="{6D21412E-1394-40E6-86AE-F20158E47547}" name="Column4276"/>
    <tableColumn id="4282" xr3:uid="{27EED336-B9B6-4680-9CBA-DCDECE11C003}" name="Column4277"/>
    <tableColumn id="4283" xr3:uid="{269F6E58-F2E1-4B90-B510-D4053C836F19}" name="Column4278"/>
    <tableColumn id="4284" xr3:uid="{CB2B16C2-88C6-441E-B930-4541A3D2836A}" name="Column4279"/>
    <tableColumn id="4285" xr3:uid="{C095848C-D2D3-4030-B5C7-7BFDEBBB69D0}" name="Column4280"/>
    <tableColumn id="4286" xr3:uid="{4D027558-DF56-40E9-8E4E-2FC5268295E2}" name="Column4281"/>
    <tableColumn id="4287" xr3:uid="{DA77471C-D2DE-40C2-9A93-E9E657DCC73F}" name="Column4282"/>
    <tableColumn id="4288" xr3:uid="{1C5C8EED-DE0A-44E3-B3FA-4B105E5058AC}" name="Column4283"/>
    <tableColumn id="4289" xr3:uid="{93E3615A-D878-46C2-B3D0-0464C24A1787}" name="Column4284"/>
    <tableColumn id="4290" xr3:uid="{E963736E-7337-4FC7-8C09-7DDEA4885AA6}" name="Column4285"/>
    <tableColumn id="4291" xr3:uid="{95A829A5-B28B-49B2-BBCA-1183A67DBB11}" name="Column4286"/>
    <tableColumn id="4292" xr3:uid="{4BA437B4-091C-47FD-9CFF-AFC33F959208}" name="Column4287"/>
    <tableColumn id="4293" xr3:uid="{0C241AE2-9205-4806-9950-46894BA6A888}" name="Column4288"/>
    <tableColumn id="4294" xr3:uid="{85003365-B724-44D0-9A64-486255AC7AF0}" name="Column4289"/>
    <tableColumn id="4295" xr3:uid="{09A367AF-FEC4-417C-8B4C-9EDE0CC530F8}" name="Column4290"/>
    <tableColumn id="4296" xr3:uid="{567D8AC7-5868-4F04-976D-CF118F16C3D7}" name="Column4291"/>
    <tableColumn id="4297" xr3:uid="{7938DAD4-828D-47B0-99BA-5B482E8317A4}" name="Column4292"/>
    <tableColumn id="4298" xr3:uid="{00991E17-A586-4288-9908-CECC6C57A9D1}" name="Column4293"/>
    <tableColumn id="4299" xr3:uid="{9E1CB4F7-9426-4E43-8890-2A5C1A01D835}" name="Column4294"/>
    <tableColumn id="4300" xr3:uid="{CAE1E976-2409-4059-AE03-58BA3D95A806}" name="Column4295"/>
    <tableColumn id="4301" xr3:uid="{6A97F750-D5EC-4DD2-8249-F04568836F33}" name="Column4296"/>
    <tableColumn id="4302" xr3:uid="{80F727A7-9F7E-46CE-A479-4ACCED779915}" name="Column4297"/>
    <tableColumn id="4303" xr3:uid="{5E5CDC7F-508A-4BD4-9F5E-501558306B9A}" name="Column4298"/>
    <tableColumn id="4304" xr3:uid="{A67387DE-5966-41EA-BE1B-C61E85B957F3}" name="Column4299"/>
    <tableColumn id="4305" xr3:uid="{35260ECD-E219-4A37-9442-7DCC91DFFA6A}" name="Column4300"/>
    <tableColumn id="4306" xr3:uid="{DD76A5D2-1D43-4E15-9F00-EC63C5CC56BC}" name="Column4301"/>
    <tableColumn id="4307" xr3:uid="{34275170-1629-4B29-B88D-6039B689A1D3}" name="Column4302"/>
    <tableColumn id="4308" xr3:uid="{A11B94FB-9637-4FCC-83BD-5ECCB189485E}" name="Column4303"/>
    <tableColumn id="4309" xr3:uid="{C7BFE860-4D27-42B6-966E-AACDF5A13296}" name="Column4304"/>
    <tableColumn id="4310" xr3:uid="{8D55F1EE-C188-456E-99E5-D9EEDBDB31AC}" name="Column4305"/>
    <tableColumn id="4311" xr3:uid="{319CEFD7-B79E-4112-AF81-9EBC3A2FDD0B}" name="Column4306"/>
    <tableColumn id="4312" xr3:uid="{08535C05-7218-4BA8-AE44-206D970E5EA5}" name="Column4307"/>
    <tableColumn id="4313" xr3:uid="{B783D6F7-8138-4468-9BDF-D0F084439391}" name="Column4308"/>
    <tableColumn id="4314" xr3:uid="{D2D82DF3-A2E7-48E8-BAB5-A3948F78C1FB}" name="Column4309"/>
    <tableColumn id="4315" xr3:uid="{D441D229-4B11-4753-AC57-2E3CCC3BBFBA}" name="Column4310"/>
    <tableColumn id="4316" xr3:uid="{917D125A-1E01-48D2-8A19-1134658B2D41}" name="Column4311"/>
    <tableColumn id="4317" xr3:uid="{15F89355-7741-4485-8D97-7E948F0B286F}" name="Column4312"/>
    <tableColumn id="4318" xr3:uid="{575A049A-689D-43E9-9FAE-F9187AF40772}" name="Column4313"/>
    <tableColumn id="4319" xr3:uid="{C7A56FC3-9C4F-4AFD-BF27-CB5756E65378}" name="Column4314"/>
    <tableColumn id="4320" xr3:uid="{C13A3A82-066C-4148-8AE0-80AA512BA9C5}" name="Column4315"/>
    <tableColumn id="4321" xr3:uid="{923D951C-AE01-4135-87A0-1F79C0A94E99}" name="Column4316"/>
    <tableColumn id="4322" xr3:uid="{77113808-1935-4051-A785-40A420349953}" name="Column4317"/>
    <tableColumn id="4323" xr3:uid="{479FE9A9-695C-407A-9A3E-2AD99D2F7508}" name="Column4318"/>
    <tableColumn id="4324" xr3:uid="{B92156DA-3554-449F-85D5-0F80B70F4E21}" name="Column4319"/>
    <tableColumn id="4325" xr3:uid="{0093CF54-F3D6-4FA8-8FCE-52B3545C8490}" name="Column4320"/>
    <tableColumn id="4326" xr3:uid="{9C7C097D-4C8A-44FD-8DEC-3EC8A1F7C2E8}" name="Column4321"/>
    <tableColumn id="4327" xr3:uid="{BC5863FC-F3C5-409D-9F39-2DAAEF0E69E8}" name="Column4322"/>
    <tableColumn id="4328" xr3:uid="{C0386738-D9AF-4E63-B550-93D357087239}" name="Column4323"/>
    <tableColumn id="4329" xr3:uid="{2AC78EE8-FCCF-4535-AF29-B21C06317F41}" name="Column4324"/>
    <tableColumn id="4330" xr3:uid="{53614378-5DA9-44F7-BB1D-77B71321BA54}" name="Column4325"/>
    <tableColumn id="4331" xr3:uid="{9D383018-38E1-4E69-A6DD-7262F5C04B2A}" name="Column4326"/>
    <tableColumn id="4332" xr3:uid="{F1EA3E05-C43F-403C-8AB4-5F81574269B4}" name="Column4327"/>
    <tableColumn id="4333" xr3:uid="{C844D2EB-32AC-45D6-B371-4B346C2A41F8}" name="Column4328"/>
    <tableColumn id="4334" xr3:uid="{AABB2B27-267F-4ACF-A221-00690BB56E20}" name="Column4329"/>
    <tableColumn id="4335" xr3:uid="{3F9B9C46-0491-4014-BC5D-CED83BE7965C}" name="Column4330"/>
    <tableColumn id="4336" xr3:uid="{8871FF35-9490-40AA-BC96-5CC498745DBF}" name="Column4331"/>
    <tableColumn id="4337" xr3:uid="{1AE038D4-6EDC-405D-A24E-2076FB1E82E6}" name="Column4332"/>
    <tableColumn id="4338" xr3:uid="{3C4D7759-D466-4E13-8AD5-4FA60BD050AD}" name="Column4333"/>
    <tableColumn id="4339" xr3:uid="{DFB977F3-CE5D-4C12-9998-991D236B842F}" name="Column4334"/>
    <tableColumn id="4340" xr3:uid="{3BD1F656-88AD-4993-A5B9-E5523FD73F2F}" name="Column4335"/>
    <tableColumn id="4341" xr3:uid="{9E61CE3B-9486-4321-88E5-73E520A22C57}" name="Column4336"/>
    <tableColumn id="4342" xr3:uid="{2474F45E-D7D8-4080-A170-1ABE671B6E8B}" name="Column4337"/>
    <tableColumn id="4343" xr3:uid="{AD65C2F0-30FB-46D5-A88D-53C281CB9555}" name="Column4338"/>
    <tableColumn id="4344" xr3:uid="{8DFD3EFC-E3B4-43A8-867D-96913AE3B082}" name="Column4339"/>
    <tableColumn id="4345" xr3:uid="{8ABF348F-BF1E-467F-872D-FD722B6E0E03}" name="Column4340"/>
    <tableColumn id="4346" xr3:uid="{D74D124A-EA4E-4A43-903D-3A5017DFF065}" name="Column4341"/>
    <tableColumn id="4347" xr3:uid="{B16DD8BA-BBBC-46EE-B422-79056C49681E}" name="Column4342"/>
    <tableColumn id="4348" xr3:uid="{7ABEB2A7-36DB-45F6-9097-F68E95CCC098}" name="Column4343"/>
    <tableColumn id="4349" xr3:uid="{62251619-CFE6-4DA2-AD49-E7745436953F}" name="Column4344"/>
    <tableColumn id="4350" xr3:uid="{41888D2B-5BB4-4610-BF5F-B04779BD1113}" name="Column4345"/>
    <tableColumn id="4351" xr3:uid="{D4190EC4-0C2C-49B7-B4C4-3605D28211CE}" name="Column4346"/>
    <tableColumn id="4352" xr3:uid="{7F335365-9A16-4496-A187-873F884BB34A}" name="Column4347"/>
    <tableColumn id="4353" xr3:uid="{C6CF93ED-E0B0-4D07-9D9B-7775B267E9DD}" name="Column4348"/>
    <tableColumn id="4354" xr3:uid="{A0A93757-A21F-4B44-BA94-15C3EF87201B}" name="Column4349"/>
    <tableColumn id="4355" xr3:uid="{0CEC8DC2-9525-4B53-85F7-237E7F1E4166}" name="Column4350"/>
    <tableColumn id="4356" xr3:uid="{0B4B5BBA-61DC-40C4-9E6F-3AB93582F1C8}" name="Column4351"/>
    <tableColumn id="4357" xr3:uid="{58BB62B5-2BD5-454F-B592-D200363E8519}" name="Column4352"/>
    <tableColumn id="4358" xr3:uid="{2EAB7A7A-994B-48FF-A7FC-5AC7B7D99D46}" name="Column4353"/>
    <tableColumn id="4359" xr3:uid="{5A045B23-400B-4E4B-80C2-1CA97CE764A2}" name="Column4354"/>
    <tableColumn id="4360" xr3:uid="{E4C6C4E0-E326-41A1-A508-5D1C5AE2EE34}" name="Column4355"/>
    <tableColumn id="4361" xr3:uid="{288C59C5-1838-45E9-ABF5-AD09E80E5581}" name="Column4356"/>
    <tableColumn id="4362" xr3:uid="{A4FB39C2-F501-43D4-AF3E-584796F655CA}" name="Column4357"/>
    <tableColumn id="4363" xr3:uid="{E8C993BB-4965-4C9C-A2C0-2F9BB551E951}" name="Column4358"/>
    <tableColumn id="4364" xr3:uid="{2552E7BD-FC0E-4448-AF94-4FABC85B3C22}" name="Column4359"/>
    <tableColumn id="4365" xr3:uid="{C2A9D924-78EC-42B2-A3CC-0233B17850F9}" name="Column4360"/>
    <tableColumn id="4366" xr3:uid="{0AC33BCD-1F24-4AA0-80A0-E6CDD62149F6}" name="Column4361"/>
    <tableColumn id="4367" xr3:uid="{6634CB9D-4B6C-4645-8F46-901E97B5CEA2}" name="Column4362"/>
    <tableColumn id="4368" xr3:uid="{5F98F70C-94F8-4617-92B4-18C11BE171D5}" name="Column4363"/>
    <tableColumn id="4369" xr3:uid="{D203824A-8769-428E-AF99-0F242C6BFD6E}" name="Column4364"/>
    <tableColumn id="4370" xr3:uid="{EB2E157A-8B79-497E-BF5D-D75B38A481C5}" name="Column4365"/>
    <tableColumn id="4371" xr3:uid="{F3EDFE85-212D-4DBB-808A-4FA2A73E4EFC}" name="Column4366"/>
    <tableColumn id="4372" xr3:uid="{30C1D6BF-1B7B-492C-9AF5-1C2E46E6B507}" name="Column4367"/>
    <tableColumn id="4373" xr3:uid="{14D56513-FD1E-4611-A523-EA67DB16CBCC}" name="Column4368"/>
    <tableColumn id="4374" xr3:uid="{4AE1CF76-3595-426F-B3E7-89FF143ADB42}" name="Column4369"/>
    <tableColumn id="4375" xr3:uid="{CF18981D-762A-484A-98E5-3A96449F6281}" name="Column4370"/>
    <tableColumn id="4376" xr3:uid="{73054E42-BC77-4752-92FC-361FF38AC18A}" name="Column4371"/>
    <tableColumn id="4377" xr3:uid="{EC3AF267-A884-454F-8097-623446C03543}" name="Column4372"/>
    <tableColumn id="4378" xr3:uid="{F430A5FE-CEF4-4244-BACF-220D30092995}" name="Column4373"/>
    <tableColumn id="4379" xr3:uid="{22AA784C-2CC0-4FC5-9102-6822F86F2E59}" name="Column4374"/>
    <tableColumn id="4380" xr3:uid="{97945DE2-DFAA-448F-99F2-4483DFFBAB62}" name="Column4375"/>
    <tableColumn id="4381" xr3:uid="{3BD4257E-229C-45EE-89F1-C5AE489A3B9E}" name="Column4376"/>
    <tableColumn id="4382" xr3:uid="{03AF3631-ED24-482B-9695-FFCE9B13E1C0}" name="Column4377"/>
    <tableColumn id="4383" xr3:uid="{7656E712-C59A-477D-A94D-BBEBE63EA486}" name="Column4378"/>
    <tableColumn id="4384" xr3:uid="{480A2C25-6CC5-433D-B0DD-265C5BAC1932}" name="Column4379"/>
    <tableColumn id="4385" xr3:uid="{2E731550-9708-40B4-A64E-B2DBF70DD6EA}" name="Column4380"/>
    <tableColumn id="4386" xr3:uid="{9366C560-4679-4F3A-9B3F-7C706675DF1F}" name="Column4381"/>
    <tableColumn id="4387" xr3:uid="{C808EA89-5BB6-4CF1-81CA-9794C5F3C3DB}" name="Column4382"/>
    <tableColumn id="4388" xr3:uid="{D64CC53C-DFF9-46E7-996A-934D18EEC2A6}" name="Column4383"/>
    <tableColumn id="4389" xr3:uid="{002B3D97-A2F1-4D44-B7F0-52DBD7C7A232}" name="Column4384"/>
    <tableColumn id="4390" xr3:uid="{7C00E996-D7B2-458F-8221-F781C6C4A25F}" name="Column4385"/>
    <tableColumn id="4391" xr3:uid="{ED9AE73E-683E-49A0-B29D-0B7AFEFC6BAC}" name="Column4386"/>
    <tableColumn id="4392" xr3:uid="{06AE3984-ABAA-49A9-A281-95519BADC1E0}" name="Column4387"/>
    <tableColumn id="4393" xr3:uid="{31B44475-A2E1-4D16-AA77-65E2278255E7}" name="Column4388"/>
    <tableColumn id="4394" xr3:uid="{4C418F3C-54FD-4064-A759-DB78288FBDCB}" name="Column4389"/>
    <tableColumn id="4395" xr3:uid="{07444B9F-9B70-4D71-8AD9-639C199FD8A2}" name="Column4390"/>
    <tableColumn id="4396" xr3:uid="{F3C3D9A7-C81D-4E21-86E0-3FDA7F4B3163}" name="Column4391"/>
    <tableColumn id="4397" xr3:uid="{E2D18563-09FF-4E78-A68A-377DA60DD57F}" name="Column4392"/>
    <tableColumn id="4398" xr3:uid="{67B30AA3-BA11-4A14-9F9E-E2ABD51387D8}" name="Column4393"/>
    <tableColumn id="4399" xr3:uid="{2BA9DB37-1A10-4616-9D5D-7249E674DD4C}" name="Column4394"/>
    <tableColumn id="4400" xr3:uid="{90806AEA-086C-42A7-9521-BD9AD4E471BC}" name="Column4395"/>
    <tableColumn id="4401" xr3:uid="{A2EEF76A-5352-43B8-B676-4E55ED7CC3DA}" name="Column4396"/>
    <tableColumn id="4402" xr3:uid="{47135198-FC07-4D15-A0AE-ECE1C79AF04D}" name="Column4397"/>
    <tableColumn id="4403" xr3:uid="{415A26CF-4EDC-4C8C-A759-C419ADDF0CF3}" name="Column4398"/>
    <tableColumn id="4404" xr3:uid="{51DCD936-D0B6-4474-B341-4B9700186035}" name="Column4399"/>
    <tableColumn id="4405" xr3:uid="{A3B18A2E-F650-4A4D-ABBE-F36F66118C1C}" name="Column4400"/>
    <tableColumn id="4406" xr3:uid="{EC3FAD99-BC21-4B52-9D0F-132F6F6A6A56}" name="Column4401"/>
    <tableColumn id="4407" xr3:uid="{ED0C185C-D31F-43F4-8E0B-2BF2EBB526B6}" name="Column4402"/>
    <tableColumn id="4408" xr3:uid="{1A3D14F1-DD1B-40A5-BC92-CFBCE7E852D6}" name="Column4403"/>
    <tableColumn id="4409" xr3:uid="{6A634239-4E95-40E4-832E-69F03643AA9E}" name="Column4404"/>
    <tableColumn id="4410" xr3:uid="{CCCF51F3-C09A-4CFC-9438-20CDAC68200C}" name="Column4405"/>
    <tableColumn id="4411" xr3:uid="{7B413D46-33F9-44C6-BDF5-F9A71CFD65A9}" name="Column4406"/>
    <tableColumn id="4412" xr3:uid="{34E4A105-11D6-4765-A412-C794F363982A}" name="Column4407"/>
    <tableColumn id="4413" xr3:uid="{02DD6B1E-24D6-461A-95D5-F729BA83C923}" name="Column4408"/>
    <tableColumn id="4414" xr3:uid="{7F078730-8794-4EF0-9CD0-E423FDED595C}" name="Column4409"/>
    <tableColumn id="4415" xr3:uid="{F12389C3-05EF-464E-8FD1-07EECCC4BFBE}" name="Column4410"/>
    <tableColumn id="4416" xr3:uid="{647665D0-452E-4239-8D9F-B81421035484}" name="Column4411"/>
    <tableColumn id="4417" xr3:uid="{0785EF7B-167D-40C4-AFA2-94373DCCD836}" name="Column4412"/>
    <tableColumn id="4418" xr3:uid="{D666049B-3DD8-4AFB-9011-56E654D10A83}" name="Column4413"/>
    <tableColumn id="4419" xr3:uid="{17E370A7-F0AF-4964-8E88-FC45795409D1}" name="Column4414"/>
    <tableColumn id="4420" xr3:uid="{0EC60B34-A483-45A7-9902-F0F054BC6184}" name="Column4415"/>
    <tableColumn id="4421" xr3:uid="{0FCF90B2-DFC4-4E09-A3DD-674D8FAB7C64}" name="Column4416"/>
    <tableColumn id="4422" xr3:uid="{4B621807-F5CB-48E0-BC66-329B08AEAF40}" name="Column4417"/>
    <tableColumn id="4423" xr3:uid="{F967F0B1-1FF7-4EDB-BEE9-59FD3E78A924}" name="Column4418"/>
    <tableColumn id="4424" xr3:uid="{189A28B8-CF88-4D11-B5A8-2B9464EA2A78}" name="Column4419"/>
    <tableColumn id="4425" xr3:uid="{014C6CD1-8F39-4F30-952E-A3F61080AACB}" name="Column4420"/>
    <tableColumn id="4426" xr3:uid="{54FFBBDB-63A2-4F0A-BBCB-ACB6BB04EB70}" name="Column4421"/>
    <tableColumn id="4427" xr3:uid="{98D5078A-620B-42AE-BCC2-E1A1B69F8351}" name="Column4422"/>
    <tableColumn id="4428" xr3:uid="{67EE37F6-6B47-4AB9-B6DD-49958DD249A3}" name="Column4423"/>
    <tableColumn id="4429" xr3:uid="{97028275-4A44-45B9-A713-EBC0D1941E5F}" name="Column4424"/>
    <tableColumn id="4430" xr3:uid="{68E4CE46-1EA2-4C7E-A993-E4F96800D6E8}" name="Column4425"/>
    <tableColumn id="4431" xr3:uid="{6EDCEDB6-CE42-438A-9032-D7F9093775A3}" name="Column4426"/>
    <tableColumn id="4432" xr3:uid="{586401A2-8A4A-4260-9D89-9D5547EE0061}" name="Column4427"/>
    <tableColumn id="4433" xr3:uid="{75FCAB1D-7A6A-4056-9DC0-B3E2E1F8A9C3}" name="Column4428"/>
    <tableColumn id="4434" xr3:uid="{E473918E-A8B7-4D2E-858D-A8F84BFBB016}" name="Column4429"/>
    <tableColumn id="4435" xr3:uid="{2C41B627-46F8-4DFE-862E-599EFD8BEDED}" name="Column4430"/>
    <tableColumn id="4436" xr3:uid="{683C082B-D191-4790-9122-1BDCCB5B46E2}" name="Column4431"/>
    <tableColumn id="4437" xr3:uid="{0ADA9FDD-85B0-42BD-B34B-07556D9286B1}" name="Column4432"/>
    <tableColumn id="4438" xr3:uid="{E8F86DC2-327C-4B1D-9EA6-AC4F43410188}" name="Column4433"/>
    <tableColumn id="4439" xr3:uid="{ACEF9F93-E150-4A3A-AA7D-F57ADC5A9B86}" name="Column4434"/>
    <tableColumn id="4440" xr3:uid="{C27B2BDA-19CC-4802-A959-1A4D868AD37C}" name="Column4435"/>
    <tableColumn id="4441" xr3:uid="{D2985093-14AB-4632-B180-48E747DDB166}" name="Column4436"/>
    <tableColumn id="4442" xr3:uid="{E6D70AB7-4BD0-4D44-BFE0-528E3DD6CFA5}" name="Column4437"/>
    <tableColumn id="4443" xr3:uid="{060C4D0E-49DE-48D4-86E0-3CBBDF4A70B9}" name="Column4438"/>
    <tableColumn id="4444" xr3:uid="{A279C103-1668-4E72-B49A-33CDECAEEA3F}" name="Column4439"/>
    <tableColumn id="4445" xr3:uid="{112ECF09-D7AF-4EFD-BCA8-813349D19614}" name="Column4440"/>
    <tableColumn id="4446" xr3:uid="{4E23096E-B3D7-446D-B39F-813FA3B8813C}" name="Column4441"/>
    <tableColumn id="4447" xr3:uid="{CCF6C456-6E32-4AEA-A91A-C3169F88B79F}" name="Column4442"/>
    <tableColumn id="4448" xr3:uid="{C7A8FB1F-41FD-4FAB-8A10-FEAD87B12086}" name="Column4443"/>
    <tableColumn id="4449" xr3:uid="{D7E32D60-27FB-40A2-95DF-8A0342364898}" name="Column4444"/>
    <tableColumn id="4450" xr3:uid="{1EA0409C-CE6A-46E6-8764-06D7BA5B08CF}" name="Column4445"/>
    <tableColumn id="4451" xr3:uid="{8D743942-1B90-4A3A-A016-3E44F615DB39}" name="Column4446"/>
    <tableColumn id="4452" xr3:uid="{3B8FD953-F105-4413-BAC0-426A91DEFBD8}" name="Column4447"/>
    <tableColumn id="4453" xr3:uid="{9E5EBC07-05C7-4237-85DA-1E958717E09B}" name="Column4448"/>
    <tableColumn id="4454" xr3:uid="{7B302A1B-7E16-4DB0-BE82-384A42AA57EC}" name="Column4449"/>
    <tableColumn id="4455" xr3:uid="{10FBB3E0-03AC-46E7-8E71-3B78782924BD}" name="Column4450"/>
    <tableColumn id="4456" xr3:uid="{76AF28A6-40EC-4061-A8A6-4CDBB2B5D50C}" name="Column4451"/>
    <tableColumn id="4457" xr3:uid="{4ECA1D02-2B9E-4C32-8F4B-56A83B331E79}" name="Column4452"/>
    <tableColumn id="4458" xr3:uid="{CBB9412A-19D2-4EB0-BCDE-659FEE10EBFA}" name="Column4453"/>
    <tableColumn id="4459" xr3:uid="{EE45D178-1EB3-488D-9CCE-78A0A50CA006}" name="Column4454"/>
    <tableColumn id="4460" xr3:uid="{AB44E349-7CA7-429C-A899-536AC2213911}" name="Column4455"/>
    <tableColumn id="4461" xr3:uid="{1DEAB0EA-F552-427D-9339-5ABBE69A3830}" name="Column4456"/>
    <tableColumn id="4462" xr3:uid="{5A716EB8-2DF7-4A73-83EA-A50830DA554D}" name="Column4457"/>
    <tableColumn id="4463" xr3:uid="{BEEA7AFD-61BD-4D56-BED4-B31F798AD594}" name="Column4458"/>
    <tableColumn id="4464" xr3:uid="{0D972717-4DF3-4D55-80C6-608FD5F2E16A}" name="Column4459"/>
    <tableColumn id="4465" xr3:uid="{50C34C75-ED07-4E31-BA68-D0243BC419A6}" name="Column4460"/>
    <tableColumn id="4466" xr3:uid="{57B1B4F2-CBF2-43DE-B638-4DA1CCE2F256}" name="Column4461"/>
    <tableColumn id="4467" xr3:uid="{E58190B7-DA2E-4CE2-8BD4-47C0D744C074}" name="Column4462"/>
    <tableColumn id="4468" xr3:uid="{1D1457E3-4C0F-42F4-A4D5-F6FB433D0351}" name="Column4463"/>
    <tableColumn id="4469" xr3:uid="{64600973-3600-426B-BCBB-7874D65BCB5F}" name="Column4464"/>
    <tableColumn id="4470" xr3:uid="{DB497F41-378B-4027-B6E6-929706EB1327}" name="Column4465"/>
    <tableColumn id="4471" xr3:uid="{B792F4EC-44F1-4F56-9F73-34814576A6A4}" name="Column4466"/>
    <tableColumn id="4472" xr3:uid="{F5A87604-4084-4264-91B6-45C68C429E24}" name="Column4467"/>
    <tableColumn id="4473" xr3:uid="{5F2497D3-ADAD-4536-89DD-29F7F3FED64D}" name="Column4468"/>
    <tableColumn id="4474" xr3:uid="{88DD92C0-3B78-4398-ABA7-181DB72708FE}" name="Column4469"/>
    <tableColumn id="4475" xr3:uid="{D5377ECE-15D7-4531-949C-4F9602B7D114}" name="Column4470"/>
    <tableColumn id="4476" xr3:uid="{C563E9B0-9E88-41C1-B13C-80CCB971E2AC}" name="Column4471"/>
    <tableColumn id="4477" xr3:uid="{2101EE4B-61D4-4823-A163-416E0032CE30}" name="Column4472"/>
    <tableColumn id="4478" xr3:uid="{95437F3E-9C0A-4390-814F-46577EB375F3}" name="Column4473"/>
    <tableColumn id="4479" xr3:uid="{4CE60B74-11D8-4CD6-9E89-84A0D3D70A68}" name="Column4474"/>
    <tableColumn id="4480" xr3:uid="{B627F84B-F668-4734-8B4C-734116A5A305}" name="Column4475"/>
    <tableColumn id="4481" xr3:uid="{45DAB079-7CD7-40A7-B3D9-F0442A2C03AA}" name="Column4476"/>
    <tableColumn id="4482" xr3:uid="{BDF34543-810B-4806-97D5-6E08280551C0}" name="Column4477"/>
    <tableColumn id="4483" xr3:uid="{0082BF1E-33CF-4F5F-820D-D68130C0F853}" name="Column4478"/>
    <tableColumn id="4484" xr3:uid="{E4B38F40-6046-4EEB-9F7B-B71908A94ACE}" name="Column4479"/>
    <tableColumn id="4485" xr3:uid="{04959FBF-0F70-4640-8DD3-57B02A6A4114}" name="Column4480"/>
    <tableColumn id="4486" xr3:uid="{564D2FF9-F21B-45E1-9984-4C4D58E85255}" name="Column4481"/>
    <tableColumn id="4487" xr3:uid="{83A148B6-EA2A-4882-80C3-EEB91B4ABD1E}" name="Column4482"/>
    <tableColumn id="4488" xr3:uid="{8CCB58D0-0921-4670-99DE-43F91C396CF4}" name="Column4483"/>
    <tableColumn id="4489" xr3:uid="{57FA5B4D-9B63-4E11-B0F1-81FFD461AB64}" name="Column4484"/>
    <tableColumn id="4490" xr3:uid="{7D14D2EF-966D-4DE6-AC50-A969F86A84BA}" name="Column4485"/>
    <tableColumn id="4491" xr3:uid="{78FF8CCC-76F5-47F8-885C-44AD313B3ECA}" name="Column4486"/>
    <tableColumn id="4492" xr3:uid="{750CEAAA-912A-443A-ADBA-8AAAC31FC931}" name="Column4487"/>
    <tableColumn id="4493" xr3:uid="{C371209E-3F92-45D0-A0EF-AC9C3D05E77C}" name="Column4488"/>
    <tableColumn id="4494" xr3:uid="{FBE92743-40C0-4928-85D1-103648D718C2}" name="Column4489"/>
    <tableColumn id="4495" xr3:uid="{0089CF1F-06B4-452C-A3EF-48EF75B2BEBC}" name="Column4490"/>
    <tableColumn id="4496" xr3:uid="{97D01B1C-8BE8-489B-8A33-60166960BE3F}" name="Column4491"/>
    <tableColumn id="4497" xr3:uid="{E721706B-705D-4799-BCF0-05AD4668441B}" name="Column4492"/>
    <tableColumn id="4498" xr3:uid="{FB6019FD-7223-4947-88CD-1CE0E2EF72C9}" name="Column4493"/>
    <tableColumn id="4499" xr3:uid="{12A519B3-56A9-4F6F-B412-30F93000D11A}" name="Column4494"/>
    <tableColumn id="4500" xr3:uid="{087D3177-7919-4176-BB88-6264C689AFA6}" name="Column4495"/>
    <tableColumn id="4501" xr3:uid="{5BC59C72-D8D1-4BAD-9673-65556DBDD1D4}" name="Column4496"/>
    <tableColumn id="4502" xr3:uid="{7D5A3F66-69B5-4025-BB11-6086FB3076D5}" name="Column4497"/>
    <tableColumn id="4503" xr3:uid="{01272DAC-8DB7-4B33-92E9-B2E27957EEB6}" name="Column4498"/>
    <tableColumn id="4504" xr3:uid="{3E6DB47E-4910-4C18-96C5-9FB7A82906DD}" name="Column4499"/>
    <tableColumn id="4505" xr3:uid="{F0C1D9CC-8ACA-4C52-B02B-C869E8C54491}" name="Column4500"/>
    <tableColumn id="4506" xr3:uid="{E63F7FF1-D9D9-42A5-9DBE-F1212C08DB8B}" name="Column4501"/>
    <tableColumn id="4507" xr3:uid="{F3E1162A-64D3-42D9-97BF-A6AB39E0E12E}" name="Column4502"/>
    <tableColumn id="4508" xr3:uid="{217EC9E4-9FC8-4C45-9258-84F9AE7095E0}" name="Column4503"/>
    <tableColumn id="4509" xr3:uid="{A30A288C-F7DB-48F2-BFBA-1DC76838CEFB}" name="Column4504"/>
    <tableColumn id="4510" xr3:uid="{1A88D57A-7CC2-41F1-8053-B5B2DB3A1B17}" name="Column4505"/>
    <tableColumn id="4511" xr3:uid="{DFA57065-214C-448F-9B92-E71F8BE95FA5}" name="Column4506"/>
    <tableColumn id="4512" xr3:uid="{CA22CD76-F1FE-4FDC-AEAD-F8904FDCD5CB}" name="Column4507"/>
    <tableColumn id="4513" xr3:uid="{AE89D382-E057-4C1F-9310-315951986FD7}" name="Column4508"/>
    <tableColumn id="4514" xr3:uid="{42F96F57-2F0D-4B23-BB7D-7F33BA7601B8}" name="Column4509"/>
    <tableColumn id="4515" xr3:uid="{CE691531-F3E4-40E6-A12E-A17D6B6DED02}" name="Column4510"/>
    <tableColumn id="4516" xr3:uid="{950C9BB5-8FC5-4E16-9866-E0F368D82758}" name="Column4511"/>
    <tableColumn id="4517" xr3:uid="{A232983F-D07E-452D-B040-1B99C47FE79F}" name="Column4512"/>
    <tableColumn id="4518" xr3:uid="{D684E2D3-A296-47EF-9BCD-092D1C8DE16E}" name="Column4513"/>
    <tableColumn id="4519" xr3:uid="{B570AA38-DB34-4BEA-A430-DF5E46B87701}" name="Column4514"/>
    <tableColumn id="4520" xr3:uid="{D357792C-FC14-4134-8EA6-5199699AB5F5}" name="Column4515"/>
    <tableColumn id="4521" xr3:uid="{7FECF002-19BD-4905-8C65-EEE7A91973A5}" name="Column4516"/>
    <tableColumn id="4522" xr3:uid="{29F99130-4577-4AA3-BFAA-E56A5599ED59}" name="Column4517"/>
    <tableColumn id="4523" xr3:uid="{4569140E-B000-4E26-8CAA-92232F10F22B}" name="Column4518"/>
    <tableColumn id="4524" xr3:uid="{AC573C92-D0B2-4071-BABB-564459E96B01}" name="Column4519"/>
    <tableColumn id="4525" xr3:uid="{430D6011-30EC-401A-8F60-FC8AC2562EDD}" name="Column4520"/>
    <tableColumn id="4526" xr3:uid="{34ED6E19-7CA1-4D5E-AC21-4D43E56EBA4B}" name="Column4521"/>
    <tableColumn id="4527" xr3:uid="{B47C2732-7F52-4D68-A127-34D392A4DA79}" name="Column4522"/>
    <tableColumn id="4528" xr3:uid="{7261B430-5C71-42BC-8F18-1D3E9F20A00C}" name="Column4523"/>
    <tableColumn id="4529" xr3:uid="{919951AC-BEBA-425E-BD1C-F31824EB995C}" name="Column4524"/>
    <tableColumn id="4530" xr3:uid="{594643F4-5A6F-483F-B01A-E491E1311D02}" name="Column4525"/>
    <tableColumn id="4531" xr3:uid="{D7EE9203-A01B-4A9E-B392-5E19DB8AB29D}" name="Column4526"/>
    <tableColumn id="4532" xr3:uid="{35A55C65-F9A5-4C01-B1C0-AEB1D5816298}" name="Column4527"/>
    <tableColumn id="4533" xr3:uid="{8F938E6F-D5E7-4328-8001-20E99E62B11F}" name="Column4528"/>
    <tableColumn id="4534" xr3:uid="{5AFBD288-4A7E-4A94-BA70-2C6AFCE68FA8}" name="Column4529"/>
    <tableColumn id="4535" xr3:uid="{9A8DFE84-0BF6-4368-9DC9-9BE29A5DB2C2}" name="Column4530"/>
    <tableColumn id="4536" xr3:uid="{1FFD0447-CAB5-4013-A3A5-56E735BC530C}" name="Column4531"/>
    <tableColumn id="4537" xr3:uid="{EDA7978E-C4F1-4BD5-9AD2-75371AF7ABD8}" name="Column4532"/>
    <tableColumn id="4538" xr3:uid="{B66C3B38-3F88-4A27-8200-6C5BA1AF6E7F}" name="Column4533"/>
    <tableColumn id="4539" xr3:uid="{3BF14229-C43D-4D5F-9F1B-4DD662B5D6AF}" name="Column4534"/>
    <tableColumn id="4540" xr3:uid="{B3AF85C5-52F6-4C93-AD35-401972F1C61C}" name="Column4535"/>
    <tableColumn id="4541" xr3:uid="{0CEC2B53-DF20-4464-B64B-0BBDE0E23BFF}" name="Column4536"/>
    <tableColumn id="4542" xr3:uid="{7AD7B21D-6CB0-4718-BAA7-FE0F582C87A4}" name="Column4537"/>
    <tableColumn id="4543" xr3:uid="{53D99647-D273-4A60-9860-E25764D32358}" name="Column4538"/>
    <tableColumn id="4544" xr3:uid="{6E27A437-0504-4A19-964A-149F2F661E43}" name="Column4539"/>
    <tableColumn id="4545" xr3:uid="{2625096E-B4AC-4B6B-9667-ECB91D2ED3AC}" name="Column4540"/>
    <tableColumn id="4546" xr3:uid="{D4A6D734-41B2-4F10-BF58-10EDD6603F3E}" name="Column4541"/>
    <tableColumn id="4547" xr3:uid="{5F65B011-2A91-44E1-9D13-6B29B120E324}" name="Column4542"/>
    <tableColumn id="4548" xr3:uid="{A497AABE-9A4A-4443-B9AF-F9049B3C0B4F}" name="Column4543"/>
    <tableColumn id="4549" xr3:uid="{D0A9D473-C374-4CA5-80E9-2C08B4BF7F22}" name="Column4544"/>
    <tableColumn id="4550" xr3:uid="{F3AE3514-80B9-4EE7-808C-6C7536EE5B83}" name="Column4545"/>
    <tableColumn id="4551" xr3:uid="{0D9DF178-D834-4E65-8CA6-A4250B703EDF}" name="Column4546"/>
    <tableColumn id="4552" xr3:uid="{748AA35A-9ED2-4BCD-9F68-CAFD095CB141}" name="Column4547"/>
    <tableColumn id="4553" xr3:uid="{D64BCADC-63EE-4123-BA1C-B12A38FBF76A}" name="Column4548"/>
    <tableColumn id="4554" xr3:uid="{C8F6C5AC-CFB5-406E-88FD-E105229900EA}" name="Column4549"/>
    <tableColumn id="4555" xr3:uid="{0E038E81-FD44-44EC-8115-26B472EB680F}" name="Column4550"/>
    <tableColumn id="4556" xr3:uid="{A218E2A6-909D-45AA-9D7B-8207A5731C47}" name="Column4551"/>
    <tableColumn id="4557" xr3:uid="{77A8E6D6-FA86-437A-BAA8-34D35E1A4CDC}" name="Column4552"/>
    <tableColumn id="4558" xr3:uid="{1F81497A-FC0A-4C1F-8756-376753834889}" name="Column4553"/>
    <tableColumn id="4559" xr3:uid="{30F0DFF0-330B-4D6C-A8A9-DEFA2BE37674}" name="Column4554"/>
    <tableColumn id="4560" xr3:uid="{EB7AACDE-8DE8-4F94-8954-A0619667A0C1}" name="Column4555"/>
    <tableColumn id="4561" xr3:uid="{9CB53966-8771-44C4-BAF6-334476D71C2D}" name="Column4556"/>
    <tableColumn id="4562" xr3:uid="{B962EF81-5437-4BEB-B3A4-99871ED945C4}" name="Column4557"/>
    <tableColumn id="4563" xr3:uid="{C00FFB48-40BD-4D74-8A00-3258018C8A4F}" name="Column4558"/>
    <tableColumn id="4564" xr3:uid="{D8AF6038-6552-4EA1-982E-B1B421193B61}" name="Column4559"/>
    <tableColumn id="4565" xr3:uid="{F6F69F03-51F0-4975-BAF0-FBEA72A541DC}" name="Column4560"/>
    <tableColumn id="4566" xr3:uid="{101DF30C-0E21-45E4-A840-0A7E211FBCB6}" name="Column4561"/>
    <tableColumn id="4567" xr3:uid="{EFFD237F-E3E0-4329-8945-9B3090EBB7CB}" name="Column4562"/>
    <tableColumn id="4568" xr3:uid="{8086B4C4-41C4-4BF1-9BB6-6F36D98ECE48}" name="Column4563"/>
    <tableColumn id="4569" xr3:uid="{ABE0F327-4A39-41B1-9F3E-8A50FD1631E5}" name="Column4564"/>
    <tableColumn id="4570" xr3:uid="{E55D2A2E-28BA-4D91-98D7-456955A25823}" name="Column4565"/>
    <tableColumn id="4571" xr3:uid="{CD9969D9-CB08-49D3-A9AA-E92BAB8C62EE}" name="Column4566"/>
    <tableColumn id="4572" xr3:uid="{B396C340-77A2-4241-B33A-EEB3650A2F95}" name="Column4567"/>
    <tableColumn id="4573" xr3:uid="{A54BE58D-D12E-4D09-8270-860156075200}" name="Column4568"/>
    <tableColumn id="4574" xr3:uid="{1FACA4D5-59F8-4142-877C-E961F4A21A41}" name="Column4569"/>
    <tableColumn id="4575" xr3:uid="{9D55BDF9-0151-40F7-A467-ED561591268C}" name="Column4570"/>
    <tableColumn id="4576" xr3:uid="{C6850F4B-D2EC-45B0-B809-5EEBA5B1CDA1}" name="Column4571"/>
    <tableColumn id="4577" xr3:uid="{59DE14AC-30C6-46E5-A6CB-38B5F3AF969F}" name="Column4572"/>
    <tableColumn id="4578" xr3:uid="{CF7F6B76-3205-4BB8-A665-10DC2D539532}" name="Column4573"/>
    <tableColumn id="4579" xr3:uid="{F018476D-6242-41BC-B7AB-6C93C1E72847}" name="Column4574"/>
    <tableColumn id="4580" xr3:uid="{08DB3099-1B03-4AFB-9BC1-9A8C9FE5A7F8}" name="Column4575"/>
    <tableColumn id="4581" xr3:uid="{EE111845-9879-48BE-99F1-DBD8DC7B9F50}" name="Column4576"/>
    <tableColumn id="4582" xr3:uid="{3D249433-104A-4BA6-8FDB-9D145B0C2A74}" name="Column4577"/>
    <tableColumn id="4583" xr3:uid="{568C8796-36E7-4781-A1BA-806D51B3C32B}" name="Column4578"/>
    <tableColumn id="4584" xr3:uid="{5D40FB72-581C-4D19-994B-DE4856310F7C}" name="Column4579"/>
    <tableColumn id="4585" xr3:uid="{3C440F8A-5604-4FCD-B8D3-BF99DBD7E96D}" name="Column4580"/>
    <tableColumn id="4586" xr3:uid="{CA2CFF40-8774-45D9-87D0-D44E277FA83F}" name="Column4581"/>
    <tableColumn id="4587" xr3:uid="{6757828E-9FF8-469F-8761-11789DBBE7DB}" name="Column4582"/>
    <tableColumn id="4588" xr3:uid="{C6EC550F-E39B-429B-BB72-2DB14ACB292B}" name="Column4583"/>
    <tableColumn id="4589" xr3:uid="{122D4A85-03F4-4189-B6B2-729CBDAEFE06}" name="Column4584"/>
    <tableColumn id="4590" xr3:uid="{4B455234-CE5E-4B76-8CDF-74CAE77E6895}" name="Column4585"/>
    <tableColumn id="4591" xr3:uid="{A0B062B7-5D7F-44E4-9059-3F30E7B22D8D}" name="Column4586"/>
    <tableColumn id="4592" xr3:uid="{9ABDDED0-9124-428D-AD83-04C99ADBB311}" name="Column4587"/>
    <tableColumn id="4593" xr3:uid="{5DC8845A-1931-4D76-A4C2-AEB61799C4A0}" name="Column4588"/>
    <tableColumn id="4594" xr3:uid="{CF46D33A-21B8-42DB-B2B6-42D3E1A295BD}" name="Column4589"/>
    <tableColumn id="4595" xr3:uid="{50482372-B674-4A61-AD49-0476AECB3BBD}" name="Column4590"/>
    <tableColumn id="4596" xr3:uid="{E17AD27E-A203-44BD-84A0-E807500AD113}" name="Column4591"/>
    <tableColumn id="4597" xr3:uid="{E85D2333-8EFA-4525-BFA4-DE96275BBBD4}" name="Column4592"/>
    <tableColumn id="4598" xr3:uid="{B2484D1F-1E48-4C2E-A1C7-217506EFCE74}" name="Column4593"/>
    <tableColumn id="4599" xr3:uid="{C39294B3-58C4-4FB3-BF55-80A1B1FAB109}" name="Column4594"/>
    <tableColumn id="4600" xr3:uid="{92249AAE-745A-45B0-A4D9-951D90578D84}" name="Column4595"/>
    <tableColumn id="4601" xr3:uid="{47413172-5B46-4E94-B016-1A8FA0DBA22C}" name="Column4596"/>
    <tableColumn id="4602" xr3:uid="{A9D91E25-5FFD-48C5-A1C8-D7DCE6A568F8}" name="Column4597"/>
    <tableColumn id="4603" xr3:uid="{875ECA2E-1778-4318-AE0D-3DC33BEA42CF}" name="Column4598"/>
    <tableColumn id="4604" xr3:uid="{621654DE-E4C9-49A0-8817-EE56D3ECFFF3}" name="Column4599"/>
    <tableColumn id="4605" xr3:uid="{57402F26-576E-40C8-8994-DF23E49D7EA6}" name="Column4600"/>
    <tableColumn id="4606" xr3:uid="{21A34719-6A38-46B2-AA4D-C31C098C8485}" name="Column4601"/>
    <tableColumn id="4607" xr3:uid="{9460AB1E-CCE2-430B-9A68-85C3554EF399}" name="Column4602"/>
    <tableColumn id="4608" xr3:uid="{412415C6-FF86-48C5-8E6B-6A0CBE1379A5}" name="Column4603"/>
    <tableColumn id="4609" xr3:uid="{D92818E3-5553-4C8D-B422-B6B046C6BA6A}" name="Column4604"/>
    <tableColumn id="4610" xr3:uid="{39A60BAF-EB16-4F2C-A689-22C5F17E54BF}" name="Column4605"/>
    <tableColumn id="4611" xr3:uid="{E8952AA0-605B-4924-96D8-4508FF5C6B7D}" name="Column4606"/>
    <tableColumn id="4612" xr3:uid="{A1B9DD30-6A81-4EC9-B4A5-207AD36C439A}" name="Column4607"/>
    <tableColumn id="4613" xr3:uid="{248D28E9-047B-45E7-A159-61241CCBF102}" name="Column4608"/>
    <tableColumn id="4614" xr3:uid="{49473999-AAA5-4B31-B07B-0006193652C5}" name="Column4609"/>
    <tableColumn id="4615" xr3:uid="{FE221BE1-197D-4498-B868-AB1397D8C653}" name="Column4610"/>
    <tableColumn id="4616" xr3:uid="{25054F47-7253-4F1A-9526-B57EBFDEF117}" name="Column4611"/>
    <tableColumn id="4617" xr3:uid="{DD11DEA9-2C90-46BD-9FB6-3DAC42DCFE8A}" name="Column4612"/>
    <tableColumn id="4618" xr3:uid="{D851C075-4FA6-479C-BCC3-D8BFC8EF3D54}" name="Column4613"/>
    <tableColumn id="4619" xr3:uid="{74E52F9A-C4CD-46BC-9BEA-D7B60866BA7C}" name="Column4614"/>
    <tableColumn id="4620" xr3:uid="{E57793FD-FB2F-4914-91DD-7A5662E74B1D}" name="Column4615"/>
    <tableColumn id="4621" xr3:uid="{55575305-80A4-4D00-A5C7-76B73D27232E}" name="Column4616"/>
    <tableColumn id="4622" xr3:uid="{DE239E03-8615-4B80-A9EB-B13BD881BB62}" name="Column4617"/>
    <tableColumn id="4623" xr3:uid="{087CF5E1-97E7-42AF-88D0-326DF4D1250F}" name="Column4618"/>
    <tableColumn id="4624" xr3:uid="{B1BA2916-CB86-4E67-A036-FA30A1D29262}" name="Column4619"/>
    <tableColumn id="4625" xr3:uid="{3801E67E-6F8D-4040-A294-46EC811CDF74}" name="Column4620"/>
    <tableColumn id="4626" xr3:uid="{66CA3FC6-5176-47AA-A7E6-C37B02DC8F48}" name="Column4621"/>
    <tableColumn id="4627" xr3:uid="{DE50000E-2A82-40C7-A72F-BD9842322C66}" name="Column4622"/>
    <tableColumn id="4628" xr3:uid="{965693E0-B549-4C1A-B434-D9542147D84F}" name="Column4623"/>
    <tableColumn id="4629" xr3:uid="{9A3A70F1-7700-406A-AA46-64A904DDFD0D}" name="Column4624"/>
    <tableColumn id="4630" xr3:uid="{5E0416E1-1EFC-43B4-BB32-97BC23E64140}" name="Column4625"/>
    <tableColumn id="4631" xr3:uid="{930B5016-5B8A-4820-B334-CF0626556E21}" name="Column4626"/>
    <tableColumn id="4632" xr3:uid="{BA232BFE-C082-40CE-94FA-51E7ABDAE90D}" name="Column4627"/>
    <tableColumn id="4633" xr3:uid="{3C81DDD2-2E64-482D-9FC2-974DAC71017E}" name="Column4628"/>
    <tableColumn id="4634" xr3:uid="{E8F40629-CA72-46B0-B898-5BF8993EE9E2}" name="Column4629"/>
    <tableColumn id="4635" xr3:uid="{D77D57D1-E063-4186-BACD-27E6B80D5E2C}" name="Column4630"/>
    <tableColumn id="4636" xr3:uid="{A91AA879-005A-4112-A129-FBAD03C33CEE}" name="Column4631"/>
    <tableColumn id="4637" xr3:uid="{4F9194EC-E666-4EA4-9774-C7C72EDABF8B}" name="Column4632"/>
    <tableColumn id="4638" xr3:uid="{AC70A3E2-6EAD-4465-999E-CCFEBE7C1282}" name="Column4633"/>
    <tableColumn id="4639" xr3:uid="{52822397-B6A1-498D-95A3-9F77251C1D7A}" name="Column4634"/>
    <tableColumn id="4640" xr3:uid="{CEDC0BB4-B41C-4353-8EE7-8585ADC03ED7}" name="Column4635"/>
    <tableColumn id="4641" xr3:uid="{22F6D6EA-1739-461A-8170-8C55E43B0BE0}" name="Column4636"/>
    <tableColumn id="4642" xr3:uid="{C75FB5F4-A658-419E-AF57-A499321F1CEE}" name="Column4637"/>
    <tableColumn id="4643" xr3:uid="{34B198BB-8670-4805-978F-737DF2A727F8}" name="Column4638"/>
    <tableColumn id="4644" xr3:uid="{1BBA7557-34BA-48AF-9448-8C1B1B183501}" name="Column4639"/>
    <tableColumn id="4645" xr3:uid="{3DA5A2D6-A4D7-491F-8DC6-ABFDE153EABA}" name="Column4640"/>
    <tableColumn id="4646" xr3:uid="{CD82623D-47F6-49FD-8F50-F29579FD7768}" name="Column4641"/>
    <tableColumn id="4647" xr3:uid="{70DD3368-25FF-4B61-B6F4-50B3CEBE36E0}" name="Column4642"/>
    <tableColumn id="4648" xr3:uid="{0BC25544-C804-4BA7-BCB3-6668894500ED}" name="Column4643"/>
    <tableColumn id="4649" xr3:uid="{E82CAB6F-596C-4AFC-894D-D0CC404857F0}" name="Column4644"/>
    <tableColumn id="4650" xr3:uid="{C3B87A3A-F850-450D-976A-C16DBCC2A54C}" name="Column4645"/>
    <tableColumn id="4651" xr3:uid="{B6421B61-8B74-4E3C-8D08-C0EABBEA4C58}" name="Column4646"/>
    <tableColumn id="4652" xr3:uid="{E56AB40F-CC85-412F-A549-05F131645A05}" name="Column4647"/>
    <tableColumn id="4653" xr3:uid="{2744805E-6F5C-4E0E-8DA8-9947227F286B}" name="Column4648"/>
    <tableColumn id="4654" xr3:uid="{2868847F-8D66-49E2-8D0F-6E3AE34C2F5B}" name="Column4649"/>
    <tableColumn id="4655" xr3:uid="{5BA88A10-04AD-425F-AFC9-D924250CA156}" name="Column4650"/>
    <tableColumn id="4656" xr3:uid="{DB3A61F0-231E-40F1-AB2E-E32E7967EDAE}" name="Column4651"/>
    <tableColumn id="4657" xr3:uid="{805309C0-27AA-4F92-954B-2DFB7C4F5B15}" name="Column4652"/>
    <tableColumn id="4658" xr3:uid="{8D3B619D-E6DF-4DFB-93F3-AD144799959F}" name="Column4653"/>
    <tableColumn id="4659" xr3:uid="{3B4DF990-4CEA-4D59-9CFB-EAF63FDCAC1B}" name="Column4654"/>
    <tableColumn id="4660" xr3:uid="{A7FE00CA-B162-4C93-B177-338488647A21}" name="Column4655"/>
    <tableColumn id="4661" xr3:uid="{3CDB2E9A-8B7A-45C4-A92C-3C1CF0D51FED}" name="Column4656"/>
    <tableColumn id="4662" xr3:uid="{83AD1DD9-6917-4E35-B396-06BD97481809}" name="Column4657"/>
    <tableColumn id="4663" xr3:uid="{191C62DA-BC10-4A38-8718-0E9B3E9FE8A5}" name="Column4658"/>
    <tableColumn id="4664" xr3:uid="{F35CD7A4-D519-4FC0-930E-2D4B6E7107A1}" name="Column4659"/>
    <tableColumn id="4665" xr3:uid="{01759608-9FAA-40EB-A703-E776AD52E786}" name="Column4660"/>
    <tableColumn id="4666" xr3:uid="{957547E9-B102-4917-BE16-61F17E1D809A}" name="Column4661"/>
    <tableColumn id="4667" xr3:uid="{81884340-0D0E-46D3-B2F9-B67B897C02B1}" name="Column4662"/>
    <tableColumn id="4668" xr3:uid="{AF93AC69-1939-4CB2-B692-CA64B2CC48E7}" name="Column4663"/>
    <tableColumn id="4669" xr3:uid="{8D67A5D5-FE7A-4007-AE67-1AD3F59DC966}" name="Column4664"/>
    <tableColumn id="4670" xr3:uid="{7150A80D-98DF-4854-958D-F25C730B72EB}" name="Column4665"/>
    <tableColumn id="4671" xr3:uid="{63ED64A6-FB4A-425F-8E55-0F61DBF588DB}" name="Column4666"/>
    <tableColumn id="4672" xr3:uid="{0386B214-AC77-422B-BD26-57EC73695979}" name="Column4667"/>
    <tableColumn id="4673" xr3:uid="{1C058A59-9F75-40AD-926F-3EB3DA01D276}" name="Column4668"/>
    <tableColumn id="4674" xr3:uid="{85700BF9-E5D5-4904-B037-B0506B416C4A}" name="Column4669"/>
    <tableColumn id="4675" xr3:uid="{DE3EDFD6-18E5-41E8-B732-4E521247DCE9}" name="Column4670"/>
    <tableColumn id="4676" xr3:uid="{256D8A09-22CB-44D8-8570-C6892FFB9E61}" name="Column4671"/>
    <tableColumn id="4677" xr3:uid="{D00D744E-946E-4344-B8B8-D4EBF2B3B912}" name="Column4672"/>
    <tableColumn id="4678" xr3:uid="{EDB8F1CE-F572-4A73-B1F3-602A46C550E6}" name="Column4673"/>
    <tableColumn id="4679" xr3:uid="{8FD59199-F7A6-45F1-B9BE-746DC83C3A37}" name="Column4674"/>
    <tableColumn id="4680" xr3:uid="{882589A0-7DB3-41C9-A2D1-94275D84FC36}" name="Column4675"/>
    <tableColumn id="4681" xr3:uid="{0237F4B8-D7EA-49A8-AE32-DE64B5EE235C}" name="Column4676"/>
    <tableColumn id="4682" xr3:uid="{DB003573-E415-4317-B0C5-80BD5B97B2B9}" name="Column4677"/>
    <tableColumn id="4683" xr3:uid="{1D147A36-4F2F-40FB-A2A4-A10412852B5F}" name="Column4678"/>
    <tableColumn id="4684" xr3:uid="{E256CA9C-0789-47A1-BC47-D7F6AFAA4D5C}" name="Column4679"/>
    <tableColumn id="4685" xr3:uid="{BB1F7F4A-CD7F-4419-90DB-BE4675F05800}" name="Column4680"/>
    <tableColumn id="4686" xr3:uid="{6A97A0C3-7A1F-4F22-A4C4-B06BB41E0729}" name="Column4681"/>
    <tableColumn id="4687" xr3:uid="{668B562A-CB6D-4265-BFA7-F515A12CF909}" name="Column4682"/>
    <tableColumn id="4688" xr3:uid="{0333A8AD-1757-48E8-8C86-79E414C47D6B}" name="Column4683"/>
    <tableColumn id="4689" xr3:uid="{F3A5F5EE-CCDD-4D05-A9C3-997B6FDF7964}" name="Column4684"/>
    <tableColumn id="4690" xr3:uid="{1F47DC06-D183-4C8B-9032-615D05A3FA5B}" name="Column4685"/>
    <tableColumn id="4691" xr3:uid="{41130C04-0C94-40D5-90A8-B65364095FAF}" name="Column4686"/>
    <tableColumn id="4692" xr3:uid="{DDCAD120-6B10-4509-9B8C-EE4200F57749}" name="Column4687"/>
    <tableColumn id="4693" xr3:uid="{E32A60B2-C04E-4D90-B2EF-90C8DF42009D}" name="Column4688"/>
    <tableColumn id="4694" xr3:uid="{31C718B0-614E-4776-8FB1-219B682872A7}" name="Column4689"/>
    <tableColumn id="4695" xr3:uid="{CAA3E80E-485D-4614-9F49-D1FD5866BF8B}" name="Column4690"/>
    <tableColumn id="4696" xr3:uid="{5316665E-C40F-49B7-992A-19DB51F1EF02}" name="Column4691"/>
    <tableColumn id="4697" xr3:uid="{D5E36CF6-D760-4A5A-9137-15A7D4B7DDE5}" name="Column4692"/>
    <tableColumn id="4698" xr3:uid="{AD02F079-4D9B-4CCF-8180-8165E4EC10D1}" name="Column4693"/>
    <tableColumn id="4699" xr3:uid="{D4525232-CAB3-47A8-A354-9C72B347B501}" name="Column4694"/>
    <tableColumn id="4700" xr3:uid="{E9996391-1267-4496-B739-D842E8DA10A6}" name="Column4695"/>
    <tableColumn id="4701" xr3:uid="{D0672251-AD69-4BCB-AB7E-4780DC60E549}" name="Column4696"/>
    <tableColumn id="4702" xr3:uid="{69B21DD0-AD86-451C-8194-293FDA989C89}" name="Column4697"/>
    <tableColumn id="4703" xr3:uid="{87FD634E-5FEA-4507-A6BF-699BB277DCC1}" name="Column4698"/>
    <tableColumn id="4704" xr3:uid="{BBC47AC6-40CC-43DE-8987-CC72D851B47A}" name="Column4699"/>
    <tableColumn id="4705" xr3:uid="{4D515247-A541-4765-B73E-3046D9E6664B}" name="Column4700"/>
    <tableColumn id="4706" xr3:uid="{DFC68D86-8C68-46AC-879C-355FE0BAFEE4}" name="Column4701"/>
    <tableColumn id="4707" xr3:uid="{D7D36A30-AD7C-4EA7-B236-B46D86FA8D10}" name="Column4702"/>
    <tableColumn id="4708" xr3:uid="{07CFD5C1-1780-4305-A06F-0553FD6C6075}" name="Column4703"/>
    <tableColumn id="4709" xr3:uid="{A6220EDF-4771-42BB-8650-E0DA0F5951E1}" name="Column4704"/>
    <tableColumn id="4710" xr3:uid="{EDC25530-CA56-4449-BE36-FF5A63097CEB}" name="Column4705"/>
    <tableColumn id="4711" xr3:uid="{CA5F81C4-511D-4C73-99E7-07BCC9B80D98}" name="Column4706"/>
    <tableColumn id="4712" xr3:uid="{9C465918-5B07-4BE8-BF60-E57BE5F89FC6}" name="Column4707"/>
    <tableColumn id="4713" xr3:uid="{0A788C99-567E-4E37-82A9-45031C6F9F09}" name="Column4708"/>
    <tableColumn id="4714" xr3:uid="{A9AE1333-ED85-423F-8142-886BEEB84FA9}" name="Column4709"/>
    <tableColumn id="4715" xr3:uid="{1BE566F2-6FC8-478F-B9B9-C037996152C2}" name="Column4710"/>
    <tableColumn id="4716" xr3:uid="{E9D971BF-3652-4152-BBF9-195B40E06C67}" name="Column4711"/>
    <tableColumn id="4717" xr3:uid="{ECA959E9-CD42-440B-901B-0A7A2164A56C}" name="Column4712"/>
    <tableColumn id="4718" xr3:uid="{DE228C50-01CC-4A7D-98C8-4C5F5577DE5C}" name="Column4713"/>
    <tableColumn id="4719" xr3:uid="{E4E550C7-3003-430F-AABB-5D782E40E707}" name="Column4714"/>
    <tableColumn id="4720" xr3:uid="{BFE6B4FC-AAC7-45D4-9D96-4775EB006749}" name="Column4715"/>
    <tableColumn id="4721" xr3:uid="{50EC5E3C-CB7A-48D2-BA0B-755CA4B18997}" name="Column4716"/>
    <tableColumn id="4722" xr3:uid="{0B69B38B-2274-4C50-A9A7-E39871FDBFAE}" name="Column4717"/>
    <tableColumn id="4723" xr3:uid="{B8F72073-1574-4994-BB03-49D1E83DAB6B}" name="Column4718"/>
    <tableColumn id="4724" xr3:uid="{5FDDD609-8C00-4104-BAFA-4F90E8433F36}" name="Column4719"/>
    <tableColumn id="4725" xr3:uid="{14A5A2C1-2F31-4984-8A2B-62F034B342FF}" name="Column4720"/>
    <tableColumn id="4726" xr3:uid="{DC20ED3A-4DC7-4BA1-A39C-9234BC161461}" name="Column4721"/>
    <tableColumn id="4727" xr3:uid="{CC5A76A8-D1E0-4D51-8506-9665D2E7EF0E}" name="Column4722"/>
    <tableColumn id="4728" xr3:uid="{7E8EB838-8EBF-44BE-AA76-875A5092D2AC}" name="Column4723"/>
    <tableColumn id="4729" xr3:uid="{CB025339-09BA-41F8-83DF-30A3F04745B0}" name="Column4724"/>
    <tableColumn id="4730" xr3:uid="{7F7D1A63-3B00-4DD7-85B3-1DC0C4B464A1}" name="Column4725"/>
    <tableColumn id="4731" xr3:uid="{04A381C5-22C3-4CED-AE84-F1A3B633A377}" name="Column4726"/>
    <tableColumn id="4732" xr3:uid="{61CA9756-4AFE-43A0-936E-1607EBEC0EC1}" name="Column4727"/>
    <tableColumn id="4733" xr3:uid="{3AD4EF55-C282-47C2-BAF9-2176CCD28CE5}" name="Column4728"/>
    <tableColumn id="4734" xr3:uid="{9F951FD5-2BD4-4E9C-AE9C-D5885CFB84BF}" name="Column4729"/>
    <tableColumn id="4735" xr3:uid="{24E3B68C-5E36-4DCE-8A9F-CBC21B1ED2EE}" name="Column4730"/>
    <tableColumn id="4736" xr3:uid="{566C1CEB-38A5-4568-9B90-2519D4E3E97A}" name="Column4731"/>
    <tableColumn id="4737" xr3:uid="{36BF932E-2C38-4C39-A4BB-FBC8A6C261F3}" name="Column4732"/>
    <tableColumn id="4738" xr3:uid="{97C620FF-B324-4141-AE2B-53E9253A63F2}" name="Column4733"/>
    <tableColumn id="4739" xr3:uid="{A875D493-19A1-4721-977B-5E8549BA30D9}" name="Column4734"/>
    <tableColumn id="4740" xr3:uid="{2C5BEE4C-939B-415F-B752-B91F07B844B7}" name="Column4735"/>
    <tableColumn id="4741" xr3:uid="{E7280EEB-49E9-4C0C-B2B7-A8ED7CA9ADD8}" name="Column4736"/>
    <tableColumn id="4742" xr3:uid="{F9CF1ED5-A32E-402B-B529-BE6A44E92455}" name="Column4737"/>
    <tableColumn id="4743" xr3:uid="{D5A1A90E-B154-4054-A934-925AD793366C}" name="Column4738"/>
    <tableColumn id="4744" xr3:uid="{4D0BA9FA-3960-4EB6-B509-5E7CB4F10A33}" name="Column4739"/>
    <tableColumn id="4745" xr3:uid="{BB98D508-A09F-46BB-8DB6-B02B3921A3E2}" name="Column4740"/>
    <tableColumn id="4746" xr3:uid="{D7199AD5-B824-416C-A793-E52F1128540A}" name="Column4741"/>
    <tableColumn id="4747" xr3:uid="{31B09ECB-0014-46F5-B510-F51043ADC8F2}" name="Column4742"/>
    <tableColumn id="4748" xr3:uid="{92592464-1AD1-4994-BAC8-0D4A5458FECC}" name="Column4743"/>
    <tableColumn id="4749" xr3:uid="{E39656AD-E227-445A-B18A-724B811F7CD8}" name="Column4744"/>
    <tableColumn id="4750" xr3:uid="{A0BA8EA3-D9CD-40F8-9B5F-5910A6F64099}" name="Column4745"/>
    <tableColumn id="4751" xr3:uid="{C76D84A9-A24F-43F8-87BA-F78395C08D1B}" name="Column4746"/>
    <tableColumn id="4752" xr3:uid="{ED20813D-9499-49F2-A40F-6404045C13DC}" name="Column4747"/>
    <tableColumn id="4753" xr3:uid="{FA3430A6-F3FB-423F-96A5-4A6CCFE3F3D9}" name="Column4748"/>
    <tableColumn id="4754" xr3:uid="{704E715F-D7C9-42D4-808A-F3576DB1F91E}" name="Column4749"/>
    <tableColumn id="4755" xr3:uid="{D230FE7E-716F-4EC8-BBA9-31DF9F354C1A}" name="Column4750"/>
    <tableColumn id="4756" xr3:uid="{57A78C07-F7F4-460B-AD76-A8C1261455F2}" name="Column4751"/>
    <tableColumn id="4757" xr3:uid="{75D89D2E-93C9-4245-AC2B-4513621CBD30}" name="Column4752"/>
    <tableColumn id="4758" xr3:uid="{6849D19C-8A3B-48F7-9929-681C2E65E2E4}" name="Column4753"/>
    <tableColumn id="4759" xr3:uid="{C469912A-C0F2-4441-A142-C23AB906AF3B}" name="Column4754"/>
    <tableColumn id="4760" xr3:uid="{43FD90E7-066E-4145-9CBB-C3C514E5AD62}" name="Column4755"/>
    <tableColumn id="4761" xr3:uid="{D4A16A1B-69E3-401A-BD43-CC01A2987BC4}" name="Column4756"/>
    <tableColumn id="4762" xr3:uid="{7EDE7B32-3B3D-40EF-8A8C-58777F1EB339}" name="Column4757"/>
    <tableColumn id="4763" xr3:uid="{F298F40C-BC79-43FC-958B-5A36C1AE12AC}" name="Column4758"/>
    <tableColumn id="4764" xr3:uid="{13D488D2-A2F6-458D-B9B2-E95657B927D2}" name="Column4759"/>
    <tableColumn id="4765" xr3:uid="{13607C35-769F-4DF1-B73B-B5B4B78280AF}" name="Column4760"/>
    <tableColumn id="4766" xr3:uid="{6D36EE23-169B-4EB4-B617-791AC5C7BD0D}" name="Column4761"/>
    <tableColumn id="4767" xr3:uid="{F695B379-C210-4E54-9E6D-3604673E8E48}" name="Column4762"/>
    <tableColumn id="4768" xr3:uid="{329219E5-CDF4-4DEC-9692-6021B9F5A679}" name="Column4763"/>
    <tableColumn id="4769" xr3:uid="{1B619E88-F25D-4BF4-8786-D90B2AD70C54}" name="Column4764"/>
    <tableColumn id="4770" xr3:uid="{7EC98AE8-3CE3-426C-BF69-AB893D3A65DE}" name="Column4765"/>
    <tableColumn id="4771" xr3:uid="{796DD52E-F421-45BB-B595-08A5B03C1202}" name="Column4766"/>
    <tableColumn id="4772" xr3:uid="{810B9E1A-6494-473F-A7CE-AD8E80B85974}" name="Column4767"/>
    <tableColumn id="4773" xr3:uid="{311D3A0F-098A-4CD2-BB6A-A8A5B3F158EA}" name="Column4768"/>
    <tableColumn id="4774" xr3:uid="{CEE5FB00-2296-40E5-94A2-E5F443B36E11}" name="Column4769"/>
    <tableColumn id="4775" xr3:uid="{EF7285EC-DD9D-42E0-B7F8-2D9B677F8E45}" name="Column4770"/>
    <tableColumn id="4776" xr3:uid="{507246DC-B3AD-4163-A8EF-2C1727F487A6}" name="Column4771"/>
    <tableColumn id="4777" xr3:uid="{57B847BB-EBE8-45AA-877B-CAF9F0428225}" name="Column4772"/>
    <tableColumn id="4778" xr3:uid="{EF040D41-9BC9-4812-A440-382846755489}" name="Column4773"/>
    <tableColumn id="4779" xr3:uid="{88F20036-F791-41F9-8D31-9B76861E1822}" name="Column4774"/>
    <tableColumn id="4780" xr3:uid="{D50651E4-3E98-49B4-A297-CBC245DB0308}" name="Column4775"/>
    <tableColumn id="4781" xr3:uid="{D32B5664-7691-4303-941B-C588C3A1DDC2}" name="Column4776"/>
    <tableColumn id="4782" xr3:uid="{FCD7B8FF-5B98-4FF1-8997-D9E88B484F8B}" name="Column4777"/>
    <tableColumn id="4783" xr3:uid="{782FFB3D-0BE1-4ABC-B5B2-6241698768AC}" name="Column4778"/>
    <tableColumn id="4784" xr3:uid="{9463F2F8-8F7A-45CC-8655-8A6800B84047}" name="Column4779"/>
    <tableColumn id="4785" xr3:uid="{E9515378-55B2-4B96-B3D9-BD64F7E23D24}" name="Column4780"/>
    <tableColumn id="4786" xr3:uid="{B02968EC-FC9D-438D-AA53-D6138A66CEB7}" name="Column4781"/>
    <tableColumn id="4787" xr3:uid="{7FD7F03C-CF9D-48FA-85E2-578E41EF198D}" name="Column4782"/>
    <tableColumn id="4788" xr3:uid="{7C157375-F866-4641-B01A-41F1114BC849}" name="Column4783"/>
    <tableColumn id="4789" xr3:uid="{DDFCF1F1-C8FB-44A0-84C6-3C2078423488}" name="Column4784"/>
    <tableColumn id="4790" xr3:uid="{9EE149CF-5992-458E-979A-8B40C9B35693}" name="Column4785"/>
    <tableColumn id="4791" xr3:uid="{187804EA-00FB-4D93-AA9F-322C37F76A00}" name="Column4786"/>
    <tableColumn id="4792" xr3:uid="{FA185B49-270E-4503-8CD3-84CBDB87EC0C}" name="Column4787"/>
    <tableColumn id="4793" xr3:uid="{77DEEF3B-9980-4525-80FD-AF7D1338ABE7}" name="Column4788"/>
    <tableColumn id="4794" xr3:uid="{12240341-ECF8-4212-9B5E-ABABAB97E7F0}" name="Column4789"/>
    <tableColumn id="4795" xr3:uid="{4D435B40-8987-40E1-8EB1-434A63F84175}" name="Column4790"/>
    <tableColumn id="4796" xr3:uid="{AE50E71D-AC8A-42C0-BA3F-FF7695E71D5C}" name="Column4791"/>
    <tableColumn id="4797" xr3:uid="{377CDBD1-3CCA-4702-BF87-D0548BC21CD1}" name="Column4792"/>
    <tableColumn id="4798" xr3:uid="{AD9F90F3-0E4F-4C4B-B0E4-B79BA18CDC36}" name="Column4793"/>
    <tableColumn id="4799" xr3:uid="{568F1881-BD21-415C-9ED2-727252030712}" name="Column4794"/>
    <tableColumn id="4800" xr3:uid="{6384C92D-FE1E-4C34-A12E-3F2447E0592E}" name="Column4795"/>
    <tableColumn id="4801" xr3:uid="{B71CE40A-2802-420D-ACDC-0EAA32AAEC73}" name="Column4796"/>
    <tableColumn id="4802" xr3:uid="{75F1289E-4D0F-467F-AA12-3206C91D8EEA}" name="Column4797"/>
    <tableColumn id="4803" xr3:uid="{1385CA79-95AF-432A-BFE0-6117705C41AD}" name="Column4798"/>
    <tableColumn id="4804" xr3:uid="{4390AB1A-9404-4B39-A5EE-E57BD5B04445}" name="Column4799"/>
    <tableColumn id="4805" xr3:uid="{7538D9E4-2B65-4889-8AF9-1E0A4799BD03}" name="Column4800"/>
    <tableColumn id="4806" xr3:uid="{DF6A699A-7406-4CF8-A748-5296E674029B}" name="Column4801"/>
    <tableColumn id="4807" xr3:uid="{F55E3B1F-6726-4441-83A2-D1D189F6A60D}" name="Column4802"/>
    <tableColumn id="4808" xr3:uid="{D2B54E8E-2935-4A22-A3E9-C1A0E5C40E35}" name="Column4803"/>
    <tableColumn id="4809" xr3:uid="{A715EAB8-A51E-499C-ADB9-8861ACE60F57}" name="Column4804"/>
    <tableColumn id="4810" xr3:uid="{4A32C260-1948-4077-AF94-A9A21FD5ABAF}" name="Column4805"/>
    <tableColumn id="4811" xr3:uid="{CE65AE17-FE06-4752-ADF0-51477033641A}" name="Column4806"/>
    <tableColumn id="4812" xr3:uid="{72B6D9B3-1675-42D4-A4B0-65B0B633C9F5}" name="Column4807"/>
    <tableColumn id="4813" xr3:uid="{620855A2-8136-437D-A3FF-31E9E0D43671}" name="Column4808"/>
    <tableColumn id="4814" xr3:uid="{BB5240CE-DB28-4730-A9C1-FBF30B3E7996}" name="Column4809"/>
    <tableColumn id="4815" xr3:uid="{C3DBF017-E633-43AA-9EB9-72C94216FE06}" name="Column4810"/>
    <tableColumn id="4816" xr3:uid="{6A70E050-3AFE-442F-B4F9-29FAC611E0D7}" name="Column4811"/>
    <tableColumn id="4817" xr3:uid="{AF1D59EB-2DEE-47F5-87B7-04AE0727D71D}" name="Column4812"/>
    <tableColumn id="4818" xr3:uid="{90F535D1-2FEC-4662-ACE0-88873CE6E4E4}" name="Column4813"/>
    <tableColumn id="4819" xr3:uid="{9F5552E5-EF9B-4D1E-9334-977D65B9176F}" name="Column4814"/>
    <tableColumn id="4820" xr3:uid="{5841DC2C-38D4-4F87-89FA-C0386F898451}" name="Column4815"/>
    <tableColumn id="4821" xr3:uid="{D436D326-A95D-4FA0-8BA5-E386BC8B409C}" name="Column4816"/>
    <tableColumn id="4822" xr3:uid="{5097A47B-B7DC-4C40-985F-4CF73550E5CD}" name="Column4817"/>
    <tableColumn id="4823" xr3:uid="{3A4289E4-55E1-435B-818A-5D95110C3B37}" name="Column4818"/>
    <tableColumn id="4824" xr3:uid="{515FF2A0-CE85-4482-8004-FD527A18EA75}" name="Column4819"/>
    <tableColumn id="4825" xr3:uid="{D1DBAFCA-3830-44C5-9DBF-0B3DC466A65E}" name="Column4820"/>
    <tableColumn id="4826" xr3:uid="{3E8444A1-E6BF-4DB0-BF7D-275F0A3B91E7}" name="Column4821"/>
    <tableColumn id="4827" xr3:uid="{E59002DB-43F0-409E-9F13-DF610567D20B}" name="Column4822"/>
    <tableColumn id="4828" xr3:uid="{42234892-1E1E-49A2-9604-5A3FE326AFAB}" name="Column4823"/>
    <tableColumn id="4829" xr3:uid="{4E335787-AA09-445F-A958-089077087184}" name="Column4824"/>
    <tableColumn id="4830" xr3:uid="{9FE5A7EA-8E73-4F0A-8BFA-A197B72C057D}" name="Column4825"/>
    <tableColumn id="4831" xr3:uid="{90198889-3E95-4EFD-A070-972C5975067B}" name="Column4826"/>
    <tableColumn id="4832" xr3:uid="{3F0C149E-388E-454C-A196-CF3A080D8459}" name="Column4827"/>
    <tableColumn id="4833" xr3:uid="{70702644-23B8-41CD-B0E8-6EA9C4B003DB}" name="Column4828"/>
    <tableColumn id="4834" xr3:uid="{C765F324-97F0-443A-9B39-93DCD94B4527}" name="Column4829"/>
    <tableColumn id="4835" xr3:uid="{9EAFF99B-F93D-44D4-8DB7-49BD477A6568}" name="Column4830"/>
    <tableColumn id="4836" xr3:uid="{641C5D08-C511-41BF-A2E1-3090B29D6461}" name="Column4831"/>
    <tableColumn id="4837" xr3:uid="{886A467C-43DB-4E93-BA99-9F8F1D327D34}" name="Column4832"/>
    <tableColumn id="4838" xr3:uid="{FC8647A2-3303-413E-964C-D45058B5DD09}" name="Column4833"/>
    <tableColumn id="4839" xr3:uid="{25FC7AD8-E013-4C90-9167-DF3B29611EC4}" name="Column4834"/>
    <tableColumn id="4840" xr3:uid="{F6D83BEF-FDA7-4B6E-93FF-9AB56E8C1601}" name="Column4835"/>
    <tableColumn id="4841" xr3:uid="{54941A90-DECC-4E0A-97A8-DFEF9360220B}" name="Column4836"/>
    <tableColumn id="4842" xr3:uid="{4320DDDA-E5A9-4472-8606-256BC32A0B69}" name="Column4837"/>
    <tableColumn id="4843" xr3:uid="{A3C8A2E7-E23A-4251-88DF-D4D5AD4E4C20}" name="Column4838"/>
    <tableColumn id="4844" xr3:uid="{3F86C260-C977-4DCD-B844-99D581ED73CD}" name="Column4839"/>
    <tableColumn id="4845" xr3:uid="{C4DD3B35-AB4D-4534-A32C-EBE9D587C6F3}" name="Column4840"/>
    <tableColumn id="4846" xr3:uid="{664BE546-EF1D-475C-800B-BCA1362916F3}" name="Column4841"/>
    <tableColumn id="4847" xr3:uid="{E76FE555-C6E9-4D4C-9E18-3EB2325F7DFB}" name="Column4842"/>
    <tableColumn id="4848" xr3:uid="{2D5064B4-DB02-465B-B3CE-0FA5D9B9513D}" name="Column4843"/>
    <tableColumn id="4849" xr3:uid="{7C11771C-108A-42E3-8ED7-0EED7417FDCE}" name="Column4844"/>
    <tableColumn id="4850" xr3:uid="{3D50E3BF-9042-45C6-B135-225D0CA50054}" name="Column4845"/>
    <tableColumn id="4851" xr3:uid="{FD25FC86-EC66-4E7E-A026-C401E0A92A1F}" name="Column4846"/>
    <tableColumn id="4852" xr3:uid="{DAB00A4F-C8BF-47C8-A6DB-A57447CC185C}" name="Column4847"/>
    <tableColumn id="4853" xr3:uid="{8803C001-A19A-49A1-AB00-A493583E3672}" name="Column4848"/>
    <tableColumn id="4854" xr3:uid="{EA416EA4-3409-49D1-B00D-7F944BC96CB1}" name="Column4849"/>
    <tableColumn id="4855" xr3:uid="{12CBB9B5-A1DC-409A-A48C-D738A5900364}" name="Column4850"/>
    <tableColumn id="4856" xr3:uid="{C7160F5E-B050-4319-B869-3E736AF1F0A2}" name="Column4851"/>
    <tableColumn id="4857" xr3:uid="{01E967B3-8E77-4C85-8302-E2069F1423B5}" name="Column4852"/>
    <tableColumn id="4858" xr3:uid="{2FDBDB05-762E-4B84-8237-71DB7E4F9E71}" name="Column4853"/>
    <tableColumn id="4859" xr3:uid="{3168E463-746E-4187-8C1A-6D73FC689514}" name="Column4854"/>
    <tableColumn id="4860" xr3:uid="{58EFACFD-0355-498C-9F40-A70ECB1E4134}" name="Column4855"/>
    <tableColumn id="4861" xr3:uid="{D836878B-2B37-45DD-A9F2-D57BB5EE513C}" name="Column4856"/>
    <tableColumn id="4862" xr3:uid="{4CD1E866-688B-4EB8-B5B0-29EA518E0CB4}" name="Column4857"/>
    <tableColumn id="4863" xr3:uid="{211D4730-0A78-43D6-B710-D0D7CB07F054}" name="Column4858"/>
    <tableColumn id="4864" xr3:uid="{C40725D1-F08E-44A5-8289-83FEEBD9CD10}" name="Column4859"/>
    <tableColumn id="4865" xr3:uid="{79B0FC3D-370A-4D78-9658-B2D373FA73A1}" name="Column4860"/>
    <tableColumn id="4866" xr3:uid="{498A4016-1935-4C62-87E0-97613B256D12}" name="Column4861"/>
    <tableColumn id="4867" xr3:uid="{5A945556-DEEF-46E2-B8A8-A1F3CF13734B}" name="Column4862"/>
    <tableColumn id="4868" xr3:uid="{8B35CB6A-D62B-45D4-99C9-705CC142F6C2}" name="Column4863"/>
    <tableColumn id="4869" xr3:uid="{5A013D49-EC9C-4B33-A6DB-D7044B5365EC}" name="Column4864"/>
    <tableColumn id="4870" xr3:uid="{4B22D7DD-FC16-4043-A22C-16E7E5D609B0}" name="Column4865"/>
    <tableColumn id="4871" xr3:uid="{3E619F64-EB25-4163-87DE-2D139F413865}" name="Column4866"/>
    <tableColumn id="4872" xr3:uid="{838AA8F3-BC12-41E6-B290-85E2C286FDC5}" name="Column4867"/>
    <tableColumn id="4873" xr3:uid="{5FDEA1EB-AB74-48CA-BFB5-07BA28D5F7A4}" name="Column4868"/>
    <tableColumn id="4874" xr3:uid="{729462CE-8F53-44B7-B236-463D2C555385}" name="Column4869"/>
    <tableColumn id="4875" xr3:uid="{77BD1498-DD03-4990-964B-DF0AD2151BD8}" name="Column4870"/>
    <tableColumn id="4876" xr3:uid="{8F71D767-D79D-4C2D-A818-EA9F555A9B80}" name="Column4871"/>
    <tableColumn id="4877" xr3:uid="{BA051E42-86BC-4755-85B8-01D77BB8F93B}" name="Column4872"/>
    <tableColumn id="4878" xr3:uid="{32F82A51-79F4-4B23-ADEA-156D32A70194}" name="Column4873"/>
    <tableColumn id="4879" xr3:uid="{A7CC7D17-A9C9-4D82-B857-7D4A759E8056}" name="Column4874"/>
    <tableColumn id="4880" xr3:uid="{2C29FD9E-7D2E-483D-9B07-CBEFD108CA0A}" name="Column4875"/>
    <tableColumn id="4881" xr3:uid="{9E2386B6-5E17-4BEA-ADA2-649CE6336D4D}" name="Column4876"/>
    <tableColumn id="4882" xr3:uid="{BC9A20B8-83CE-4DC3-B3D1-4FE170CF31A2}" name="Column4877"/>
    <tableColumn id="4883" xr3:uid="{1BDD2B4E-C364-4851-BBE9-C98910AF3C86}" name="Column4878"/>
    <tableColumn id="4884" xr3:uid="{A98EADEA-EC97-4711-A55D-CE3F524F9186}" name="Column4879"/>
    <tableColumn id="4885" xr3:uid="{D8A41448-D0B6-4A9C-AAFB-3677BDC32790}" name="Column4880"/>
    <tableColumn id="4886" xr3:uid="{6BDAB7AD-DADA-47EA-8D22-3C2E9866A0F5}" name="Column4881"/>
    <tableColumn id="4887" xr3:uid="{7F5B8719-F0BF-47DC-AB1E-3CCBCA33B3F8}" name="Column4882"/>
    <tableColumn id="4888" xr3:uid="{4280AB56-8847-42A2-9878-C7336AA0F706}" name="Column4883"/>
    <tableColumn id="4889" xr3:uid="{791B9CE0-3845-40BA-AB20-3DBDF7069633}" name="Column4884"/>
    <tableColumn id="4890" xr3:uid="{47517341-50FC-4923-9298-D4097DC20B4F}" name="Column4885"/>
    <tableColumn id="4891" xr3:uid="{032747D2-54A3-4FEE-A78C-DEAC92E71F7C}" name="Column4886"/>
    <tableColumn id="4892" xr3:uid="{AE02B2A2-FAAF-46F2-BC42-96BA0B2E9990}" name="Column4887"/>
    <tableColumn id="4893" xr3:uid="{3F69F6E4-A7D2-42A3-B79F-AD5DC4E32E0F}" name="Column4888"/>
    <tableColumn id="4894" xr3:uid="{12E5C7B2-E74A-4F02-B418-51A7423E1626}" name="Column4889"/>
    <tableColumn id="4895" xr3:uid="{7548BBCA-A607-45F6-8627-440F7C9501B3}" name="Column4890"/>
    <tableColumn id="4896" xr3:uid="{C5C2679D-8D92-4B35-8DB7-85C4B4834B1F}" name="Column4891"/>
    <tableColumn id="4897" xr3:uid="{611B831E-0A67-4529-832F-B60D43F3B868}" name="Column4892"/>
    <tableColumn id="4898" xr3:uid="{2D9E8ED2-04BF-41A1-BF37-BD2E2C30817C}" name="Column4893"/>
    <tableColumn id="4899" xr3:uid="{BEF24157-0758-4612-9060-B97B5D6D5220}" name="Column4894"/>
    <tableColumn id="4900" xr3:uid="{D13B4CAF-3A97-4252-9D43-090E3A49B5CB}" name="Column4895"/>
    <tableColumn id="4901" xr3:uid="{395260F9-64E1-4A1B-B914-F52F68817DB8}" name="Column4896"/>
    <tableColumn id="4902" xr3:uid="{47409E97-FA0B-486B-8BAA-2F71676B0E52}" name="Column4897"/>
    <tableColumn id="4903" xr3:uid="{98FB6125-F873-4015-9533-695EC650AB47}" name="Column4898"/>
    <tableColumn id="4904" xr3:uid="{46721089-2E8C-445A-BED8-B8B573F7E167}" name="Column4899"/>
    <tableColumn id="4905" xr3:uid="{28DF01AA-C79B-44C4-83AE-E5420D89FCE3}" name="Column4900"/>
    <tableColumn id="4906" xr3:uid="{0D5D4A40-F86E-4FB4-8776-30F229D457A0}" name="Column4901"/>
    <tableColumn id="4907" xr3:uid="{E600592D-5EAE-461E-9B20-CD39211A3AB8}" name="Column4902"/>
    <tableColumn id="4908" xr3:uid="{E2ACA6F7-D627-4D8F-BFCD-78193EDDE9DB}" name="Column4903"/>
    <tableColumn id="4909" xr3:uid="{0CC8922B-91ED-4C23-8DBC-EED48CA28660}" name="Column4904"/>
    <tableColumn id="4910" xr3:uid="{93F8A61B-DA91-4FE4-89EA-CDD3AECDADF7}" name="Column4905"/>
    <tableColumn id="4911" xr3:uid="{0BB4DB65-E42C-44DA-92F6-5CB62500249B}" name="Column4906"/>
    <tableColumn id="4912" xr3:uid="{1E4BAFBD-43B4-47B9-88FF-D956E2799E8A}" name="Column4907"/>
    <tableColumn id="4913" xr3:uid="{FDC3F465-2053-4938-9F78-25601A84C780}" name="Column4908"/>
    <tableColumn id="4914" xr3:uid="{B95DDCFB-CE1A-4DAF-966B-830979175EF4}" name="Column4909"/>
    <tableColumn id="4915" xr3:uid="{CF0B4A33-92C5-46A0-B44D-8EF2330A1F7E}" name="Column4910"/>
    <tableColumn id="4916" xr3:uid="{F8D8BE0D-04B3-49E1-A124-B940FAADB214}" name="Column4911"/>
    <tableColumn id="4917" xr3:uid="{6D83099A-CC25-4814-BF96-878DA73E78A8}" name="Column4912"/>
    <tableColumn id="4918" xr3:uid="{6D281CA5-ABD5-4CD2-93E8-C19A0651D233}" name="Column4913"/>
    <tableColumn id="4919" xr3:uid="{D40C4A9A-6C86-479E-B36A-0B2075F15E71}" name="Column4914"/>
    <tableColumn id="4920" xr3:uid="{230FE904-B1B7-47C9-A057-F77D6DD4ADBC}" name="Column4915"/>
    <tableColumn id="4921" xr3:uid="{AE93B881-0373-4AB4-BFCB-76955C3C1514}" name="Column4916"/>
    <tableColumn id="4922" xr3:uid="{E32DAEDB-3A0C-4B40-A7DC-39EFCFE24C5B}" name="Column4917"/>
    <tableColumn id="4923" xr3:uid="{BD99881A-6724-4981-ACB1-AC93BD82DCDD}" name="Column4918"/>
    <tableColumn id="4924" xr3:uid="{9F5E0E09-8C9B-41AB-AD7E-4CD8F29E7255}" name="Column4919"/>
    <tableColumn id="4925" xr3:uid="{BDBA5DA5-6373-4D6D-B035-CD0F8F15C96E}" name="Column4920"/>
    <tableColumn id="4926" xr3:uid="{72655FBE-4DF4-4B29-9A44-3C5F4A81294A}" name="Column4921"/>
    <tableColumn id="4927" xr3:uid="{BD81EF11-C025-497E-ACB5-F80473F60E4F}" name="Column4922"/>
    <tableColumn id="4928" xr3:uid="{9C30799A-0615-490F-8324-469930F14BB5}" name="Column4923"/>
    <tableColumn id="4929" xr3:uid="{511EF8E3-60F3-475B-A52E-33939AB177BD}" name="Column4924"/>
    <tableColumn id="4930" xr3:uid="{C877163D-A4F3-4B82-A5A0-BB22E0310DD9}" name="Column4925"/>
    <tableColumn id="4931" xr3:uid="{A43418DD-7046-4506-BAB2-1EAA11642F8A}" name="Column4926"/>
    <tableColumn id="4932" xr3:uid="{B8E4CE2F-8AAC-4BE8-88E9-F20E5B32C2B2}" name="Column4927"/>
    <tableColumn id="4933" xr3:uid="{5FF71127-224D-4788-926A-B5C6BD0A4301}" name="Column4928"/>
    <tableColumn id="4934" xr3:uid="{2995B616-BE34-4DCD-98A6-BDC4024758D8}" name="Column4929"/>
    <tableColumn id="4935" xr3:uid="{903E7F1A-16F9-4940-B3CE-755C627D73A3}" name="Column4930"/>
    <tableColumn id="4936" xr3:uid="{2B141536-7C32-4D06-A411-1728F298BE68}" name="Column4931"/>
    <tableColumn id="4937" xr3:uid="{72FC33D7-23D6-4F85-BDE9-A12C54A63018}" name="Column4932"/>
    <tableColumn id="4938" xr3:uid="{49433E6F-A12B-4E69-AF3F-F0C68155E52E}" name="Column4933"/>
    <tableColumn id="4939" xr3:uid="{9A7EF021-A47D-427B-A9C3-7E49AC662DF9}" name="Column4934"/>
    <tableColumn id="4940" xr3:uid="{B397FFDE-C37D-4CC2-A2E2-4C2F2A09E850}" name="Column4935"/>
    <tableColumn id="4941" xr3:uid="{B47B68D9-2E0C-4DB3-A4B4-1CC658B50F5E}" name="Column4936"/>
    <tableColumn id="4942" xr3:uid="{CE0439D9-DD7B-4ED5-9CED-ACBB36363345}" name="Column4937"/>
    <tableColumn id="4943" xr3:uid="{10D782A1-426B-4041-9486-544ED1B3D8D5}" name="Column4938"/>
    <tableColumn id="4944" xr3:uid="{1D61FC30-03AD-425E-8E9D-8BE9C4FA1F6A}" name="Column4939"/>
    <tableColumn id="4945" xr3:uid="{EDD02B45-88E5-4451-BDBB-F1B71916E8A7}" name="Column4940"/>
    <tableColumn id="4946" xr3:uid="{CAC3A020-7331-495E-8A22-7E753839D514}" name="Column4941"/>
    <tableColumn id="4947" xr3:uid="{2AE2CB71-56F2-44D4-97A3-2232DCFC6CF8}" name="Column4942"/>
    <tableColumn id="4948" xr3:uid="{698ABBD5-E9EE-4C26-B425-6EB9D416E3CA}" name="Column4943"/>
    <tableColumn id="4949" xr3:uid="{48918DE4-89AA-4A15-8566-4A040155CB51}" name="Column4944"/>
    <tableColumn id="4950" xr3:uid="{EA8B9F68-BE37-4D6D-8A4A-ACE234D627D1}" name="Column4945"/>
    <tableColumn id="4951" xr3:uid="{F4C76E0B-C6B9-4570-B374-1C02012B6BD0}" name="Column4946"/>
    <tableColumn id="4952" xr3:uid="{CBF89081-C388-4DBA-9B26-FBB43632F632}" name="Column4947"/>
    <tableColumn id="4953" xr3:uid="{DE6186CE-1662-4CA3-A37F-6890289A4696}" name="Column4948"/>
    <tableColumn id="4954" xr3:uid="{0DD03757-23F2-4762-A2B5-29565956B934}" name="Column4949"/>
    <tableColumn id="4955" xr3:uid="{E58DEF65-3219-4D96-826D-96A851BC16BA}" name="Column4950"/>
    <tableColumn id="4956" xr3:uid="{D1FC8270-A012-43F7-A19E-7C01AB3426EB}" name="Column4951"/>
    <tableColumn id="4957" xr3:uid="{1BE2DBED-49A2-4D51-A0E6-A80DF9D78D2A}" name="Column4952"/>
    <tableColumn id="4958" xr3:uid="{F56AD29E-65CB-4866-B2B0-9E7A5E739A47}" name="Column4953"/>
    <tableColumn id="4959" xr3:uid="{F74FF7A6-0851-4B9D-B237-C85F6C825CE6}" name="Column4954"/>
    <tableColumn id="4960" xr3:uid="{AD0B5295-F95E-4A05-9EC3-C9DB9EA08F1F}" name="Column4955"/>
    <tableColumn id="4961" xr3:uid="{53B11325-BD1D-47EA-9A45-C761B2708FC5}" name="Column4956"/>
    <tableColumn id="4962" xr3:uid="{673E6D29-2602-46BD-B6E2-8D282BFF21EB}" name="Column4957"/>
    <tableColumn id="4963" xr3:uid="{6F655C10-D25A-4231-8813-5045E37A1ADC}" name="Column4958"/>
    <tableColumn id="4964" xr3:uid="{D67F67C7-5F46-401F-8839-1325FDB9C401}" name="Column4959"/>
    <tableColumn id="4965" xr3:uid="{5CAA793D-6A72-4286-8CED-94D3207589A7}" name="Column4960"/>
    <tableColumn id="4966" xr3:uid="{1426E310-91C1-4D0C-8271-A53AD392CF56}" name="Column4961"/>
    <tableColumn id="4967" xr3:uid="{E659F374-90B6-45C4-A214-0D1DC4B79A3D}" name="Column4962"/>
    <tableColumn id="4968" xr3:uid="{20D09591-BFC6-4FBB-A3BE-60A4BCEF9D59}" name="Column4963"/>
    <tableColumn id="4969" xr3:uid="{4691A24D-F432-44C9-9329-8A34688FCB2C}" name="Column4964"/>
    <tableColumn id="4970" xr3:uid="{B5517E71-0C22-4D93-AD6B-8DF980FD0488}" name="Column4965"/>
    <tableColumn id="4971" xr3:uid="{63EEC42B-EA2A-4A67-BBE1-23FCF00F2723}" name="Column4966"/>
    <tableColumn id="4972" xr3:uid="{96BAD18D-0D6E-4283-A5F5-FB713CE82AB0}" name="Column4967"/>
    <tableColumn id="4973" xr3:uid="{2CFA7854-44CB-4FC3-B8B0-4DF5BA6517E6}" name="Column4968"/>
    <tableColumn id="4974" xr3:uid="{F5F6076C-AF61-4859-86BA-41BCDD153A93}" name="Column4969"/>
    <tableColumn id="4975" xr3:uid="{BCCEF301-D0FE-4084-AC00-E7A097A2D050}" name="Column4970"/>
    <tableColumn id="4976" xr3:uid="{88A0CD36-C9C7-4D55-8EF9-F3A515B815AE}" name="Column4971"/>
    <tableColumn id="4977" xr3:uid="{E80D6BFA-4659-4167-AF53-CE617C81FD7D}" name="Column4972"/>
    <tableColumn id="4978" xr3:uid="{8916E82C-F02E-4A3C-8224-ACC614A2AF4D}" name="Column4973"/>
    <tableColumn id="4979" xr3:uid="{BDCAF5F7-5C9F-4B6B-BCCF-1C1FF6A047AC}" name="Column4974"/>
    <tableColumn id="4980" xr3:uid="{13241D00-2EA9-496E-8B91-CBAC2936DB69}" name="Column4975"/>
    <tableColumn id="4981" xr3:uid="{698B2254-68DB-4446-BBD0-3104F4B10954}" name="Column4976"/>
    <tableColumn id="4982" xr3:uid="{9C43A7F6-A887-4099-AAEE-F21AE32BDDD0}" name="Column4977"/>
    <tableColumn id="4983" xr3:uid="{3FF44772-EEF9-4242-8786-4A5EC36D2E61}" name="Column4978"/>
    <tableColumn id="4984" xr3:uid="{D0485887-B46F-480A-87B1-AE6240F4EA3F}" name="Column4979"/>
    <tableColumn id="4985" xr3:uid="{970B90BB-7028-482C-AA60-1CD405447783}" name="Column4980"/>
    <tableColumn id="4986" xr3:uid="{D01209CD-CEE9-41F6-B4B6-3DFB3D0E25C6}" name="Column4981"/>
    <tableColumn id="4987" xr3:uid="{0DFA7FA4-8DAD-48E3-934A-764C0FED8940}" name="Column4982"/>
    <tableColumn id="4988" xr3:uid="{10BFABFB-6054-4F1F-B1E6-40E2B568791E}" name="Column4983"/>
    <tableColumn id="4989" xr3:uid="{B5EA4DC5-AC19-44C0-AF18-E68D2187A87F}" name="Column4984"/>
    <tableColumn id="4990" xr3:uid="{5A878A69-EADD-4489-ADF3-FD2B06310571}" name="Column4985"/>
    <tableColumn id="4991" xr3:uid="{CE6F77B6-E708-435F-8260-543F59823E5B}" name="Column4986"/>
    <tableColumn id="4992" xr3:uid="{A2AF7826-3EB9-4E75-A9AE-9A24C55F082F}" name="Column4987"/>
    <tableColumn id="4993" xr3:uid="{6F3CC6B9-51C2-47F0-9F41-9D6C6F32EF80}" name="Column4988"/>
    <tableColumn id="4994" xr3:uid="{1A0A066A-ABA2-479E-AC42-8C0CC02D96D2}" name="Column4989"/>
    <tableColumn id="4995" xr3:uid="{29A45E10-A9B8-4551-B100-43EB79190BDA}" name="Column4990"/>
    <tableColumn id="4996" xr3:uid="{1BD7CAB2-E658-49B2-B9F7-EB8BB06766C0}" name="Column4991"/>
    <tableColumn id="4997" xr3:uid="{54057D01-E9B9-4CB1-86CF-FA2CD51EE894}" name="Column4992"/>
    <tableColumn id="4998" xr3:uid="{9CF38DBE-1634-46EB-9BEB-CF0272BDFFD9}" name="Column4993"/>
    <tableColumn id="4999" xr3:uid="{3211CB51-8F62-4656-8DBB-215FFAC6E420}" name="Column4994"/>
    <tableColumn id="5000" xr3:uid="{FB317310-D210-4706-B019-50F886A9473C}" name="Column4995"/>
    <tableColumn id="5001" xr3:uid="{80F89C15-98CB-48FA-9E07-06FBC1F5322B}" name="Column4996"/>
    <tableColumn id="5002" xr3:uid="{5C49C03C-5872-4BFD-A8A5-AE011F0BCE4D}" name="Column4997"/>
    <tableColumn id="5003" xr3:uid="{CFA63E8B-C475-46B0-BF45-6E080DF4A2FD}" name="Column4998"/>
    <tableColumn id="5004" xr3:uid="{540F5AF2-D523-4709-B1CB-D3827C4165D2}" name="Column4999"/>
    <tableColumn id="5005" xr3:uid="{54B3BF1C-7CE9-42C0-9C21-7736C892CE0E}" name="Column5000"/>
    <tableColumn id="5006" xr3:uid="{CB71A47F-BD80-4581-AD52-0819E5634ECC}" name="Column5001"/>
    <tableColumn id="5007" xr3:uid="{D66C8E24-AD00-4FFB-8282-55C14FF44331}" name="Column5002"/>
    <tableColumn id="5008" xr3:uid="{DA1892E6-4087-4CE6-9ABE-4ADA5BB3DB68}" name="Column5003"/>
    <tableColumn id="5009" xr3:uid="{1C3EE8D7-6207-49C6-881A-A2E69D829039}" name="Column5004"/>
    <tableColumn id="5010" xr3:uid="{85840821-DA72-4235-8CDE-738C8C94F1CB}" name="Column5005"/>
    <tableColumn id="5011" xr3:uid="{58D9EEDA-78B4-454D-A0F9-7C9E2443F624}" name="Column5006"/>
    <tableColumn id="5012" xr3:uid="{763EB1CE-B95D-4BE2-85F7-4D2CF57B27B5}" name="Column5007"/>
    <tableColumn id="5013" xr3:uid="{5FEFC560-58A8-4484-9E54-840463FA1219}" name="Column5008"/>
    <tableColumn id="5014" xr3:uid="{2E858BE8-3427-4F34-81DE-2D1118814853}" name="Column5009"/>
    <tableColumn id="5015" xr3:uid="{4E319718-1649-4E42-A0DE-2F5FA0E7251B}" name="Column5010"/>
    <tableColumn id="5016" xr3:uid="{502FE12D-043F-4BDF-B1E3-6B023399595C}" name="Column5011"/>
    <tableColumn id="5017" xr3:uid="{792CA40A-2E85-46F0-A32C-B530EE03BFBD}" name="Column5012"/>
    <tableColumn id="5018" xr3:uid="{15D7D590-434F-4FCC-91C9-0B84257DE6C1}" name="Column5013"/>
    <tableColumn id="5019" xr3:uid="{F6A096CE-8A4A-452F-97C0-31F8CE91BF25}" name="Column5014"/>
    <tableColumn id="5020" xr3:uid="{206277B8-9D0A-46CA-BE19-05A4C6B99C7A}" name="Column5015"/>
    <tableColumn id="5021" xr3:uid="{9A9288D4-F4D3-4EEA-BE91-4C3B1CAF079A}" name="Column5016"/>
    <tableColumn id="5022" xr3:uid="{9E8F63AF-818E-4C0F-8561-5DEE16A19FB6}" name="Column5017"/>
    <tableColumn id="5023" xr3:uid="{54EAF758-1C97-426F-BAD7-881D24769CE0}" name="Column5018"/>
    <tableColumn id="5024" xr3:uid="{DAC44137-3E3F-4684-8802-39EA14A1645F}" name="Column5019"/>
    <tableColumn id="5025" xr3:uid="{D4570841-0803-48B2-85EA-83DC15AC7B6F}" name="Column5020"/>
    <tableColumn id="5026" xr3:uid="{26B8B229-7BE9-4B09-9F37-F6B31381C6D7}" name="Column5021"/>
    <tableColumn id="5027" xr3:uid="{DC136749-160B-4F22-9EE5-F083DCBC6DA7}" name="Column5022"/>
    <tableColumn id="5028" xr3:uid="{147F45FE-0E8E-4711-AC3D-CB429AC876C3}" name="Column5023"/>
    <tableColumn id="5029" xr3:uid="{DCD9CB85-06E2-4722-BC70-218F97959CFE}" name="Column5024"/>
    <tableColumn id="5030" xr3:uid="{4E8B86E9-2CDD-4FE2-8058-625A0064F5BB}" name="Column5025"/>
    <tableColumn id="5031" xr3:uid="{7C769694-09BF-4474-BFB7-9ABA6A34FC5A}" name="Column5026"/>
    <tableColumn id="5032" xr3:uid="{9A1E8D90-7ECC-4D66-8E58-95BE965F53F4}" name="Column5027"/>
    <tableColumn id="5033" xr3:uid="{71EEC29C-0832-4438-80F0-C12E9D3D8681}" name="Column5028"/>
    <tableColumn id="5034" xr3:uid="{E2C2C34A-032A-481F-9580-A6E4AE8BF3E0}" name="Column5029"/>
    <tableColumn id="5035" xr3:uid="{1E6D96D8-E811-404A-893C-F70970D30505}" name="Column5030"/>
    <tableColumn id="5036" xr3:uid="{A3999EDE-5B81-4996-9C19-DB8E7132522E}" name="Column5031"/>
    <tableColumn id="5037" xr3:uid="{FD4D4E8A-953B-4A60-A17B-090FC129BE41}" name="Column5032"/>
    <tableColumn id="5038" xr3:uid="{E309C317-9D47-4D23-856B-19756695D59C}" name="Column5033"/>
    <tableColumn id="5039" xr3:uid="{C8EC87E6-5594-4F7E-8976-44EB08183D45}" name="Column5034"/>
    <tableColumn id="5040" xr3:uid="{EB3F22B6-7A49-4902-9D39-89FECF75B361}" name="Column5035"/>
    <tableColumn id="5041" xr3:uid="{414B9C1E-165C-4564-8E21-BD0A2E812B88}" name="Column5036"/>
    <tableColumn id="5042" xr3:uid="{99851EB3-7C96-486D-884C-0DB84A9A1A40}" name="Column5037"/>
    <tableColumn id="5043" xr3:uid="{4DE81ABD-7216-4AF9-A269-46228D17B944}" name="Column5038"/>
    <tableColumn id="5044" xr3:uid="{872A7742-EEFD-4E27-8ADF-1B6DA332A0CE}" name="Column5039"/>
    <tableColumn id="5045" xr3:uid="{59F0B779-194A-43EF-BA29-597235F6F13A}" name="Column5040"/>
    <tableColumn id="5046" xr3:uid="{7B74A805-E787-40B3-A6DE-A77E025B8C55}" name="Column5041"/>
    <tableColumn id="5047" xr3:uid="{E67445F6-7D03-4B9D-91CC-BF29C006B421}" name="Column5042"/>
    <tableColumn id="5048" xr3:uid="{FFB1D086-0518-4112-9322-8FB93983AF5D}" name="Column5043"/>
    <tableColumn id="5049" xr3:uid="{447F38E0-7BB1-42BA-9E1A-E9EC3A0AC53C}" name="Column5044"/>
    <tableColumn id="5050" xr3:uid="{C2E3CF43-7BD7-4ADE-AA46-9AD88BFB3451}" name="Column5045"/>
    <tableColumn id="5051" xr3:uid="{B8EDB904-D4DA-4B0D-961E-68BA5CD31293}" name="Column5046"/>
    <tableColumn id="5052" xr3:uid="{D7269F6C-80CA-4B1E-A999-8EF45C538843}" name="Column5047"/>
    <tableColumn id="5053" xr3:uid="{1D9A5B32-979B-4473-A559-30191E6F4ED9}" name="Column5048"/>
    <tableColumn id="5054" xr3:uid="{7F75C8E9-4108-4DBF-B581-A1A7F47D1DA5}" name="Column5049"/>
    <tableColumn id="5055" xr3:uid="{59BE97E7-46B7-459B-977D-4C5269401993}" name="Column5050"/>
    <tableColumn id="5056" xr3:uid="{BFCCBF43-3FBF-4C5B-95B3-7EBC571FA68D}" name="Column5051"/>
    <tableColumn id="5057" xr3:uid="{241FF176-6F6D-4882-ADE9-7BECF11E5DAF}" name="Column5052"/>
    <tableColumn id="5058" xr3:uid="{D3DF69DA-227F-4D1C-939D-D4A9A48421F1}" name="Column5053"/>
    <tableColumn id="5059" xr3:uid="{DE591BCF-99EA-4765-96A2-2B1150A8BAF6}" name="Column5054"/>
    <tableColumn id="5060" xr3:uid="{CB72435A-0A13-46BA-B144-F9CBC8A2E3F2}" name="Column5055"/>
    <tableColumn id="5061" xr3:uid="{33EF090D-EE6A-4DAF-8B45-C620465BB5CB}" name="Column5056"/>
    <tableColumn id="5062" xr3:uid="{EA1FAB78-071A-45F7-A1F4-9D59977BFF40}" name="Column5057"/>
    <tableColumn id="5063" xr3:uid="{F38A11B4-41DA-4B86-A668-4B7C2BCADDA0}" name="Column5058"/>
    <tableColumn id="5064" xr3:uid="{B81968B3-21C2-4E03-8A99-6D4C5EDAB2FA}" name="Column5059"/>
    <tableColumn id="5065" xr3:uid="{5CA9F67D-FC92-476C-ADF5-4ADC6F366D32}" name="Column5060"/>
    <tableColumn id="5066" xr3:uid="{94766F80-F805-435A-8987-9D463AA9A183}" name="Column5061"/>
    <tableColumn id="5067" xr3:uid="{CAEFC07B-9521-4C62-B763-6A6725F6F3EE}" name="Column5062"/>
    <tableColumn id="5068" xr3:uid="{64D507AA-02B2-4AA6-B666-8C75AABD5FDC}" name="Column5063"/>
    <tableColumn id="5069" xr3:uid="{7A3C1BC9-6CF2-4FDF-B61D-EBE86FFB7075}" name="Column5064"/>
    <tableColumn id="5070" xr3:uid="{4A066352-2B20-453C-A78F-E322F102DB3D}" name="Column5065"/>
    <tableColumn id="5071" xr3:uid="{2A4D6768-FACC-4775-9C72-902C1CE42841}" name="Column5066"/>
    <tableColumn id="5072" xr3:uid="{449D8A0E-491F-46E1-B1A3-FE2FC3EB0815}" name="Column5067"/>
    <tableColumn id="5073" xr3:uid="{DB24DA03-701C-4599-82EE-2A026B64AEA8}" name="Column5068"/>
    <tableColumn id="5074" xr3:uid="{9C0067E0-FF6F-4115-A208-2A0A649889AB}" name="Column5069"/>
    <tableColumn id="5075" xr3:uid="{D3587B6D-C35F-4393-8C0E-18625DD1000D}" name="Column5070"/>
    <tableColumn id="5076" xr3:uid="{BD2E2F3F-BDF7-467C-BB26-FCE2C2609F18}" name="Column5071"/>
    <tableColumn id="5077" xr3:uid="{157B0C0F-FB36-41FB-9A32-E28B096F356B}" name="Column5072"/>
    <tableColumn id="5078" xr3:uid="{C1E4A34B-7C7C-46FB-8557-2650AA3A68EA}" name="Column5073"/>
    <tableColumn id="5079" xr3:uid="{723227F3-32E4-4D26-A845-C114C1A7FB43}" name="Column5074"/>
    <tableColumn id="5080" xr3:uid="{BE17E572-46CD-4ED0-B425-8080C9A3F90A}" name="Column5075"/>
    <tableColumn id="5081" xr3:uid="{713A4239-2256-4FCB-B6D2-82ECFF9AD034}" name="Column5076"/>
    <tableColumn id="5082" xr3:uid="{A31688FE-A928-4C36-A1F7-75A7EC15C37B}" name="Column5077"/>
    <tableColumn id="5083" xr3:uid="{BDBABC72-44A1-4ABB-9437-AA61616AACEA}" name="Column5078"/>
    <tableColumn id="5084" xr3:uid="{333824DA-7397-4E4A-85EA-F7D678BC9CF4}" name="Column5079"/>
    <tableColumn id="5085" xr3:uid="{455AB30E-A570-4CAE-A9CF-8BDFE87F09B5}" name="Column5080"/>
    <tableColumn id="5086" xr3:uid="{6EB733BB-CDB3-4336-B90D-2607261C3BDB}" name="Column5081"/>
    <tableColumn id="5087" xr3:uid="{16069BCB-12E7-4D89-B1A8-8C0C05CA3350}" name="Column5082"/>
    <tableColumn id="5088" xr3:uid="{65BCA5D9-DB3A-4052-86BA-2BE90BF7913F}" name="Column5083"/>
    <tableColumn id="5089" xr3:uid="{70C6786A-A2DF-4C95-B71A-728203B27438}" name="Column5084"/>
    <tableColumn id="5090" xr3:uid="{3402A5A4-8BB6-4442-97E0-14C7EA789FED}" name="Column5085"/>
    <tableColumn id="5091" xr3:uid="{302929B8-8D7F-495E-86E1-93C6FC6BCD67}" name="Column5086"/>
    <tableColumn id="5092" xr3:uid="{3F3B184C-D13E-4825-9BEB-816D102094DD}" name="Column5087"/>
    <tableColumn id="5093" xr3:uid="{F7386360-B885-404E-8325-B954B1B68A5D}" name="Column5088"/>
    <tableColumn id="5094" xr3:uid="{71ADF7A1-F362-4110-9E37-EFB65CCF8890}" name="Column5089"/>
    <tableColumn id="5095" xr3:uid="{6F369C81-0203-4C0F-A0FE-D6BE1E2147F3}" name="Column5090"/>
    <tableColumn id="5096" xr3:uid="{CDFBF2EF-0713-4D14-9AB7-21F9CF114F9A}" name="Column5091"/>
    <tableColumn id="5097" xr3:uid="{C2CBABDA-D2EB-4082-8A85-52EEA0BEC055}" name="Column5092"/>
    <tableColumn id="5098" xr3:uid="{4D2440C6-FDA2-478B-B80D-F1EB206CA1C6}" name="Column5093"/>
    <tableColumn id="5099" xr3:uid="{35F1E583-4FC6-4BBE-B229-7560D9C8AE1B}" name="Column5094"/>
    <tableColumn id="5100" xr3:uid="{92A36B38-1813-493D-B085-0E997EAA8A7C}" name="Column5095"/>
    <tableColumn id="5101" xr3:uid="{1411D64E-C3B5-450F-B5FB-6FE353DDC678}" name="Column5096"/>
    <tableColumn id="5102" xr3:uid="{4F9A241B-C155-4A1C-AA69-0E0CC9B21ED7}" name="Column5097"/>
    <tableColumn id="5103" xr3:uid="{94F8798B-7694-4D2C-8C8C-E1144CA2A4C3}" name="Column5098"/>
    <tableColumn id="5104" xr3:uid="{BB9AB722-7CB4-48FB-81F0-9C3767BA8048}" name="Column5099"/>
    <tableColumn id="5105" xr3:uid="{1E1CCB6B-7A66-439C-8C44-61CDC9823C85}" name="Column5100"/>
    <tableColumn id="5106" xr3:uid="{1BE0500E-EB39-4136-90B1-49D129FF5C3B}" name="Column5101"/>
    <tableColumn id="5107" xr3:uid="{96F50ED3-D6B4-44D6-919D-9AC04E94CB04}" name="Column5102"/>
    <tableColumn id="5108" xr3:uid="{2DE41045-5F51-490F-9A4C-C772568FA304}" name="Column5103"/>
    <tableColumn id="5109" xr3:uid="{060DEA01-5B48-4C99-BFF9-F4E14D5FCF1D}" name="Column5104"/>
    <tableColumn id="5110" xr3:uid="{8B731E6F-0B68-4122-A781-C8B60A12E7FB}" name="Column5105"/>
    <tableColumn id="5111" xr3:uid="{0850098F-625B-48F4-B8E6-55BA081907F1}" name="Column5106"/>
    <tableColumn id="5112" xr3:uid="{37A89D3B-AE24-4B2A-939B-7D80433F06DD}" name="Column5107"/>
    <tableColumn id="5113" xr3:uid="{3F9923B3-9B0D-4961-A744-5FF8033BA189}" name="Column5108"/>
    <tableColumn id="5114" xr3:uid="{8CB2E800-973E-4513-A670-F6308060DBA1}" name="Column5109"/>
    <tableColumn id="5115" xr3:uid="{B32F3866-534C-4CD1-85EA-C4FDF9BD964F}" name="Column5110"/>
    <tableColumn id="5116" xr3:uid="{13EDF826-E2FC-423C-9263-F7CFFFC227FB}" name="Column5111"/>
    <tableColumn id="5117" xr3:uid="{4A306CA4-AF4C-478F-96D6-9AEB5C0302F8}" name="Column5112"/>
    <tableColumn id="5118" xr3:uid="{A01A7DDC-517B-4A49-BF32-4089EB270F36}" name="Column5113"/>
    <tableColumn id="5119" xr3:uid="{278F2EBD-E483-417F-B198-9FB8C0ABAA2F}" name="Column5114"/>
    <tableColumn id="5120" xr3:uid="{543C6251-4535-46BD-BB74-70A3A9F305E7}" name="Column5115"/>
    <tableColumn id="5121" xr3:uid="{4E16021B-B355-4168-8285-106E417FF96F}" name="Column5116"/>
    <tableColumn id="5122" xr3:uid="{E21357CB-99D3-448A-A1BD-7835E1FB1B30}" name="Column5117"/>
    <tableColumn id="5123" xr3:uid="{0312EF3A-1294-4BB1-83BB-5B54A72F10B9}" name="Column5118"/>
    <tableColumn id="5124" xr3:uid="{C242292B-83C0-447C-A449-BD4C92DCE909}" name="Column5119"/>
    <tableColumn id="5125" xr3:uid="{66D0ED46-4045-4F6F-8A3C-ADEBB0C228E0}" name="Column5120"/>
    <tableColumn id="5126" xr3:uid="{2DB2D495-87A0-401A-8332-A9BE94091B15}" name="Column5121"/>
    <tableColumn id="5127" xr3:uid="{543FAEDA-EF95-4319-B680-8C27439CA72E}" name="Column5122"/>
    <tableColumn id="5128" xr3:uid="{94A9ED4C-C8F6-46E2-AFD7-E7269CD54067}" name="Column5123"/>
    <tableColumn id="5129" xr3:uid="{7C8BD105-5118-45BD-8F81-DBA573F9CBBA}" name="Column5124"/>
    <tableColumn id="5130" xr3:uid="{C5BA1722-250F-4183-9B76-009ADEF3254D}" name="Column5125"/>
    <tableColumn id="5131" xr3:uid="{219F7979-2464-47D6-A7DF-230029B40EA0}" name="Column5126"/>
    <tableColumn id="5132" xr3:uid="{12BFB206-569F-4472-82FC-03D55E2043FB}" name="Column5127"/>
    <tableColumn id="5133" xr3:uid="{6681C87C-8D7E-4674-86E5-F3FF22236BE4}" name="Column5128"/>
    <tableColumn id="5134" xr3:uid="{744B370D-43C2-425A-9DDF-6BD813CC8A83}" name="Column5129"/>
    <tableColumn id="5135" xr3:uid="{730F640F-A59C-4A72-9B47-764BB093B0F5}" name="Column5130"/>
    <tableColumn id="5136" xr3:uid="{4684464A-0ADA-482B-82E2-D9E23E918DB1}" name="Column5131"/>
    <tableColumn id="5137" xr3:uid="{6B4BC80C-9BFF-4A68-8DC8-274962C8A19F}" name="Column5132"/>
    <tableColumn id="5138" xr3:uid="{027D4FCC-5123-47DF-B9AA-F0BFD99ABA37}" name="Column5133"/>
    <tableColumn id="5139" xr3:uid="{D9DB2E87-471E-4E75-ABB8-1EC891393E08}" name="Column5134"/>
    <tableColumn id="5140" xr3:uid="{6030A797-A9D5-4430-8326-113B1A223B3C}" name="Column5135"/>
    <tableColumn id="5141" xr3:uid="{81216CFA-4FD4-480E-BE77-A0E34645E0A7}" name="Column5136"/>
    <tableColumn id="5142" xr3:uid="{916A784F-2E1A-4F3D-9155-32A96AD4FD3B}" name="Column5137"/>
    <tableColumn id="5143" xr3:uid="{DC78832A-3D0B-4CBD-9C93-2DBC5BB8EFE3}" name="Column5138"/>
    <tableColumn id="5144" xr3:uid="{577DFA76-502E-4E8D-946D-729C71BEF5D9}" name="Column5139"/>
    <tableColumn id="5145" xr3:uid="{E3BBE564-0152-4897-B995-0FB8A1C0F162}" name="Column5140"/>
    <tableColumn id="5146" xr3:uid="{F6DB5812-9D44-4D4F-B651-FB6B91CDEB11}" name="Column5141"/>
    <tableColumn id="5147" xr3:uid="{34570103-73A8-450E-9423-FB0E64E9C39D}" name="Column5142"/>
    <tableColumn id="5148" xr3:uid="{B85F04E1-97CD-4D7E-B43F-12A3805077F5}" name="Column5143"/>
    <tableColumn id="5149" xr3:uid="{65032CB3-66AC-4AF8-9AF3-807D449CA583}" name="Column5144"/>
    <tableColumn id="5150" xr3:uid="{27C76AB8-DEB9-455E-BDBF-99520EA5C4AD}" name="Column5145"/>
    <tableColumn id="5151" xr3:uid="{DEF6C150-50F2-4C52-93D4-25922FA72E6E}" name="Column5146"/>
    <tableColumn id="5152" xr3:uid="{630F29AD-D38A-4FD6-A1A0-A41B4AB33DC3}" name="Column5147"/>
    <tableColumn id="5153" xr3:uid="{8E1BCD1A-097C-47B6-ACFF-46F349B19FE1}" name="Column5148"/>
    <tableColumn id="5154" xr3:uid="{69B83772-00DA-4D83-8345-AA122FBB608E}" name="Column5149"/>
    <tableColumn id="5155" xr3:uid="{6D7E4173-89F8-4A76-BB0C-81F86264C787}" name="Column5150"/>
    <tableColumn id="5156" xr3:uid="{9997C704-5B3F-4101-AD06-9D4E2477EC4B}" name="Column5151"/>
    <tableColumn id="5157" xr3:uid="{0974DE2A-CA61-4F94-A56B-DC4BF4AACDEA}" name="Column5152"/>
    <tableColumn id="5158" xr3:uid="{E8C15E61-9E6F-4BEC-8081-1853B12C6C2E}" name="Column5153"/>
    <tableColumn id="5159" xr3:uid="{A70F196B-EB9D-4A22-9842-B0EF8965F0DC}" name="Column5154"/>
    <tableColumn id="5160" xr3:uid="{13DEF204-48B6-43F1-9F29-6B3BF46B1CC3}" name="Column5155"/>
    <tableColumn id="5161" xr3:uid="{DD301F6E-A325-4F13-8C2E-4E8983BDD949}" name="Column5156"/>
    <tableColumn id="5162" xr3:uid="{14058314-B641-4C2C-8553-C8A1EA7056F1}" name="Column5157"/>
    <tableColumn id="5163" xr3:uid="{4C75DF47-871D-4B89-A940-D49F8F773DB8}" name="Column5158"/>
    <tableColumn id="5164" xr3:uid="{F931D7F0-869F-4913-B181-27EC8CDA751B}" name="Column5159"/>
    <tableColumn id="5165" xr3:uid="{83F0FE3D-E5D3-40E0-A273-DC9A0D2AFDE4}" name="Column5160"/>
    <tableColumn id="5166" xr3:uid="{76A5894B-46D2-4A5F-AA61-C0804D6520AD}" name="Column5161"/>
    <tableColumn id="5167" xr3:uid="{03BF5806-46C2-488F-AA13-1B529EFE71CF}" name="Column5162"/>
    <tableColumn id="5168" xr3:uid="{3648461A-401B-4DA2-B5A5-BC087BFF59B4}" name="Column5163"/>
    <tableColumn id="5169" xr3:uid="{CF84AE50-A3B1-4A21-A669-34F47C49E1F9}" name="Column5164"/>
    <tableColumn id="5170" xr3:uid="{6972DF36-0CFD-4E3F-BC31-11AAB7E8047B}" name="Column5165"/>
    <tableColumn id="5171" xr3:uid="{45077707-7C69-4660-896A-08D27948B3C5}" name="Column5166"/>
    <tableColumn id="5172" xr3:uid="{4677FFA7-3A3C-41AE-9497-18459BCE5219}" name="Column5167"/>
    <tableColumn id="5173" xr3:uid="{65B806A7-FE38-4C24-A949-6721FC9291C8}" name="Column5168"/>
    <tableColumn id="5174" xr3:uid="{7BAD9C72-06AD-4828-BDB3-1F59E8CBDFFD}" name="Column5169"/>
    <tableColumn id="5175" xr3:uid="{4205347D-4CF1-4346-AC80-C77370291D47}" name="Column5170"/>
    <tableColumn id="5176" xr3:uid="{3B73BF2A-DDE9-4759-ADAE-54F0EDD365BA}" name="Column5171"/>
    <tableColumn id="5177" xr3:uid="{F04DC476-05FA-4FAE-9C0E-BC793A23DD1A}" name="Column5172"/>
    <tableColumn id="5178" xr3:uid="{FD4A2F42-591B-492E-B565-C29E01C047AC}" name="Column5173"/>
    <tableColumn id="5179" xr3:uid="{8E3C381C-15C0-4027-819F-D212F4C7532C}" name="Column5174"/>
    <tableColumn id="5180" xr3:uid="{E79F22DC-7290-48D4-9FD4-8D9A7F7340F1}" name="Column5175"/>
    <tableColumn id="5181" xr3:uid="{14DE1728-EB0A-425C-953E-E664A48A2C68}" name="Column5176"/>
    <tableColumn id="5182" xr3:uid="{ABC9D0F6-B3C8-424B-92BF-585CE2290599}" name="Column5177"/>
    <tableColumn id="5183" xr3:uid="{CBAD1EDB-4B0C-490A-8A48-770341884A12}" name="Column5178"/>
    <tableColumn id="5184" xr3:uid="{D8DCAC90-EF45-438E-98BB-D57FB28C913B}" name="Column5179"/>
    <tableColumn id="5185" xr3:uid="{B170DA4E-B21C-4CFF-A953-D3B17EC026BB}" name="Column5180"/>
    <tableColumn id="5186" xr3:uid="{C35463F1-09BD-437E-9455-AAC686501DEB}" name="Column5181"/>
    <tableColumn id="5187" xr3:uid="{EC22019B-A06F-4892-8985-5BD75EA357D2}" name="Column5182"/>
    <tableColumn id="5188" xr3:uid="{1B5B80D4-9987-4EDA-9F8B-257D838AA621}" name="Column5183"/>
    <tableColumn id="5189" xr3:uid="{4DE22C71-3749-4F5C-BCA6-0FC23C79F490}" name="Column5184"/>
    <tableColumn id="5190" xr3:uid="{72EB3686-6C52-4483-BFF1-721A180A49F2}" name="Column5185"/>
    <tableColumn id="5191" xr3:uid="{2CD925AD-B6F0-4F25-AD2E-421BCFABDCCC}" name="Column5186"/>
    <tableColumn id="5192" xr3:uid="{F3460EF8-109F-4FA0-B784-33047B214236}" name="Column5187"/>
    <tableColumn id="5193" xr3:uid="{26831A7E-0956-4AA8-8D4E-262F2A34A62F}" name="Column5188"/>
    <tableColumn id="5194" xr3:uid="{501C9BBC-9B6D-4D0C-9FCB-77DB96A798F6}" name="Column5189"/>
    <tableColumn id="5195" xr3:uid="{C44AB1C3-5F95-4C80-AF77-4120EE273D0E}" name="Column5190"/>
    <tableColumn id="5196" xr3:uid="{E43A5442-115E-4CC1-AB08-FBA306EDF63C}" name="Column5191"/>
    <tableColumn id="5197" xr3:uid="{01F998B7-A620-4D3E-B703-44BAEE931F98}" name="Column5192"/>
    <tableColumn id="5198" xr3:uid="{4F109EB7-AD05-4EFF-B2D7-00492E0F77F9}" name="Column5193"/>
    <tableColumn id="5199" xr3:uid="{A242E0A0-6DC1-463D-8385-0BE1DCC4DA72}" name="Column5194"/>
    <tableColumn id="5200" xr3:uid="{0AD42955-9F89-4E5F-8C1E-F1384BA65472}" name="Column5195"/>
    <tableColumn id="5201" xr3:uid="{FA4D4A6A-D1C5-4764-88C0-DEABF482F38B}" name="Column5196"/>
    <tableColumn id="5202" xr3:uid="{F4932EF5-9A58-4F94-BAEC-C33080A70EA0}" name="Column5197"/>
    <tableColumn id="5203" xr3:uid="{AE3CB557-7DCE-4ECC-A1EC-4FB9E77CCB36}" name="Column5198"/>
    <tableColumn id="5204" xr3:uid="{71F2C331-330B-43DC-8788-2E388D63411C}" name="Column5199"/>
    <tableColumn id="5205" xr3:uid="{491B8E54-F733-4654-9222-6CEDD64065FB}" name="Column5200"/>
    <tableColumn id="5206" xr3:uid="{E304C1C1-25DA-45A9-A71E-2C8D517967BC}" name="Column5201"/>
    <tableColumn id="5207" xr3:uid="{6D7BAD59-D870-437F-8C54-132415F96A2C}" name="Column5202"/>
    <tableColumn id="5208" xr3:uid="{D2B92594-683E-4467-9C87-227E7499E7D2}" name="Column5203"/>
    <tableColumn id="5209" xr3:uid="{7E45CACF-DB4F-411F-A754-0D86655997B9}" name="Column5204"/>
    <tableColumn id="5210" xr3:uid="{34325E88-3AB3-40E7-8084-ECB924BCECB9}" name="Column5205"/>
    <tableColumn id="5211" xr3:uid="{D39B0FC3-1DC0-4F50-A53F-65F4221A00AF}" name="Column5206"/>
    <tableColumn id="5212" xr3:uid="{84245031-422F-4BCF-8CF1-C377C3FCBB91}" name="Column5207"/>
    <tableColumn id="5213" xr3:uid="{24879FD2-7376-435A-ACF5-84B6D9086092}" name="Column5208"/>
    <tableColumn id="5214" xr3:uid="{AFCFE69E-E827-4AF5-A3DF-DB2B92D5AB61}" name="Column5209"/>
    <tableColumn id="5215" xr3:uid="{531251C7-DC0D-4D81-9A00-23A7D07D16EB}" name="Column5210"/>
    <tableColumn id="5216" xr3:uid="{4F19BDCE-0677-4C5B-9441-E9FBFC2F10A7}" name="Column5211"/>
    <tableColumn id="5217" xr3:uid="{C46565FB-ED95-415E-880D-250502D7B12A}" name="Column5212"/>
    <tableColumn id="5218" xr3:uid="{61DB0486-1D9E-49E7-815F-26FEC0821616}" name="Column5213"/>
    <tableColumn id="5219" xr3:uid="{64638C01-1208-4CB0-9C7D-FDD73A76E686}" name="Column5214"/>
    <tableColumn id="5220" xr3:uid="{C27B434D-AADE-436D-8232-23F6062E2D57}" name="Column5215"/>
    <tableColumn id="5221" xr3:uid="{0694D0D5-68BD-45F1-9F02-B2EFE6994A56}" name="Column5216"/>
    <tableColumn id="5222" xr3:uid="{04C378E3-1C9C-457E-A333-B72F49F0031B}" name="Column5217"/>
    <tableColumn id="5223" xr3:uid="{23A559E4-F1E0-491C-A2E8-6D3C2BCB4795}" name="Column5218"/>
    <tableColumn id="5224" xr3:uid="{AB50E6A7-5E51-4E73-ABED-C194343BB159}" name="Column5219"/>
    <tableColumn id="5225" xr3:uid="{24DF7C1D-11AC-44E1-85AE-1459ADF2C88B}" name="Column5220"/>
    <tableColumn id="5226" xr3:uid="{D7D3B608-1C1D-46E7-8F43-4AAF91DECDAE}" name="Column5221"/>
    <tableColumn id="5227" xr3:uid="{476E9D73-E2D5-4BAB-A6F8-5E7A97729E11}" name="Column5222"/>
    <tableColumn id="5228" xr3:uid="{0D9C6E3F-A3FF-415C-B438-C49360DC30A9}" name="Column5223"/>
    <tableColumn id="5229" xr3:uid="{11F07669-2A1F-4BDF-AE56-22166620202A}" name="Column5224"/>
    <tableColumn id="5230" xr3:uid="{294F5E19-34C8-49D0-9ED9-FA0236F912EC}" name="Column5225"/>
    <tableColumn id="5231" xr3:uid="{D61FDA1C-C093-45E1-8D36-BEF0971A2B44}" name="Column5226"/>
    <tableColumn id="5232" xr3:uid="{A80A7F9A-9C64-4573-B34A-6F58F6199696}" name="Column5227"/>
    <tableColumn id="5233" xr3:uid="{6F3F99B2-6A50-4214-9BD1-4B9DC2F88545}" name="Column5228"/>
    <tableColumn id="5234" xr3:uid="{29C0BAF3-5227-47F6-A73E-1F163D8402F0}" name="Column5229"/>
    <tableColumn id="5235" xr3:uid="{94DF5A2E-ED4C-4E50-9B05-0B90D3CE4652}" name="Column5230"/>
    <tableColumn id="5236" xr3:uid="{38DB67A6-27A4-425A-9C67-F6EFD8536190}" name="Column5231"/>
    <tableColumn id="5237" xr3:uid="{7C56C07A-B0C2-4F73-BFF6-6AB84CCD2560}" name="Column5232"/>
    <tableColumn id="5238" xr3:uid="{50FC7B93-447D-4890-B25D-10BC95F05668}" name="Column5233"/>
    <tableColumn id="5239" xr3:uid="{51D76810-04F0-4A60-A3A6-533245C7E8E4}" name="Column5234"/>
    <tableColumn id="5240" xr3:uid="{DCF52CC9-3087-4658-9C83-C5D672CC0AB7}" name="Column5235"/>
    <tableColumn id="5241" xr3:uid="{B2172EDA-4B26-4091-933D-7F0BE5266D50}" name="Column5236"/>
    <tableColumn id="5242" xr3:uid="{796D2DBC-1C54-4E56-A4C0-879CD3AD9456}" name="Column5237"/>
    <tableColumn id="5243" xr3:uid="{208F4675-5323-4236-87E5-5AC959DA3BC1}" name="Column5238"/>
    <tableColumn id="5244" xr3:uid="{137C5C55-B144-40F0-BB5F-FB15198BC7A4}" name="Column5239"/>
    <tableColumn id="5245" xr3:uid="{8B7D5A2A-4656-4363-BFB5-B4C363F95645}" name="Column5240"/>
    <tableColumn id="5246" xr3:uid="{36D9C6F9-2FEC-481D-822A-A4CCBF3D5B4A}" name="Column5241"/>
    <tableColumn id="5247" xr3:uid="{6BE98E8C-2768-4EA0-AD64-97B95710EB11}" name="Column5242"/>
    <tableColumn id="5248" xr3:uid="{9F96AD36-15F0-47BC-B0C6-D19896BC7CD6}" name="Column5243"/>
    <tableColumn id="5249" xr3:uid="{1B606668-B13C-491C-B31F-15612A06EAE4}" name="Column5244"/>
    <tableColumn id="5250" xr3:uid="{E8055D01-251B-4A3F-8961-D53A2EBC68F3}" name="Column5245"/>
    <tableColumn id="5251" xr3:uid="{E2E8DA9E-4DC4-4E08-BDAC-BBA59750F936}" name="Column5246"/>
    <tableColumn id="5252" xr3:uid="{8349276D-60CE-4519-BAE7-646A250BA003}" name="Column5247"/>
    <tableColumn id="5253" xr3:uid="{A4115EDE-FEC8-4BF6-AD69-5C61A1B1F3E3}" name="Column5248"/>
    <tableColumn id="5254" xr3:uid="{C13DB5B5-F07F-4058-B765-3B6C44C787DA}" name="Column5249"/>
    <tableColumn id="5255" xr3:uid="{4CC1FDA1-138A-4E1C-BB75-62DC8A4634BC}" name="Column5250"/>
    <tableColumn id="5256" xr3:uid="{10985A6B-C7FF-4CD4-84FA-68A00F5C01F0}" name="Column5251"/>
    <tableColumn id="5257" xr3:uid="{13929C13-8091-464C-9210-E962FE9A426C}" name="Column5252"/>
    <tableColumn id="5258" xr3:uid="{1A682C75-7697-485B-B017-8195B81EFEF4}" name="Column5253"/>
    <tableColumn id="5259" xr3:uid="{FED03F89-3650-4E44-8750-FC4C50B4437F}" name="Column5254"/>
    <tableColumn id="5260" xr3:uid="{5AD933FE-0F06-4545-BE9B-863E83B2B198}" name="Column5255"/>
    <tableColumn id="5261" xr3:uid="{037EEF1F-D6A0-4E56-A4DE-2CD7CB2BE58A}" name="Column5256"/>
    <tableColumn id="5262" xr3:uid="{2992D143-D404-455A-990D-B6221A87C60B}" name="Column5257"/>
    <tableColumn id="5263" xr3:uid="{508CA01D-F573-4F41-8CE5-F56BF166C16E}" name="Column5258"/>
    <tableColumn id="5264" xr3:uid="{18E7B5F7-BE3B-441A-B172-5BDB9DB102AC}" name="Column5259"/>
    <tableColumn id="5265" xr3:uid="{86528E62-98DA-47FA-B645-B3E6243E306A}" name="Column5260"/>
    <tableColumn id="5266" xr3:uid="{B5135DEA-0BDF-48A0-B452-69730327429D}" name="Column5261"/>
    <tableColumn id="5267" xr3:uid="{7790A7C2-CD6F-42CA-8D3C-A20F9DC7AFF2}" name="Column5262"/>
    <tableColumn id="5268" xr3:uid="{54489A8B-698C-4D68-BF3B-617491A5A7F0}" name="Column5263"/>
    <tableColumn id="5269" xr3:uid="{FC599351-2F6D-4C46-845C-3D28EF60252A}" name="Column5264"/>
    <tableColumn id="5270" xr3:uid="{F18F49C3-D15C-4784-9A7F-9917072A5507}" name="Column5265"/>
    <tableColumn id="5271" xr3:uid="{1EEF6C14-34D4-41F1-A99C-66F4B4514B3A}" name="Column5266"/>
    <tableColumn id="5272" xr3:uid="{28095655-CDA5-4CDC-ADBE-5C2570D863D8}" name="Column5267"/>
    <tableColumn id="5273" xr3:uid="{60AD51D6-05D1-40C4-8339-73C5F050A84B}" name="Column5268"/>
    <tableColumn id="5274" xr3:uid="{94F470C3-0F2F-4D63-8F20-0E2E0A5451DF}" name="Column5269"/>
    <tableColumn id="5275" xr3:uid="{E64F1049-7364-49A8-98EB-7A19A49B4253}" name="Column5270"/>
    <tableColumn id="5276" xr3:uid="{BCFDF3F1-574D-4CE0-AC4F-D2C7FFB595DD}" name="Column5271"/>
    <tableColumn id="5277" xr3:uid="{54DECDB5-E211-4AC0-9454-9738DE0D0837}" name="Column5272"/>
    <tableColumn id="5278" xr3:uid="{824D4758-C7D8-46FB-82B1-85D182FB40F1}" name="Column5273"/>
    <tableColumn id="5279" xr3:uid="{D4CC190F-1045-4E27-961E-106C004ABCDE}" name="Column5274"/>
    <tableColumn id="5280" xr3:uid="{54C49450-847E-4AE1-9DDC-1480A0534FA6}" name="Column5275"/>
    <tableColumn id="5281" xr3:uid="{7CDE8BBC-EF5C-4270-99F2-A3A78105D0FC}" name="Column5276"/>
    <tableColumn id="5282" xr3:uid="{4937A352-5487-4B46-A2D5-2A229F6CFCF1}" name="Column5277"/>
    <tableColumn id="5283" xr3:uid="{6A717B4E-D381-4807-AD0F-6EEF36C42324}" name="Column5278"/>
    <tableColumn id="5284" xr3:uid="{6E64ED26-09F9-47C8-B4E3-5528EB80AA3A}" name="Column5279"/>
    <tableColumn id="5285" xr3:uid="{E554743D-9F2A-4938-88CF-F7A4A3665278}" name="Column5280"/>
    <tableColumn id="5286" xr3:uid="{5597338E-7C5E-4CE0-BDFF-CFDF5DDE1AA5}" name="Column5281"/>
    <tableColumn id="5287" xr3:uid="{3998FB23-58EE-4D3B-BF51-4C53E1FC2883}" name="Column5282"/>
    <tableColumn id="5288" xr3:uid="{FFE534A3-DB97-4D48-B248-169EB3D9EE55}" name="Column5283"/>
    <tableColumn id="5289" xr3:uid="{22E0DD60-D1D8-42F4-BFCE-8D45ADB87AE3}" name="Column5284"/>
    <tableColumn id="5290" xr3:uid="{33AC6FE0-3474-4605-85FD-3C2AB4F39566}" name="Column5285"/>
    <tableColumn id="5291" xr3:uid="{A7FD3E71-CCE4-47AA-B44D-B8CBB1F3147C}" name="Column5286"/>
    <tableColumn id="5292" xr3:uid="{022CA4A6-35BB-40EB-BC74-4769D942F1BF}" name="Column5287"/>
    <tableColumn id="5293" xr3:uid="{C696A41D-A5CA-4105-B742-C7E1E7E1FA12}" name="Column5288"/>
    <tableColumn id="5294" xr3:uid="{40F0D144-E0C4-4CBA-AE6F-DFD46D22397E}" name="Column5289"/>
    <tableColumn id="5295" xr3:uid="{3F9614D6-4114-473F-A574-C2C75BC7FCCC}" name="Column5290"/>
    <tableColumn id="5296" xr3:uid="{3611CE3D-744A-4565-8BE4-16AF3ED101FE}" name="Column5291"/>
    <tableColumn id="5297" xr3:uid="{8F9FC0A9-D501-44D3-B887-2C1086469E69}" name="Column5292"/>
    <tableColumn id="5298" xr3:uid="{2AA274D6-1602-4C99-9B03-10F90CDEB743}" name="Column5293"/>
    <tableColumn id="5299" xr3:uid="{E83E8606-A1A0-4562-BCDF-0A74B25CC891}" name="Column5294"/>
    <tableColumn id="5300" xr3:uid="{8A730C8B-E246-4814-AA5B-69EB47A90E82}" name="Column5295"/>
    <tableColumn id="5301" xr3:uid="{FFBAE0C1-08E8-4E18-AD4F-71BC595EE37E}" name="Column5296"/>
    <tableColumn id="5302" xr3:uid="{2862F902-0E8D-443C-8239-C919A58A2A16}" name="Column5297"/>
    <tableColumn id="5303" xr3:uid="{3072567A-EFA5-4250-A98B-31D58F22EA86}" name="Column5298"/>
    <tableColumn id="5304" xr3:uid="{276703F9-3BE0-4CC3-9492-D2069908A28F}" name="Column5299"/>
    <tableColumn id="5305" xr3:uid="{854059CA-108C-474A-8BE4-F28941E7CAFC}" name="Column5300"/>
    <tableColumn id="5306" xr3:uid="{9DB78FA2-5E1F-4513-A4B0-251691B671FD}" name="Column5301"/>
    <tableColumn id="5307" xr3:uid="{79684C01-843F-4DE5-AA07-1269E067BEE4}" name="Column5302"/>
    <tableColumn id="5308" xr3:uid="{0A684FFA-62D2-4055-88B5-A4D5DA7651A0}" name="Column5303"/>
    <tableColumn id="5309" xr3:uid="{4AE680C5-10D0-4AB1-BB96-78AF3721B87E}" name="Column5304"/>
    <tableColumn id="5310" xr3:uid="{4A63B753-6A5E-46AF-B823-A0F7EEF6416D}" name="Column5305"/>
    <tableColumn id="5311" xr3:uid="{FAC2A83C-C436-4A1F-AB97-5A61F46B7E3E}" name="Column5306"/>
    <tableColumn id="5312" xr3:uid="{49C52CC0-4C2E-414E-B4F1-48C78ECD6EDD}" name="Column5307"/>
    <tableColumn id="5313" xr3:uid="{95B5757E-D625-490C-A1CA-C2FFB2DC5182}" name="Column5308"/>
    <tableColumn id="5314" xr3:uid="{77D1BCC4-656B-42A6-9893-8C2956D4E832}" name="Column5309"/>
    <tableColumn id="5315" xr3:uid="{2AD1C3DB-E410-4C0D-BDAF-7C49A1B07CBE}" name="Column5310"/>
    <tableColumn id="5316" xr3:uid="{2E809647-10F8-44F8-A7D5-6DB93CDE820E}" name="Column5311"/>
    <tableColumn id="5317" xr3:uid="{651062A7-A3B3-467B-A214-C40AC4B226B3}" name="Column5312"/>
    <tableColumn id="5318" xr3:uid="{E67C528F-6DB6-4D5B-A244-5CB73802974D}" name="Column5313"/>
    <tableColumn id="5319" xr3:uid="{DC298CBD-BB21-4EF0-9807-26D399238F2D}" name="Column5314"/>
    <tableColumn id="5320" xr3:uid="{E7A05A35-AED1-4804-9B49-049928558CD1}" name="Column5315"/>
    <tableColumn id="5321" xr3:uid="{4922D8DA-E740-4C26-9DE9-7318E1861A6B}" name="Column5316"/>
    <tableColumn id="5322" xr3:uid="{E1570A54-AE6F-4B31-BAB9-14A356F6AC98}" name="Column5317"/>
    <tableColumn id="5323" xr3:uid="{E6DCADD2-A89F-40F0-A409-2CBD802EF807}" name="Column5318"/>
    <tableColumn id="5324" xr3:uid="{CDC63631-7550-4B78-A557-234DCC73C3EE}" name="Column5319"/>
    <tableColumn id="5325" xr3:uid="{CBCD3A2F-BBC8-40B4-B76D-9DD48C1AB0DE}" name="Column5320"/>
    <tableColumn id="5326" xr3:uid="{4299515D-D9DD-40F2-9B1F-4396C0A8FFA0}" name="Column5321"/>
    <tableColumn id="5327" xr3:uid="{604E21B3-820D-4492-BAF8-D97B0899E4A2}" name="Column5322"/>
    <tableColumn id="5328" xr3:uid="{58056056-AEC0-44DE-B019-2F5B69367CC8}" name="Column5323"/>
    <tableColumn id="5329" xr3:uid="{D24F98A5-DC93-46E0-90E6-EE0C68CF11EE}" name="Column5324"/>
    <tableColumn id="5330" xr3:uid="{98F67FE6-9EE1-4160-B69A-1DDEFC01B6B0}" name="Column5325"/>
    <tableColumn id="5331" xr3:uid="{C7200772-E018-4760-B57D-BA2C184AE894}" name="Column5326"/>
    <tableColumn id="5332" xr3:uid="{22D40B41-2240-44D1-B149-B046B5228E8B}" name="Column5327"/>
    <tableColumn id="5333" xr3:uid="{5E2AAC9E-14A0-4375-8FCD-535F9799F25F}" name="Column5328"/>
    <tableColumn id="5334" xr3:uid="{EC3923CB-38A5-4F3C-81AD-55150CF24A47}" name="Column5329"/>
    <tableColumn id="5335" xr3:uid="{BA377D5F-7131-4727-BE6C-6921D66CB618}" name="Column5330"/>
    <tableColumn id="5336" xr3:uid="{CCD2C271-727F-461B-A721-456B9B84ED12}" name="Column5331"/>
    <tableColumn id="5337" xr3:uid="{AF4ED370-A093-42E9-83AA-79D4140CBDAD}" name="Column5332"/>
    <tableColumn id="5338" xr3:uid="{847DA21A-5AA8-4E7B-AFC5-44BFB6EDF74E}" name="Column5333"/>
    <tableColumn id="5339" xr3:uid="{415343E9-2681-41EC-AAED-6236B14AB12B}" name="Column5334"/>
    <tableColumn id="5340" xr3:uid="{40922FC6-0D3B-4814-8F45-438E7C398BC2}" name="Column5335"/>
    <tableColumn id="5341" xr3:uid="{A9CE55FB-B605-43CF-8510-7BAACDAA8BCF}" name="Column5336"/>
    <tableColumn id="5342" xr3:uid="{209419DC-168B-4A49-9CF3-1D8B7A02E99A}" name="Column5337"/>
    <tableColumn id="5343" xr3:uid="{5C71DC37-B628-476A-BAEA-A3DEE2033B22}" name="Column5338"/>
    <tableColumn id="5344" xr3:uid="{5251213E-87FB-415B-AC2A-65E6CABEC3D9}" name="Column5339"/>
    <tableColumn id="5345" xr3:uid="{C9B13D9A-95BB-49AD-9AEF-26DDF18A5A3A}" name="Column5340"/>
    <tableColumn id="5346" xr3:uid="{57A8BD56-EDE9-4088-AB1F-B6AE50AFF34B}" name="Column5341"/>
    <tableColumn id="5347" xr3:uid="{01A022C6-EE9F-43ED-A165-5350A65D0DED}" name="Column5342"/>
    <tableColumn id="5348" xr3:uid="{1BECB6EB-3CF9-4DB3-A765-2097CEDACBEF}" name="Column5343"/>
    <tableColumn id="5349" xr3:uid="{241FC39C-C57B-4B5C-9DEE-EA1143B99E02}" name="Column5344"/>
    <tableColumn id="5350" xr3:uid="{F0F422A7-CA86-400D-BB53-3A7C721457A8}" name="Column5345"/>
    <tableColumn id="5351" xr3:uid="{D318C81E-4046-4665-A2C5-C239E80F072B}" name="Column5346"/>
    <tableColumn id="5352" xr3:uid="{3B347545-1B5D-4796-8B15-1ACBB263C87F}" name="Column5347"/>
    <tableColumn id="5353" xr3:uid="{EDDB8242-5A7B-4A9B-AA15-3B3D097CCD0C}" name="Column5348"/>
    <tableColumn id="5354" xr3:uid="{9AADAABB-8669-4E5D-827C-B96822A1559F}" name="Column5349"/>
    <tableColumn id="5355" xr3:uid="{183A65A3-5B14-4D6A-9878-013EC21A7593}" name="Column5350"/>
    <tableColumn id="5356" xr3:uid="{1F294AF4-9A1D-479C-9938-920DEEFFD97F}" name="Column5351"/>
    <tableColumn id="5357" xr3:uid="{EF3F79DB-65C5-4353-ABB7-201DB116FBC3}" name="Column5352"/>
    <tableColumn id="5358" xr3:uid="{20EB827C-E3AC-48F1-9598-5D954BF1CC28}" name="Column5353"/>
    <tableColumn id="5359" xr3:uid="{FF7C0194-611C-44E9-82A3-944731ED8DAE}" name="Column5354"/>
    <tableColumn id="5360" xr3:uid="{19911AD7-A203-4A4E-92D1-788390DE9CD7}" name="Column5355"/>
    <tableColumn id="5361" xr3:uid="{BF357C00-8FB2-47C3-9450-945C9EAFF258}" name="Column5356"/>
    <tableColumn id="5362" xr3:uid="{1C7D5C42-4ED6-433F-BB64-582FB0109330}" name="Column5357"/>
    <tableColumn id="5363" xr3:uid="{3AA91FA6-E7D1-4112-B472-EAB94A338B8E}" name="Column5358"/>
    <tableColumn id="5364" xr3:uid="{13669A86-CF21-4EF5-BB37-397E22D758E8}" name="Column5359"/>
    <tableColumn id="5365" xr3:uid="{8CC21BEF-A80C-4A56-9A82-0933E0F70FC6}" name="Column5360"/>
    <tableColumn id="5366" xr3:uid="{D1BD7583-E8A5-40A3-8BC6-12EE0D49C73C}" name="Column5361"/>
    <tableColumn id="5367" xr3:uid="{56F0E1B2-9311-478E-ACC1-8181D1ACC791}" name="Column5362"/>
    <tableColumn id="5368" xr3:uid="{A8208479-78BF-4E8D-80B3-7E7C17BC1F62}" name="Column5363"/>
    <tableColumn id="5369" xr3:uid="{8F6B4EAD-8E56-4237-8B5C-01DAAE467F0C}" name="Column5364"/>
    <tableColumn id="5370" xr3:uid="{8E8B3F2C-64F1-41AF-870C-C1BCC9CC03CA}" name="Column5365"/>
    <tableColumn id="5371" xr3:uid="{7E7D93ED-AA90-4646-AFAF-4D1830B8F145}" name="Column5366"/>
    <tableColumn id="5372" xr3:uid="{04045BB0-61D8-4893-99AA-D8E247F40936}" name="Column5367"/>
    <tableColumn id="5373" xr3:uid="{431A1E4F-D975-4445-ADC3-AE731EF12011}" name="Column5368"/>
    <tableColumn id="5374" xr3:uid="{97E021EB-E2CF-4C3A-92FB-8D030AC8CE94}" name="Column5369"/>
    <tableColumn id="5375" xr3:uid="{1EFDF655-13C8-4460-8981-D12A13CE1C1C}" name="Column5370"/>
    <tableColumn id="5376" xr3:uid="{5DCC9389-F7F4-4F9F-B191-3DDE16935DCC}" name="Column5371"/>
    <tableColumn id="5377" xr3:uid="{09075197-E455-424E-B337-792BE048C401}" name="Column5372"/>
    <tableColumn id="5378" xr3:uid="{C9ABDF41-9A46-4447-A002-55CA10931B8B}" name="Column5373"/>
    <tableColumn id="5379" xr3:uid="{D7AD0919-020C-45EF-9369-55AD9B85A97B}" name="Column5374"/>
    <tableColumn id="5380" xr3:uid="{2FD19566-5A6A-4524-BFCE-ED4053C58614}" name="Column5375"/>
    <tableColumn id="5381" xr3:uid="{20E46BB1-84FC-4D63-BC0A-5EB9AFAE6700}" name="Column5376"/>
    <tableColumn id="5382" xr3:uid="{0BA63DA6-8C66-4847-8274-B5A1CF984A99}" name="Column5377"/>
    <tableColumn id="5383" xr3:uid="{8DADB4D0-E2D3-4513-90E9-3CBBE760AAAE}" name="Column5378"/>
    <tableColumn id="5384" xr3:uid="{B8A19677-D80D-4994-A7E4-F68491A0EFCF}" name="Column5379"/>
    <tableColumn id="5385" xr3:uid="{DC959C1D-8350-4C1C-8CA7-76D392384D7A}" name="Column5380"/>
    <tableColumn id="5386" xr3:uid="{8482312D-8A60-4B95-8367-71F3EF31C32C}" name="Column5381"/>
    <tableColumn id="5387" xr3:uid="{2E27C39F-D280-429E-8EBC-3CDCDD2E5695}" name="Column5382"/>
    <tableColumn id="5388" xr3:uid="{066C8365-E8CC-4896-8C56-D5076F3D46D0}" name="Column5383"/>
    <tableColumn id="5389" xr3:uid="{1FA08BB1-B97B-4C63-9D76-79E2D4D895FD}" name="Column5384"/>
    <tableColumn id="5390" xr3:uid="{D8AE7769-6596-4BB9-8F3B-ABDAF179559F}" name="Column5385"/>
    <tableColumn id="5391" xr3:uid="{333B7AED-FDF0-40BC-80A1-4AB1470AC47A}" name="Column5386"/>
    <tableColumn id="5392" xr3:uid="{83E5C64E-4842-405B-9F5F-45FB62E66990}" name="Column5387"/>
    <tableColumn id="5393" xr3:uid="{D15EF366-FD4E-440C-83C6-EB63BFF9CFF2}" name="Column5388"/>
    <tableColumn id="5394" xr3:uid="{C5883636-7C69-4B91-8D7B-CA59BF756C15}" name="Column5389"/>
    <tableColumn id="5395" xr3:uid="{FB823EC1-2715-4D76-9F41-232EC8C61ECB}" name="Column5390"/>
    <tableColumn id="5396" xr3:uid="{4141BAFD-ED4D-4698-99AE-134420275046}" name="Column5391"/>
    <tableColumn id="5397" xr3:uid="{9DE6ABEE-9790-444E-92EA-A821A2E2CD68}" name="Column5392"/>
    <tableColumn id="5398" xr3:uid="{F804CE92-4FC3-4D78-B9AF-4144C1559A2C}" name="Column5393"/>
    <tableColumn id="5399" xr3:uid="{114B1C7E-4931-46CC-A923-168440F75A31}" name="Column5394"/>
    <tableColumn id="5400" xr3:uid="{81E20B6F-40B7-4FD9-8C96-76408E67A503}" name="Column5395"/>
    <tableColumn id="5401" xr3:uid="{5D3F44EE-B8E4-44AA-BEF0-32F5C85D33C7}" name="Column5396"/>
    <tableColumn id="5402" xr3:uid="{F125890C-E099-4391-9239-0C8307FDDAFE}" name="Column5397"/>
    <tableColumn id="5403" xr3:uid="{D43BFFAD-8A11-4ADC-8B47-C7076870A9FB}" name="Column5398"/>
    <tableColumn id="5404" xr3:uid="{E029D4F8-D3EA-4A45-9C01-AF7A9E00D95B}" name="Column5399"/>
    <tableColumn id="5405" xr3:uid="{2152B6F9-8EE0-4794-984E-D716131ABF7B}" name="Column5400"/>
    <tableColumn id="5406" xr3:uid="{6AB4701C-5506-476F-A9D7-F9F628D1E5A5}" name="Column5401"/>
    <tableColumn id="5407" xr3:uid="{F14CAFB9-525D-474B-A0B0-5007BEC0BB40}" name="Column5402"/>
    <tableColumn id="5408" xr3:uid="{53B0EE23-40D9-4252-920F-AE02D4ED5D00}" name="Column5403"/>
    <tableColumn id="5409" xr3:uid="{80519A93-7A8D-4C6B-B7F0-03236E2D09B4}" name="Column5404"/>
    <tableColumn id="5410" xr3:uid="{1E1F8E2B-F25B-499C-8F70-07CB20461E8A}" name="Column5405"/>
    <tableColumn id="5411" xr3:uid="{93540C63-6B5A-4BB1-AC89-2C7F449E073D}" name="Column5406"/>
    <tableColumn id="5412" xr3:uid="{6DD987C6-8BDD-49BF-92EB-4590E8C2B8B2}" name="Column5407"/>
    <tableColumn id="5413" xr3:uid="{DF2C293C-6555-4E86-B10A-9792D95052C9}" name="Column5408"/>
    <tableColumn id="5414" xr3:uid="{855DA530-2717-4D76-B8F2-FBA9BBA66609}" name="Column5409"/>
    <tableColumn id="5415" xr3:uid="{8F066443-275F-42D7-9055-5DD425F5FF35}" name="Column5410"/>
    <tableColumn id="5416" xr3:uid="{074EB5BF-1064-486B-AC8E-217F7733BDEF}" name="Column5411"/>
    <tableColumn id="5417" xr3:uid="{099C3060-8DBE-4475-A3C7-2C6AAC1DFEA7}" name="Column5412"/>
    <tableColumn id="5418" xr3:uid="{38F5FB1B-68A9-42C6-BCE6-89393CCEFE5B}" name="Column5413"/>
    <tableColumn id="5419" xr3:uid="{BCF916D4-8C6B-40AD-8CB1-5F3B25829089}" name="Column5414"/>
    <tableColumn id="5420" xr3:uid="{E729B616-B502-48B5-AB00-A91FC79AC5DE}" name="Column5415"/>
    <tableColumn id="5421" xr3:uid="{7F2A26CA-5A28-47D6-B5BC-DAC987E8D743}" name="Column5416"/>
    <tableColumn id="5422" xr3:uid="{AE59113E-D845-4C68-8F19-BFA23D834BCA}" name="Column5417"/>
    <tableColumn id="5423" xr3:uid="{29336998-8935-4149-B0B3-327AA7071EB0}" name="Column5418"/>
    <tableColumn id="5424" xr3:uid="{C2358D6F-859C-4A37-BB8B-3F1867C1BE1E}" name="Column5419"/>
    <tableColumn id="5425" xr3:uid="{71A381FA-41CD-438D-9ED5-C3EF5DD3587F}" name="Column5420"/>
    <tableColumn id="5426" xr3:uid="{2761FC1B-D37F-4E53-B63E-E8698EB5885C}" name="Column5421"/>
    <tableColumn id="5427" xr3:uid="{BBB9FD16-A434-49C2-987C-05A8760423C2}" name="Column5422"/>
    <tableColumn id="5428" xr3:uid="{5AC33BFD-0E34-4EE6-81F6-3245169BB015}" name="Column5423"/>
    <tableColumn id="5429" xr3:uid="{B2476D20-EE06-4C2B-9BDA-B6B719825F25}" name="Column5424"/>
    <tableColumn id="5430" xr3:uid="{BF48962C-CC72-4D85-97E6-BDCBC2BD7C66}" name="Column5425"/>
    <tableColumn id="5431" xr3:uid="{F94E10E5-009D-4E1A-B530-DE190B9E2BE9}" name="Column5426"/>
    <tableColumn id="5432" xr3:uid="{235C8F43-042C-451B-A72A-05CF734FF7D5}" name="Column5427"/>
    <tableColumn id="5433" xr3:uid="{32D052BB-4814-4873-8E62-BC2F2D1C0DDB}" name="Column5428"/>
    <tableColumn id="5434" xr3:uid="{DCDDD014-1C8B-4509-B4CC-5941FAD906FD}" name="Column5429"/>
    <tableColumn id="5435" xr3:uid="{9160DC09-B7E4-4D73-AA62-7452AB05E877}" name="Column5430"/>
    <tableColumn id="5436" xr3:uid="{C37B9767-BB0A-44E3-9C00-9D91BF883D0F}" name="Column5431"/>
    <tableColumn id="5437" xr3:uid="{F87E00FF-25B0-4325-BE8A-BDB033530CEE}" name="Column5432"/>
    <tableColumn id="5438" xr3:uid="{04EA648D-91D9-4C3D-8F8F-C1F597C4DCA5}" name="Column5433"/>
    <tableColumn id="5439" xr3:uid="{4A665979-239E-4C24-AC4F-57141A1136E9}" name="Column5434"/>
    <tableColumn id="5440" xr3:uid="{34164D22-1E57-4402-8847-7FB0BAE25BCA}" name="Column5435"/>
    <tableColumn id="5441" xr3:uid="{8650C379-A94F-4483-849C-FD9BC78702D6}" name="Column5436"/>
    <tableColumn id="5442" xr3:uid="{E9F8BA1E-732C-47D7-83D7-F5D6B58D8DA6}" name="Column5437"/>
    <tableColumn id="5443" xr3:uid="{9EB55D24-EC70-4DB6-BB45-E346D4001944}" name="Column5438"/>
    <tableColumn id="5444" xr3:uid="{9042EB2E-1DA5-41EE-839B-1185B48AA6E2}" name="Column5439"/>
    <tableColumn id="5445" xr3:uid="{C966523E-7843-4C60-80C4-8D900A6818A8}" name="Column5440"/>
    <tableColumn id="5446" xr3:uid="{B9B1796D-A9AB-4C5F-811E-F4AD24342707}" name="Column5441"/>
    <tableColumn id="5447" xr3:uid="{07108CE2-5958-49F9-B132-DA5D8C323DDE}" name="Column5442"/>
    <tableColumn id="5448" xr3:uid="{D72E81E4-E570-465F-8FFE-57029517664A}" name="Column5443"/>
    <tableColumn id="5449" xr3:uid="{F9AB7804-99C9-431F-BA56-AA18A3361612}" name="Column5444"/>
    <tableColumn id="5450" xr3:uid="{25804AAD-B3D2-4D31-9E0E-03F6E2DB3EF2}" name="Column5445"/>
    <tableColumn id="5451" xr3:uid="{7C37B3FF-5DDD-44BC-9FBE-47BDB90D6FD6}" name="Column5446"/>
    <tableColumn id="5452" xr3:uid="{294BEAA3-7503-4307-8CBA-DBC2ECF9104F}" name="Column5447"/>
    <tableColumn id="5453" xr3:uid="{4B173F6A-7A99-470F-BAD8-67253A319EC1}" name="Column5448"/>
    <tableColumn id="5454" xr3:uid="{1014479C-3B0D-4B0C-9D39-C18DE0D9FC6A}" name="Column5449"/>
    <tableColumn id="5455" xr3:uid="{5A29750E-DB33-4F87-8EB9-C71E7866B460}" name="Column5450"/>
    <tableColumn id="5456" xr3:uid="{CCACF596-339B-4E6C-8C23-DF0D48B56B51}" name="Column5451"/>
    <tableColumn id="5457" xr3:uid="{7D1398A8-4565-4943-86AF-5AEAEF2A1D0B}" name="Column5452"/>
    <tableColumn id="5458" xr3:uid="{C6BEC78F-AA8B-4D0B-8FB1-382BEB12FAA1}" name="Column5453"/>
    <tableColumn id="5459" xr3:uid="{F701DEA8-5493-4D13-B549-1AACFC6DD6D2}" name="Column5454"/>
    <tableColumn id="5460" xr3:uid="{5F0E803B-7AAC-4263-8A08-8F43C9DBA6E1}" name="Column5455"/>
    <tableColumn id="5461" xr3:uid="{4873690C-5BDE-46D5-880A-4029FB75D2CE}" name="Column5456"/>
    <tableColumn id="5462" xr3:uid="{FB6151DA-6FCE-4BAA-90E6-8E900554F798}" name="Column5457"/>
    <tableColumn id="5463" xr3:uid="{047CD48D-7ECA-43D4-9C65-2025C03A473C}" name="Column5458"/>
    <tableColumn id="5464" xr3:uid="{647402F1-A09D-4A39-9C8B-788FC3525D70}" name="Column5459"/>
    <tableColumn id="5465" xr3:uid="{F48761F9-7EA0-47FD-95FE-03D8BAE42180}" name="Column5460"/>
    <tableColumn id="5466" xr3:uid="{08953C53-1058-4692-A7F8-F3BDB04D37E3}" name="Column5461"/>
    <tableColumn id="5467" xr3:uid="{3AB6DDD2-7E34-498C-B762-D88694EDD2B6}" name="Column5462"/>
    <tableColumn id="5468" xr3:uid="{002ECCC0-633B-4105-B7B2-14BE46A8652B}" name="Column5463"/>
    <tableColumn id="5469" xr3:uid="{0FB7CCF6-6C4D-4014-80FC-4E4F4CD096DC}" name="Column5464"/>
    <tableColumn id="5470" xr3:uid="{6D124E1C-7972-4DC9-8AE2-0A5B93B2FF5D}" name="Column5465"/>
    <tableColumn id="5471" xr3:uid="{34F19B50-B50B-4A64-AAAA-A680EBFA206F}" name="Column5466"/>
    <tableColumn id="5472" xr3:uid="{6DB77D1D-28C3-49F0-AC61-4C93C74339D9}" name="Column5467"/>
    <tableColumn id="5473" xr3:uid="{7B7E3ECF-C455-4D74-87B9-09ACDD3426CF}" name="Column5468"/>
    <tableColumn id="5474" xr3:uid="{91CDC383-BAAC-40BE-9D4B-DA0AC2404A09}" name="Column5469"/>
    <tableColumn id="5475" xr3:uid="{24CE4CDD-E2C7-4315-904C-0608C119F0F6}" name="Column5470"/>
    <tableColumn id="5476" xr3:uid="{CAFC43A6-BA78-4C01-9FE1-9684365235F4}" name="Column5471"/>
    <tableColumn id="5477" xr3:uid="{800CC79F-A4E7-4B24-A0E0-33190DA44FD0}" name="Column5472"/>
    <tableColumn id="5478" xr3:uid="{19E5D928-83C6-4C62-9F80-CB001D317E90}" name="Column5473"/>
    <tableColumn id="5479" xr3:uid="{F1BC6056-4E1F-4520-AD1F-55E3611A7F0A}" name="Column5474"/>
    <tableColumn id="5480" xr3:uid="{226F813A-1F03-44F1-8A0B-8409650F179A}" name="Column5475"/>
    <tableColumn id="5481" xr3:uid="{7DA139A3-38BE-42AC-B350-FD367D07F208}" name="Column5476"/>
    <tableColumn id="5482" xr3:uid="{4B8E7102-3F24-4467-95D0-7C6F03069C1A}" name="Column5477"/>
    <tableColumn id="5483" xr3:uid="{7D8FDA9C-1868-43D8-9AF1-FAAFCBF01C5E}" name="Column5478"/>
    <tableColumn id="5484" xr3:uid="{26549F10-3351-4A85-B125-2D1AC93EA01E}" name="Column5479"/>
    <tableColumn id="5485" xr3:uid="{90AB72EC-5FF3-4287-BC06-2F9F45547B70}" name="Column5480"/>
    <tableColumn id="5486" xr3:uid="{8B4E47C9-CDF0-47B4-818D-5B2B23FFA340}" name="Column5481"/>
    <tableColumn id="5487" xr3:uid="{E5D3D529-2938-4D5E-9829-7CDF7AA68C82}" name="Column5482"/>
    <tableColumn id="5488" xr3:uid="{DAF31AE1-323A-49B5-9CC8-73F1BFF6F1CE}" name="Column5483"/>
    <tableColumn id="5489" xr3:uid="{35578CA9-091A-440C-81B9-F3F3B6D13315}" name="Column5484"/>
    <tableColumn id="5490" xr3:uid="{7228521B-54DF-4F4F-A6C7-3BB9EB4EAEDB}" name="Column5485"/>
    <tableColumn id="5491" xr3:uid="{6DCED34D-B264-4EF3-A915-3AB59E317AC9}" name="Column5486"/>
    <tableColumn id="5492" xr3:uid="{4C340E23-B168-400E-B442-88FBFA6B0255}" name="Column5487"/>
    <tableColumn id="5493" xr3:uid="{510BDEB0-90CD-421C-ADEF-5911AA16349D}" name="Column5488"/>
    <tableColumn id="5494" xr3:uid="{D07B62DB-2A06-4EA1-AF03-2222FE6C2DCC}" name="Column5489"/>
    <tableColumn id="5495" xr3:uid="{4E44AFE3-9297-499E-81D5-48CA3258A416}" name="Column5490"/>
    <tableColumn id="5496" xr3:uid="{25F771E8-9A33-4486-9782-387DCB020773}" name="Column5491"/>
    <tableColumn id="5497" xr3:uid="{F83CF5BD-32B5-4837-9BC7-C93B960DE1C3}" name="Column5492"/>
    <tableColumn id="5498" xr3:uid="{45754422-33AB-4EC7-A0DC-E589A079E349}" name="Column5493"/>
    <tableColumn id="5499" xr3:uid="{CF993BBE-FCCF-41C5-9ACD-707B35F1AFED}" name="Column5494"/>
    <tableColumn id="5500" xr3:uid="{C09656B0-BD45-4BB6-B436-3718122188DB}" name="Column5495"/>
    <tableColumn id="5501" xr3:uid="{43D61359-B0D2-42F6-8F8A-06C7D495FB14}" name="Column5496"/>
    <tableColumn id="5502" xr3:uid="{D08BD2AD-9615-4AE8-8522-1DE088592A2E}" name="Column5497"/>
    <tableColumn id="5503" xr3:uid="{BEDA7682-C611-47D1-B688-4AC37AE3AD90}" name="Column5498"/>
    <tableColumn id="5504" xr3:uid="{07E43588-91B2-4106-AF6E-58896D23AF58}" name="Column5499"/>
    <tableColumn id="5505" xr3:uid="{3164B857-8FAD-4BA7-948E-AA2CCD9587E7}" name="Column5500"/>
    <tableColumn id="5506" xr3:uid="{528662F9-1B45-499F-BDEF-DA28A520F89A}" name="Column5501"/>
    <tableColumn id="5507" xr3:uid="{266F9EBD-8263-4F2A-87F9-4A73454D435A}" name="Column5502"/>
    <tableColumn id="5508" xr3:uid="{961C4967-06CD-49C9-A245-563FD329F986}" name="Column5503"/>
    <tableColumn id="5509" xr3:uid="{8B1B22A0-71E7-4FAA-8E4C-4D72928B9F06}" name="Column5504"/>
    <tableColumn id="5510" xr3:uid="{FE153C85-707B-4C62-980F-2BE125B9B0F5}" name="Column5505"/>
    <tableColumn id="5511" xr3:uid="{9CF133ED-8E5B-48B2-B5EB-061C9748F966}" name="Column5506"/>
    <tableColumn id="5512" xr3:uid="{47F82BBF-BEE7-4A88-8446-257F7D6BD182}" name="Column5507"/>
    <tableColumn id="5513" xr3:uid="{6C6EE5D2-4D24-459F-9858-5A681F3FF1CE}" name="Column5508"/>
    <tableColumn id="5514" xr3:uid="{DA529C3E-F712-41AB-A7BE-2BF0B9A83D26}" name="Column5509"/>
    <tableColumn id="5515" xr3:uid="{B6157928-18A6-4AB6-8E91-9A55A4ADDEAC}" name="Column5510"/>
    <tableColumn id="5516" xr3:uid="{8F4EBBD9-37F2-44C6-9E42-AB476133F2F4}" name="Column5511"/>
    <tableColumn id="5517" xr3:uid="{6FA3E366-A3AE-492B-BB51-28912E891947}" name="Column5512"/>
    <tableColumn id="5518" xr3:uid="{57D46FA1-C95C-4B75-B02E-C5939C55EDB3}" name="Column5513"/>
    <tableColumn id="5519" xr3:uid="{D99C6F87-B763-4225-82AF-4CB4F2DADB9A}" name="Column5514"/>
    <tableColumn id="5520" xr3:uid="{9D183C37-E67B-4F6C-A170-AD77DCCA306A}" name="Column5515"/>
    <tableColumn id="5521" xr3:uid="{4A79B1C5-E72C-4D35-B606-0E7A1270776E}" name="Column5516"/>
    <tableColumn id="5522" xr3:uid="{1D87AA7E-52B1-4FA3-8D70-471B684C47A8}" name="Column5517"/>
    <tableColumn id="5523" xr3:uid="{FF364743-ECF7-43AE-9C16-ACEF36012B91}" name="Column5518"/>
    <tableColumn id="5524" xr3:uid="{EFD65F19-A528-41EE-A3A0-3FBB5F6E0D58}" name="Column5519"/>
    <tableColumn id="5525" xr3:uid="{EA45983D-2DFE-42D6-9BC3-1FB4B062C30D}" name="Column5520"/>
    <tableColumn id="5526" xr3:uid="{8937FD96-5942-48DE-9AE8-4EE126BC2870}" name="Column5521"/>
    <tableColumn id="5527" xr3:uid="{BDBF3D78-1F8A-4DC6-96BC-CE85416E2A49}" name="Column5522"/>
    <tableColumn id="5528" xr3:uid="{9E27CEB0-A84D-4E2F-B8BD-B84B332C66C5}" name="Column5523"/>
    <tableColumn id="5529" xr3:uid="{3706B8FA-9D11-428D-AC35-E68C372D77F4}" name="Column5524"/>
    <tableColumn id="5530" xr3:uid="{587CC937-F44B-418F-8F9E-2D01E409D81E}" name="Column5525"/>
    <tableColumn id="5531" xr3:uid="{CB9611D5-DD9D-4BB0-86E0-94B816EE0B6C}" name="Column5526"/>
    <tableColumn id="5532" xr3:uid="{2642E150-3E5F-4FE5-A014-5BDBC9068D42}" name="Column5527"/>
    <tableColumn id="5533" xr3:uid="{968C1244-356D-43C3-8C91-49972475DFC0}" name="Column5528"/>
    <tableColumn id="5534" xr3:uid="{8B7FFCE6-0B74-4EF3-937E-8B3AD95FBE69}" name="Column5529"/>
    <tableColumn id="5535" xr3:uid="{CD8151C5-ECF2-45ED-A0A0-048CD2A1453A}" name="Column5530"/>
    <tableColumn id="5536" xr3:uid="{6A63A7A7-41AD-430D-82EB-A014732B5997}" name="Column5531"/>
    <tableColumn id="5537" xr3:uid="{7766D52A-8749-4CF6-A01F-9E7C714AFDC9}" name="Column5532"/>
    <tableColumn id="5538" xr3:uid="{AD5BE7B2-FF3C-4D66-8A20-6054E6DE2C45}" name="Column5533"/>
    <tableColumn id="5539" xr3:uid="{A2310320-9E33-462D-B972-749E71211EC1}" name="Column5534"/>
    <tableColumn id="5540" xr3:uid="{C7938982-9D6A-48DE-8DAE-605CEB971D8D}" name="Column5535"/>
    <tableColumn id="5541" xr3:uid="{37C478A6-EE7A-4DA0-9BAC-BB49A70A81F8}" name="Column5536"/>
    <tableColumn id="5542" xr3:uid="{BEDFDA9D-DED5-4594-8D0C-C50EA96DE806}" name="Column5537"/>
    <tableColumn id="5543" xr3:uid="{2BAC6A04-DCEF-439C-80AA-B7B1401268B3}" name="Column5538"/>
    <tableColumn id="5544" xr3:uid="{E0201F74-A03D-41AF-BC72-B89881DBD83D}" name="Column5539"/>
    <tableColumn id="5545" xr3:uid="{4733BBAA-D6A6-4346-8D0E-3745BC6C4E2F}" name="Column5540"/>
    <tableColumn id="5546" xr3:uid="{1FE64100-52D0-4BD3-B92D-04C73AB15AAC}" name="Column5541"/>
    <tableColumn id="5547" xr3:uid="{E1FD3A9D-F87D-458C-BA04-63B67A0369D9}" name="Column5542"/>
    <tableColumn id="5548" xr3:uid="{DA0BD184-DECC-4D9F-8D70-47C6EEDEE173}" name="Column5543"/>
    <tableColumn id="5549" xr3:uid="{1580D0E9-7803-42B6-9EF1-F930BE1B773B}" name="Column5544"/>
    <tableColumn id="5550" xr3:uid="{058F2C0E-A660-47B8-B689-488F4F35B134}" name="Column5545"/>
    <tableColumn id="5551" xr3:uid="{BAF09171-A8FA-405D-B8A4-815004E41804}" name="Column5546"/>
    <tableColumn id="5552" xr3:uid="{1761D259-C428-4DD2-A2D2-956884242345}" name="Column5547"/>
    <tableColumn id="5553" xr3:uid="{FE9A8EA4-77E5-44A4-9CE1-281F878B7E25}" name="Column5548"/>
    <tableColumn id="5554" xr3:uid="{CE27F372-D901-48AD-93B4-95900423E614}" name="Column5549"/>
    <tableColumn id="5555" xr3:uid="{C54C1EFE-E347-446F-8ADC-4589BF12E97D}" name="Column5550"/>
    <tableColumn id="5556" xr3:uid="{24AF956C-58F5-46A3-B7D4-C1EEBCE59497}" name="Column5551"/>
    <tableColumn id="5557" xr3:uid="{7B0BC579-CA57-4BAE-AE42-EE40B412B47E}" name="Column5552"/>
    <tableColumn id="5558" xr3:uid="{8D4AF902-0364-4FA1-8250-9B857EFD755E}" name="Column5553"/>
    <tableColumn id="5559" xr3:uid="{CBFFB9D9-5E39-4CAD-B224-DF70BFE28BCD}" name="Column5554"/>
    <tableColumn id="5560" xr3:uid="{C94F6149-9C91-40BC-99D3-63FD63C1F666}" name="Column5555"/>
    <tableColumn id="5561" xr3:uid="{73F44445-CECA-46B3-B9C6-2207419A12DC}" name="Column5556"/>
    <tableColumn id="5562" xr3:uid="{3F26408B-BF05-49F1-B873-E2CB9789B4EA}" name="Column5557"/>
    <tableColumn id="5563" xr3:uid="{2E806198-262E-44CB-A7F6-FDE46066781F}" name="Column5558"/>
    <tableColumn id="5564" xr3:uid="{7500D266-8B73-482A-8C8F-C5E172331EBC}" name="Column5559"/>
    <tableColumn id="5565" xr3:uid="{DFE161D4-44D9-4470-B711-402BA307DEE5}" name="Column5560"/>
    <tableColumn id="5566" xr3:uid="{7516AE81-DF25-412C-90F2-7B831DC21C06}" name="Column5561"/>
    <tableColumn id="5567" xr3:uid="{2B5A9893-3986-447A-98A5-22D875A714A6}" name="Column5562"/>
    <tableColumn id="5568" xr3:uid="{57870FC0-7880-49A3-9CB7-47968911DA0E}" name="Column5563"/>
    <tableColumn id="5569" xr3:uid="{465E7138-FF21-427A-A483-38600BFB4586}" name="Column5564"/>
    <tableColumn id="5570" xr3:uid="{07786DE0-C1A3-4F89-B206-540BF433FECD}" name="Column5565"/>
    <tableColumn id="5571" xr3:uid="{CC9EF469-1E28-445A-B441-389AD05791D1}" name="Column5566"/>
    <tableColumn id="5572" xr3:uid="{00378126-5A94-4772-A4DA-C646F0549851}" name="Column5567"/>
    <tableColumn id="5573" xr3:uid="{7DBA7C09-1851-47E0-A0A6-9C71ABF40F68}" name="Column5568"/>
    <tableColumn id="5574" xr3:uid="{1E9A27F1-A612-44F6-8749-F2F932DB2BEC}" name="Column5569"/>
    <tableColumn id="5575" xr3:uid="{8DE6960D-7260-452D-A10A-39D7D09101DF}" name="Column5570"/>
    <tableColumn id="5576" xr3:uid="{8577C9E5-0BF7-4DD4-A50D-197CF185756F}" name="Column5571"/>
    <tableColumn id="5577" xr3:uid="{C92CE5D4-BA7A-47DD-8915-F52572064969}" name="Column5572"/>
    <tableColumn id="5578" xr3:uid="{97F5A7AB-66E5-493F-8904-5C4878A13ADC}" name="Column5573"/>
    <tableColumn id="5579" xr3:uid="{83BA2BF1-4357-4A67-A69A-78C39504436A}" name="Column5574"/>
    <tableColumn id="5580" xr3:uid="{007DBCB7-2AE4-415C-A220-1C651BFFAE76}" name="Column5575"/>
    <tableColumn id="5581" xr3:uid="{CC76E42D-C7C4-4A32-AF5A-E68433A163C7}" name="Column5576"/>
    <tableColumn id="5582" xr3:uid="{6A6F2067-2A8A-48D8-86A3-C375ABD64525}" name="Column5577"/>
    <tableColumn id="5583" xr3:uid="{6776B966-7F28-43F6-BE64-CC2EC86D00B6}" name="Column5578"/>
    <tableColumn id="5584" xr3:uid="{698A123A-3FF2-4C2B-9B3D-2AA5FF29977E}" name="Column5579"/>
    <tableColumn id="5585" xr3:uid="{005B07C8-705F-4832-9FFA-B1D1316CD620}" name="Column5580"/>
    <tableColumn id="5586" xr3:uid="{EA7F0825-CA79-4920-B889-A3B515DD6828}" name="Column5581"/>
    <tableColumn id="5587" xr3:uid="{296BF0C3-2282-47F5-AE87-FAE0F6D6E563}" name="Column5582"/>
    <tableColumn id="5588" xr3:uid="{E61DCE4B-4D20-4588-8673-1B9AC6C3C03F}" name="Column5583"/>
    <tableColumn id="5589" xr3:uid="{462D276D-C7D1-4C49-ABEC-784DA497F9C3}" name="Column5584"/>
    <tableColumn id="5590" xr3:uid="{1661DF6D-D285-4996-B0EC-33054F84E15F}" name="Column5585"/>
    <tableColumn id="5591" xr3:uid="{ECEFE691-78C1-4754-8669-1A663958553C}" name="Column5586"/>
    <tableColumn id="5592" xr3:uid="{9FAA198A-7587-4DDC-8809-9FB0FD462A57}" name="Column5587"/>
    <tableColumn id="5593" xr3:uid="{314D3C16-EC05-497F-A8CA-3AFB5B05CB71}" name="Column5588"/>
    <tableColumn id="5594" xr3:uid="{7BA3718F-E128-47BB-B81E-CD9C81350961}" name="Column5589"/>
    <tableColumn id="5595" xr3:uid="{1889E24D-1FA4-4872-B0EB-50ECA8B02E92}" name="Column5590"/>
    <tableColumn id="5596" xr3:uid="{F4B54E82-4BBC-4F69-B23E-58517FACC480}" name="Column5591"/>
    <tableColumn id="5597" xr3:uid="{58A32758-68FA-434A-A0D2-B4B7B76B5E0E}" name="Column5592"/>
    <tableColumn id="5598" xr3:uid="{D50E120A-3C53-4C07-98D7-E3E335DA1717}" name="Column5593"/>
    <tableColumn id="5599" xr3:uid="{C30BF300-D864-48D7-9732-1A6888E067FD}" name="Column5594"/>
    <tableColumn id="5600" xr3:uid="{A6CEBBDE-60B8-421C-A72D-B0B43FA8418B}" name="Column5595"/>
    <tableColumn id="5601" xr3:uid="{B2E67525-1839-4431-A2F1-CB1217284300}" name="Column5596"/>
    <tableColumn id="5602" xr3:uid="{21159EF2-8052-4279-BC14-58191C6B0B9A}" name="Column5597"/>
    <tableColumn id="5603" xr3:uid="{47B90DD4-5BD4-42C1-A34F-75BE8D86244A}" name="Column5598"/>
    <tableColumn id="5604" xr3:uid="{E31C29BB-5208-442C-BD56-C4CCC42D19A4}" name="Column5599"/>
    <tableColumn id="5605" xr3:uid="{5CF1FB53-BA54-4EBC-BEBB-C7D44F94115E}" name="Column5600"/>
    <tableColumn id="5606" xr3:uid="{5355D198-0CCC-405E-AC3B-0411D2F5A73F}" name="Column5601"/>
    <tableColumn id="5607" xr3:uid="{72F086BA-6BD2-42DE-AE1B-B142F2C4AB86}" name="Column5602"/>
    <tableColumn id="5608" xr3:uid="{BD63D234-AE8D-4BDE-B9F0-863EAD0B3E07}" name="Column5603"/>
    <tableColumn id="5609" xr3:uid="{65183ABE-9233-4082-A7D9-90EC3803A74E}" name="Column5604"/>
    <tableColumn id="5610" xr3:uid="{3651EEC1-4853-456B-9836-58A9E998FB77}" name="Column5605"/>
    <tableColumn id="5611" xr3:uid="{8EB721E3-D591-4233-B209-5B042EB60EB0}" name="Column5606"/>
    <tableColumn id="5612" xr3:uid="{DBEB4A46-1628-4081-826E-5F4EAFC5A36C}" name="Column5607"/>
    <tableColumn id="5613" xr3:uid="{E5238A95-3382-4F46-9C2A-D4C3CD82D85A}" name="Column5608"/>
    <tableColumn id="5614" xr3:uid="{08AC5C1B-DB7F-4D3D-B7A3-75FBFE10F06C}" name="Column5609"/>
    <tableColumn id="5615" xr3:uid="{5EE55E0D-4842-48D2-AB5B-429B1A31F9E7}" name="Column5610"/>
    <tableColumn id="5616" xr3:uid="{423FD9D2-B99B-4269-84F3-3620F440753F}" name="Column5611"/>
    <tableColumn id="5617" xr3:uid="{C9912524-D487-4283-8D22-EDF5989B5C54}" name="Column5612"/>
    <tableColumn id="5618" xr3:uid="{87CFAF93-7505-4F11-AAC1-BC3E1DB1019D}" name="Column5613"/>
    <tableColumn id="5619" xr3:uid="{A402776A-474D-48ED-85B6-59273AAF9FD0}" name="Column5614"/>
    <tableColumn id="5620" xr3:uid="{EBC4A657-C603-4C6D-B2E9-821795F21E04}" name="Column5615"/>
    <tableColumn id="5621" xr3:uid="{A6AC9E9F-C6E8-4695-BC28-147477F8817B}" name="Column5616"/>
    <tableColumn id="5622" xr3:uid="{072EBB72-1A0F-409F-A7E0-1E86CEA17F70}" name="Column5617"/>
    <tableColumn id="5623" xr3:uid="{D5DEC0D8-72B9-4FE2-BF37-43325982B50F}" name="Column5618"/>
    <tableColumn id="5624" xr3:uid="{952E4D6A-E1EB-46BE-8CA2-CE8C7D08957D}" name="Column5619"/>
    <tableColumn id="5625" xr3:uid="{D274A0F8-D37E-41B7-A927-6466C2D8B470}" name="Column5620"/>
    <tableColumn id="5626" xr3:uid="{DD008190-18B5-4519-9674-89D47C2D6047}" name="Column5621"/>
    <tableColumn id="5627" xr3:uid="{7058979E-B297-4EAF-AD03-99FAAB0E86AE}" name="Column5622"/>
    <tableColumn id="5628" xr3:uid="{D4C50B55-8B90-4146-B359-04D50E0B8161}" name="Column5623"/>
    <tableColumn id="5629" xr3:uid="{52836C58-1085-4BC9-8BF5-E51615B05C33}" name="Column5624"/>
    <tableColumn id="5630" xr3:uid="{2542F744-7FDB-4B20-A9E6-81F8B6F9FAFB}" name="Column5625"/>
    <tableColumn id="5631" xr3:uid="{1E1F024C-E998-4AF1-B3AB-1ACDE56EC478}" name="Column5626"/>
    <tableColumn id="5632" xr3:uid="{4F411C24-6731-42A1-9CE3-5DD086A23685}" name="Column5627"/>
    <tableColumn id="5633" xr3:uid="{05F63A0F-D47C-4DB7-8331-62B1AF84A6D1}" name="Column5628"/>
    <tableColumn id="5634" xr3:uid="{E079E7DC-4516-435D-B4D1-3878890614AA}" name="Column5629"/>
    <tableColumn id="5635" xr3:uid="{0A3CD4F6-6CB7-483C-A46C-AD9319A62F3B}" name="Column5630"/>
    <tableColumn id="5636" xr3:uid="{3DB68A48-157D-40D2-AF9C-4F0E8D55F969}" name="Column5631"/>
    <tableColumn id="5637" xr3:uid="{899E29A1-D678-4D42-9818-83AF20373535}" name="Column5632"/>
    <tableColumn id="5638" xr3:uid="{B6C0A54F-1E79-444D-85F9-07899885E89A}" name="Column5633"/>
    <tableColumn id="5639" xr3:uid="{A8303821-4169-4F87-9B9C-DD7393F2A76B}" name="Column5634"/>
    <tableColumn id="5640" xr3:uid="{1C62025B-FA5D-4FFD-857C-4D67301105E1}" name="Column5635"/>
    <tableColumn id="5641" xr3:uid="{230F21C0-FCE8-4835-BA58-217730109113}" name="Column5636"/>
    <tableColumn id="5642" xr3:uid="{7A4C487F-A540-4945-904B-46AE66CC65B4}" name="Column5637"/>
    <tableColumn id="5643" xr3:uid="{7100FB5E-113D-4B16-AA53-DD8537B043E6}" name="Column5638"/>
    <tableColumn id="5644" xr3:uid="{C1AD77A0-3793-4F25-854D-E10EC271FF9A}" name="Column5639"/>
    <tableColumn id="5645" xr3:uid="{F7AE6D8D-7AA3-42D2-ABF7-79E8D845A7D7}" name="Column5640"/>
    <tableColumn id="5646" xr3:uid="{AA92BD1F-67FA-492B-91C2-F52777FBE8C2}" name="Column5641"/>
    <tableColumn id="5647" xr3:uid="{25F2D970-D14F-4617-ABD3-9D4C9E170A5D}" name="Column5642"/>
    <tableColumn id="5648" xr3:uid="{D7FD7BBC-2640-426F-BFCA-D44707B823CE}" name="Column5643"/>
    <tableColumn id="5649" xr3:uid="{A17DD97D-BC24-44E5-8EB2-0C732DCEC1EB}" name="Column5644"/>
    <tableColumn id="5650" xr3:uid="{B8969C3F-46F2-4D91-B6CE-364139BE0872}" name="Column5645"/>
    <tableColumn id="5651" xr3:uid="{6FF71F71-FE8B-48C1-BD24-4515B202EA03}" name="Column5646"/>
    <tableColumn id="5652" xr3:uid="{D4C842A9-CA02-4B35-B286-07630FF4E8C0}" name="Column5647"/>
    <tableColumn id="5653" xr3:uid="{AF5E60C0-B805-4573-BA3E-55A915EF3EEF}" name="Column5648"/>
    <tableColumn id="5654" xr3:uid="{31497360-B95B-42EF-AA29-FC2782087735}" name="Column5649"/>
    <tableColumn id="5655" xr3:uid="{0E439A48-795F-4410-B05C-FD4FBAE66FE7}" name="Column5650"/>
    <tableColumn id="5656" xr3:uid="{D24884E7-9C58-4B32-B825-69C02AE6137E}" name="Column5651"/>
    <tableColumn id="5657" xr3:uid="{86B24D6F-7FE6-428C-8BBB-2E86B17D5FCD}" name="Column5652"/>
    <tableColumn id="5658" xr3:uid="{09DC71B4-DEF6-40A1-9A13-80B17BAB70EB}" name="Column5653"/>
    <tableColumn id="5659" xr3:uid="{ADE40336-A8CB-449C-91B6-B4560428BE9A}" name="Column5654"/>
    <tableColumn id="5660" xr3:uid="{D523A201-09E4-43F1-B259-3F394372DE23}" name="Column5655"/>
    <tableColumn id="5661" xr3:uid="{51742270-1D9F-429D-BC4C-3E8D631B35AD}" name="Column5656"/>
    <tableColumn id="5662" xr3:uid="{9E2B6558-3D49-4385-85DB-7F53CA453653}" name="Column5657"/>
    <tableColumn id="5663" xr3:uid="{05C2930B-2572-4FE4-BEE8-CBCA13C0E0E5}" name="Column5658"/>
    <tableColumn id="5664" xr3:uid="{FDC5C717-CF80-4BBC-AE8A-3254AEC6ABD1}" name="Column5659"/>
    <tableColumn id="5665" xr3:uid="{321C3886-4841-4098-9359-445087B691EF}" name="Column5660"/>
    <tableColumn id="5666" xr3:uid="{E215D749-4B99-4A04-9A44-D19C5889A732}" name="Column5661"/>
    <tableColumn id="5667" xr3:uid="{9E8C3991-087C-4EC1-A838-4D47DE365905}" name="Column5662"/>
    <tableColumn id="5668" xr3:uid="{97C64F60-C60F-4742-A1DF-0DA04CE3C663}" name="Column5663"/>
    <tableColumn id="5669" xr3:uid="{E27DC54C-3AEE-4DF1-A225-CBB8BF8CECD1}" name="Column5664"/>
    <tableColumn id="5670" xr3:uid="{F904E578-13BC-494D-9785-A127351E71E6}" name="Column5665"/>
    <tableColumn id="5671" xr3:uid="{A7CFA8F1-593C-4650-A6C6-9BF32CDF8965}" name="Column5666"/>
    <tableColumn id="5672" xr3:uid="{033F1C53-5140-429C-9F0F-416DC5A7A6FD}" name="Column5667"/>
    <tableColumn id="5673" xr3:uid="{257F583A-B26E-4C7B-BDCF-D4945E1FD2D1}" name="Column5668"/>
    <tableColumn id="5674" xr3:uid="{C64DCF5D-E35A-4532-B80E-CB1DD494A0BF}" name="Column5669"/>
    <tableColumn id="5675" xr3:uid="{92F725AA-4006-4B9F-A479-F7D03741969B}" name="Column5670"/>
    <tableColumn id="5676" xr3:uid="{CA1FA069-7879-4281-A169-B9FFC64429DF}" name="Column5671"/>
    <tableColumn id="5677" xr3:uid="{8CA360FE-D104-4755-AACB-FA3E9CDAC4A7}" name="Column5672"/>
    <tableColumn id="5678" xr3:uid="{68598C49-4EBC-4CED-9708-5E0143455AA1}" name="Column5673"/>
    <tableColumn id="5679" xr3:uid="{6FFB451C-7887-431E-B718-FFBDA40A8F1E}" name="Column5674"/>
    <tableColumn id="5680" xr3:uid="{D4F8FCEA-9F36-4207-BA75-1C0926ECFF73}" name="Column5675"/>
    <tableColumn id="5681" xr3:uid="{C865977C-D1BA-4765-B016-733E4A59E4A2}" name="Column5676"/>
    <tableColumn id="5682" xr3:uid="{0C261FCB-0485-4473-9423-5CA3D3AFB651}" name="Column5677"/>
    <tableColumn id="5683" xr3:uid="{812E46C6-8EC6-480E-8901-2F8C3CFEEE46}" name="Column5678"/>
    <tableColumn id="5684" xr3:uid="{09F04F42-E0F7-4A92-B685-B1105681BB66}" name="Column5679"/>
    <tableColumn id="5685" xr3:uid="{7BE6B3E4-C733-4CFF-B18E-3675088D4881}" name="Column5680"/>
    <tableColumn id="5686" xr3:uid="{D91A461D-4BFA-4DAF-BBBE-6F95F3F2DDAF}" name="Column5681"/>
    <tableColumn id="5687" xr3:uid="{8244DD75-189C-43F3-A597-1603F56CEB0A}" name="Column5682"/>
    <tableColumn id="5688" xr3:uid="{E87B2A26-8D49-4836-ABD5-18CFD728487B}" name="Column5683"/>
    <tableColumn id="5689" xr3:uid="{A91D86C5-4BE2-4EE8-A541-D25460EAF9DB}" name="Column5684"/>
    <tableColumn id="5690" xr3:uid="{FAD4247A-1D31-41E9-9562-19343A2CBED2}" name="Column5685"/>
    <tableColumn id="5691" xr3:uid="{272655AB-01B1-4B89-82D9-86516805E1CB}" name="Column5686"/>
    <tableColumn id="5692" xr3:uid="{E4A24AF6-C778-42AD-A491-AD5DAE5F49A5}" name="Column5687"/>
    <tableColumn id="5693" xr3:uid="{DCEA2FDD-9388-4566-A66A-BD180A3D057E}" name="Column5688"/>
    <tableColumn id="5694" xr3:uid="{BCDBDE21-28CF-4A5F-BA56-4DD25F658796}" name="Column5689"/>
    <tableColumn id="5695" xr3:uid="{18ECF9F7-7B8F-4D42-8BF3-FCD423886C10}" name="Column5690"/>
    <tableColumn id="5696" xr3:uid="{161BCF4F-8658-4E4D-8A35-067285FE0E36}" name="Column5691"/>
    <tableColumn id="5697" xr3:uid="{33663341-0A1E-453A-9815-7D05F8087919}" name="Column5692"/>
    <tableColumn id="5698" xr3:uid="{C952A312-32ED-4B8E-AF09-CDEAC3BD5FF7}" name="Column5693"/>
    <tableColumn id="5699" xr3:uid="{FFE4B45C-2854-46F7-A4A3-23EC2B520851}" name="Column5694"/>
    <tableColumn id="5700" xr3:uid="{40131F37-3148-4130-BED1-C547A255BFCA}" name="Column5695"/>
    <tableColumn id="5701" xr3:uid="{7CA7F5BD-00C1-47CA-8F61-F12341424DB5}" name="Column5696"/>
    <tableColumn id="5702" xr3:uid="{F53F3661-DF5D-4177-A456-A8964238055C}" name="Column5697"/>
    <tableColumn id="5703" xr3:uid="{CC72A81B-A10A-45EC-9548-E81AB2E531F9}" name="Column5698"/>
    <tableColumn id="5704" xr3:uid="{767D5319-1B0E-4FCF-A255-E9CA58BD47B7}" name="Column5699"/>
    <tableColumn id="5705" xr3:uid="{25AF6D94-502E-40A3-BFCC-1659202891A5}" name="Column5700"/>
    <tableColumn id="5706" xr3:uid="{B7FAFE5B-08DF-48B5-9025-B48A33C08BFB}" name="Column5701"/>
    <tableColumn id="5707" xr3:uid="{39668217-0A54-4E2E-8E5F-4295715AA085}" name="Column5702"/>
    <tableColumn id="5708" xr3:uid="{EB555D96-D41E-4649-9F82-3AFD27C0F715}" name="Column5703"/>
    <tableColumn id="5709" xr3:uid="{1FB451AE-FB1F-4001-84EE-F232AA355664}" name="Column5704"/>
    <tableColumn id="5710" xr3:uid="{37ED8E0E-F5C0-4BC1-A38E-0C6F4CE8B387}" name="Column5705"/>
    <tableColumn id="5711" xr3:uid="{88E2B8E6-E7C1-4594-9DBB-6D230CC1DFE0}" name="Column5706"/>
    <tableColumn id="5712" xr3:uid="{A27120A5-2A97-41C9-9C4B-51F0BD0096A1}" name="Column5707"/>
    <tableColumn id="5713" xr3:uid="{A7A85265-FD73-4B6E-BC7E-07C01057250A}" name="Column5708"/>
    <tableColumn id="5714" xr3:uid="{3C0D73AB-DF4E-439D-92DA-36FB4192F329}" name="Column5709"/>
    <tableColumn id="5715" xr3:uid="{86167E9B-D36F-4D2B-BD6B-4F871A8CBCBB}" name="Column5710"/>
    <tableColumn id="5716" xr3:uid="{2910DE73-C1A0-4908-8C4E-A995B57CF5F4}" name="Column5711"/>
    <tableColumn id="5717" xr3:uid="{D121F74B-3B76-4BB3-80D6-F63A9D40AB73}" name="Column5712"/>
    <tableColumn id="5718" xr3:uid="{07CC34E0-CC99-4FD7-B965-543C1DF18DA7}" name="Column5713"/>
    <tableColumn id="5719" xr3:uid="{2C2D1D30-1701-4EE2-BC5F-C0EDFE975257}" name="Column5714"/>
    <tableColumn id="5720" xr3:uid="{C89C0A07-9A4E-4258-A9F5-3F798D93CB05}" name="Column5715"/>
    <tableColumn id="5721" xr3:uid="{88133EE5-4BA1-4AB8-84D6-43080F02477C}" name="Column5716"/>
    <tableColumn id="5722" xr3:uid="{FA8D4942-4F63-48C6-9A0D-578AD0ADAAF8}" name="Column5717"/>
    <tableColumn id="5723" xr3:uid="{8E9C7E26-3576-4AD3-A8EF-6EB8FB36DD5D}" name="Column5718"/>
    <tableColumn id="5724" xr3:uid="{79542F16-25AB-4490-924F-F275DA62EC94}" name="Column5719"/>
    <tableColumn id="5725" xr3:uid="{A27A38FE-686B-4E71-86E6-2817DFB3F526}" name="Column5720"/>
    <tableColumn id="5726" xr3:uid="{241318E0-E17E-4D2B-AB85-BBA4FED016C0}" name="Column5721"/>
    <tableColumn id="5727" xr3:uid="{5C843FCD-055D-4400-BE4E-034CDDB77B68}" name="Column5722"/>
    <tableColumn id="5728" xr3:uid="{BFAED80B-8E55-4884-96EB-103F7EE5ADAA}" name="Column5723"/>
    <tableColumn id="5729" xr3:uid="{6167A89B-15DE-49D3-B27B-BE4146C51B8D}" name="Column5724"/>
    <tableColumn id="5730" xr3:uid="{62E5C7B2-1FCA-4BE5-B916-B8D1B06F03F4}" name="Column5725"/>
    <tableColumn id="5731" xr3:uid="{DE358905-0BDE-4765-869F-347E6AC30862}" name="Column5726"/>
    <tableColumn id="5732" xr3:uid="{172B726B-8A72-47EA-A14C-5070D7B5AC9B}" name="Column5727"/>
    <tableColumn id="5733" xr3:uid="{2E65B2A3-655A-4D86-A62A-4B999F32BCC4}" name="Column5728"/>
    <tableColumn id="5734" xr3:uid="{2167A2F2-DEF1-42C0-A104-905142DD08B3}" name="Column5729"/>
    <tableColumn id="5735" xr3:uid="{A19602AB-F173-4325-8B66-BD0731D0E1A6}" name="Column5730"/>
    <tableColumn id="5736" xr3:uid="{F9F3A90E-79DF-4728-9157-8A8B2490D18D}" name="Column5731"/>
    <tableColumn id="5737" xr3:uid="{4DC6369C-EDC5-4D86-9B20-18C226FF2B26}" name="Column5732"/>
    <tableColumn id="5738" xr3:uid="{BA3B0455-4B5D-40FF-A643-695DDF1A680B}" name="Column5733"/>
    <tableColumn id="5739" xr3:uid="{0C80F346-5CD9-42CA-87E1-197E8062F50D}" name="Column5734"/>
    <tableColumn id="5740" xr3:uid="{4DB58C0E-F09A-48B0-BD6C-9934871C0928}" name="Column5735"/>
    <tableColumn id="5741" xr3:uid="{1901D5F6-701E-435C-BFC3-AC513A2EAC53}" name="Column5736"/>
    <tableColumn id="5742" xr3:uid="{73D08C69-7324-4F05-8181-5180A74EC46A}" name="Column5737"/>
    <tableColumn id="5743" xr3:uid="{ACC7E8FC-8B31-4BC2-A117-7587EB707B9D}" name="Column5738"/>
    <tableColumn id="5744" xr3:uid="{6B803634-0AA1-474D-9D01-D93A2E3E3C70}" name="Column5739"/>
    <tableColumn id="5745" xr3:uid="{516ECBB9-9C20-4251-88BD-29B585241656}" name="Column5740"/>
    <tableColumn id="5746" xr3:uid="{89341860-2CD8-4CE4-8A94-B2974092A23D}" name="Column5741"/>
    <tableColumn id="5747" xr3:uid="{2DBD0AAB-4A93-4534-A416-67F0BB43B55B}" name="Column5742"/>
    <tableColumn id="5748" xr3:uid="{B3952043-52BD-49FF-9A5A-269944BCE33F}" name="Column5743"/>
    <tableColumn id="5749" xr3:uid="{1B22AC5F-B01D-424F-90CC-70313F1A2F04}" name="Column5744"/>
    <tableColumn id="5750" xr3:uid="{3E8F8C01-6A4A-4B43-98FE-655FC2A57802}" name="Column5745"/>
    <tableColumn id="5751" xr3:uid="{A1E514F4-4228-46CA-BCA9-CDD89DDE9FEA}" name="Column5746"/>
    <tableColumn id="5752" xr3:uid="{C7D54A29-E32E-4DBE-8BA0-7BEB067B7F34}" name="Column5747"/>
    <tableColumn id="5753" xr3:uid="{9BEA2463-4957-47E5-9DA7-CB05633649A3}" name="Column5748"/>
    <tableColumn id="5754" xr3:uid="{55BAB2D2-806A-497A-A616-B7254F35A174}" name="Column5749"/>
    <tableColumn id="5755" xr3:uid="{8C09B6E7-AE29-468A-94B2-93C1573D14BF}" name="Column5750"/>
    <tableColumn id="5756" xr3:uid="{1F93AB01-6CFF-4C25-84D9-93E16C4C2E21}" name="Column5751"/>
    <tableColumn id="5757" xr3:uid="{8EFFE1EE-BB76-45BC-A82D-5646BAECA130}" name="Column5752"/>
    <tableColumn id="5758" xr3:uid="{4D37274D-EC10-4FF9-A05B-1BAE60A13692}" name="Column5753"/>
    <tableColumn id="5759" xr3:uid="{B9C74695-E625-4BA6-97E4-A883264976F7}" name="Column5754"/>
    <tableColumn id="5760" xr3:uid="{7EDC7949-BA52-40B9-A45F-1B8B742FE325}" name="Column5755"/>
    <tableColumn id="5761" xr3:uid="{41230894-AB83-4EEA-99BA-E7CC60DE5B2F}" name="Column5756"/>
    <tableColumn id="5762" xr3:uid="{86850EF7-B0F6-429C-B968-DBFCCF392439}" name="Column5757"/>
    <tableColumn id="5763" xr3:uid="{2DCC33EE-1E21-45FE-8B42-8CBF4DD27BB1}" name="Column5758"/>
    <tableColumn id="5764" xr3:uid="{9C05010B-611C-4096-ADF1-3C3456020348}" name="Column5759"/>
    <tableColumn id="5765" xr3:uid="{65C18FAA-7DF6-46B6-8E5D-5EAE61B5B031}" name="Column5760"/>
    <tableColumn id="5766" xr3:uid="{FE4FE020-FDAD-4CF4-B692-259FB106E837}" name="Column5761"/>
    <tableColumn id="5767" xr3:uid="{FAD94E47-B03C-4944-923E-2BBFE0554805}" name="Column5762"/>
    <tableColumn id="5768" xr3:uid="{F667520A-63E0-4397-B807-D9D9E67D6AF9}" name="Column5763"/>
    <tableColumn id="5769" xr3:uid="{5E9F8EC8-1AAE-42F0-AE12-1978FEF00133}" name="Column5764"/>
    <tableColumn id="5770" xr3:uid="{F1487DA7-5574-4FEE-BA8E-F55DE7C99FF3}" name="Column5765"/>
    <tableColumn id="5771" xr3:uid="{40001828-1CF3-4D83-9294-39919D9EB9FD}" name="Column5766"/>
    <tableColumn id="5772" xr3:uid="{A35E321B-E706-4E6C-AA47-96B2A4EF4403}" name="Column5767"/>
    <tableColumn id="5773" xr3:uid="{7C0547AB-A007-42DD-A711-E24458D43170}" name="Column5768"/>
    <tableColumn id="5774" xr3:uid="{29C9DA46-4E9A-4B52-9EC2-6054AF5DC169}" name="Column5769"/>
    <tableColumn id="5775" xr3:uid="{4953A711-5ED7-40A5-86E6-72652643613B}" name="Column5770"/>
    <tableColumn id="5776" xr3:uid="{02EA8C71-2234-4F3D-9F52-C777C89658E4}" name="Column5771"/>
    <tableColumn id="5777" xr3:uid="{860E6488-098B-45EE-809E-E54FEE07BB0B}" name="Column5772"/>
    <tableColumn id="5778" xr3:uid="{8FCCFDB9-6F0A-426A-93B1-9A25F2A0E887}" name="Column5773"/>
    <tableColumn id="5779" xr3:uid="{4135692A-5069-498D-BE72-D035673A4BCC}" name="Column5774"/>
    <tableColumn id="5780" xr3:uid="{9A29AF6C-8DD7-4C7D-B416-410CC7D08D65}" name="Column5775"/>
    <tableColumn id="5781" xr3:uid="{A2FEF5ED-4FE3-45CD-BB7B-5BA219702FA2}" name="Column5776"/>
    <tableColumn id="5782" xr3:uid="{CE31D56C-C1CD-48AC-83A9-4993E1B5D5CE}" name="Column5777"/>
    <tableColumn id="5783" xr3:uid="{3AD9AB39-43D6-4B4A-BE4B-87DBB83DA353}" name="Column5778"/>
    <tableColumn id="5784" xr3:uid="{C5838B2D-DF6E-4CA3-A89C-489137F4F6A6}" name="Column5779"/>
    <tableColumn id="5785" xr3:uid="{1F9182B4-AB4A-4B0A-A607-024D61C09E04}" name="Column5780"/>
    <tableColumn id="5786" xr3:uid="{BEF9A364-9336-4DB2-A720-5FE7CA489791}" name="Column5781"/>
    <tableColumn id="5787" xr3:uid="{9A01B493-E856-483B-8D00-C448221FD1EF}" name="Column5782"/>
    <tableColumn id="5788" xr3:uid="{7EAD35FF-B93B-4778-8DC4-06ABE9860011}" name="Column5783"/>
    <tableColumn id="5789" xr3:uid="{BF3C645C-A734-42BD-8B0D-BA275078482B}" name="Column5784"/>
    <tableColumn id="5790" xr3:uid="{567D6DD5-F29F-4450-BF75-F2C834B1F61E}" name="Column5785"/>
    <tableColumn id="5791" xr3:uid="{BB0C8010-37B9-4CE2-B718-A783FCA24D81}" name="Column5786"/>
    <tableColumn id="5792" xr3:uid="{2E280CED-C7A0-4B96-9B94-7B0594343C31}" name="Column5787"/>
    <tableColumn id="5793" xr3:uid="{39BCCCF2-A9F1-4616-83AA-350909BE8030}" name="Column5788"/>
    <tableColumn id="5794" xr3:uid="{05C363C8-0907-447A-9EF0-9F3F51F32810}" name="Column5789"/>
    <tableColumn id="5795" xr3:uid="{71E85B2B-36B1-41BF-9DC3-5DC974687437}" name="Column5790"/>
    <tableColumn id="5796" xr3:uid="{3015C28F-B963-46DB-9DFB-89D1BB7DDEC6}" name="Column5791"/>
    <tableColumn id="5797" xr3:uid="{A5B28CE3-2CC7-4E40-9291-93BCFE79289D}" name="Column5792"/>
    <tableColumn id="5798" xr3:uid="{9A503A7E-2A94-448D-A2CD-ABF9E57E4D77}" name="Column5793"/>
    <tableColumn id="5799" xr3:uid="{B5970069-4410-4EA0-BAE9-94E176E8E4BA}" name="Column5794"/>
    <tableColumn id="5800" xr3:uid="{9C77E70B-E3CE-434C-99A1-D2FC04DF9AD7}" name="Column5795"/>
    <tableColumn id="5801" xr3:uid="{7063F098-3226-45FD-B475-87BF4A8C05F2}" name="Column5796"/>
    <tableColumn id="5802" xr3:uid="{9CE3514C-4A1F-4786-A030-F94292F257F7}" name="Column5797"/>
    <tableColumn id="5803" xr3:uid="{1DF954AB-A1E5-4B34-A032-65737D4A5DF0}" name="Column5798"/>
    <tableColumn id="5804" xr3:uid="{943CAE0D-86D8-4C04-991E-000C5052ADCB}" name="Column5799"/>
    <tableColumn id="5805" xr3:uid="{5952A502-D7C8-490E-80CA-31D89F019DBD}" name="Column5800"/>
    <tableColumn id="5806" xr3:uid="{CA29B5A8-B6D1-4603-AD88-0A34DABA36BD}" name="Column5801"/>
    <tableColumn id="5807" xr3:uid="{BB367430-4989-4383-92C2-C5611E433920}" name="Column5802"/>
    <tableColumn id="5808" xr3:uid="{A4623F77-E49D-4B35-9197-8BCEF84BF3D4}" name="Column5803"/>
    <tableColumn id="5809" xr3:uid="{B6AE798A-4AC0-47EB-80F6-5A0061C10B5B}" name="Column5804"/>
    <tableColumn id="5810" xr3:uid="{2111297A-2517-45C2-8767-77631130F937}" name="Column5805"/>
    <tableColumn id="5811" xr3:uid="{E516DD3B-3546-4DB6-8D82-CC98F83F0774}" name="Column5806"/>
    <tableColumn id="5812" xr3:uid="{055AEEF4-9FCA-4331-88EE-06B98F7E6FC5}" name="Column5807"/>
    <tableColumn id="5813" xr3:uid="{494D586C-8B2E-43C1-81A3-2E73A5377351}" name="Column5808"/>
    <tableColumn id="5814" xr3:uid="{519AFC38-0242-4EE9-AF7A-AB48D6EC46BA}" name="Column5809"/>
    <tableColumn id="5815" xr3:uid="{434583ED-13CC-4F64-AF35-2781DE8B46F5}" name="Column5810"/>
    <tableColumn id="5816" xr3:uid="{FD2E350B-8D96-4836-A367-2C51BB86BEE7}" name="Column5811"/>
    <tableColumn id="5817" xr3:uid="{8A013F84-0EF6-46CF-9C09-70EF5964FD63}" name="Column5812"/>
    <tableColumn id="5818" xr3:uid="{569B2DB5-F99B-4CFE-9C37-D281466BF550}" name="Column5813"/>
    <tableColumn id="5819" xr3:uid="{F85D8504-F9D5-4A2C-9268-C5AE3D195575}" name="Column5814"/>
    <tableColumn id="5820" xr3:uid="{1390C714-0364-449A-B73A-5C9D593CBDC5}" name="Column5815"/>
    <tableColumn id="5821" xr3:uid="{907B92D1-7AF2-4368-86F5-825AE27DED5F}" name="Column5816"/>
    <tableColumn id="5822" xr3:uid="{1926C370-B97C-4FCB-9BE2-F86BE5AB9C74}" name="Column5817"/>
    <tableColumn id="5823" xr3:uid="{63A2D8F8-8EE2-4C9C-8F3F-D43684797114}" name="Column5818"/>
    <tableColumn id="5824" xr3:uid="{756CCF38-DE23-4159-91DD-18BD171134C5}" name="Column5819"/>
    <tableColumn id="5825" xr3:uid="{EBA56420-45EF-4E99-957F-9DB461A549F9}" name="Column5820"/>
    <tableColumn id="5826" xr3:uid="{A355B5A2-258D-474B-813A-B8AB476196EE}" name="Column5821"/>
    <tableColumn id="5827" xr3:uid="{B8106995-4596-46A6-9B1B-6F1A8894CE75}" name="Column5822"/>
    <tableColumn id="5828" xr3:uid="{D4CD006B-2482-42E4-969B-875AA7B6EA16}" name="Column5823"/>
    <tableColumn id="5829" xr3:uid="{F170AAE2-79C7-4172-A4FE-7FAC22C34575}" name="Column5824"/>
    <tableColumn id="5830" xr3:uid="{03E23464-17C0-40E2-A5E4-047EF1CB2683}" name="Column5825"/>
    <tableColumn id="5831" xr3:uid="{976552CF-348D-40A6-9242-9C843D762626}" name="Column5826"/>
    <tableColumn id="5832" xr3:uid="{64F20415-003A-4AF2-988E-5B2DE4EBC155}" name="Column5827"/>
    <tableColumn id="5833" xr3:uid="{296A2E3A-5AD5-4202-83C8-6FDC2A7BE571}" name="Column5828"/>
    <tableColumn id="5834" xr3:uid="{E24E9878-14FA-4AAE-B27C-F33D84744D2B}" name="Column5829"/>
    <tableColumn id="5835" xr3:uid="{EBFD5F8F-1250-43EA-A6B7-BBE56FD4083B}" name="Column5830"/>
    <tableColumn id="5836" xr3:uid="{189A209B-F562-47F2-8440-871F7C394D03}" name="Column5831"/>
    <tableColumn id="5837" xr3:uid="{93F05CE5-8443-4DEA-8912-29D2DF570042}" name="Column5832"/>
    <tableColumn id="5838" xr3:uid="{FE95C8A1-FC39-4BA9-83E2-96899A61EF99}" name="Column5833"/>
    <tableColumn id="5839" xr3:uid="{9820E7BE-9E9F-464E-91B9-365261EE6DAB}" name="Column5834"/>
    <tableColumn id="5840" xr3:uid="{BE3EFBBD-32AD-4DBF-8C58-03B4DF146C19}" name="Column5835"/>
    <tableColumn id="5841" xr3:uid="{D46A3266-2CAD-451C-AFCE-5DEF973CD1F7}" name="Column5836"/>
    <tableColumn id="5842" xr3:uid="{7E575D4A-42F6-4631-A8EA-664646BE6E67}" name="Column5837"/>
    <tableColumn id="5843" xr3:uid="{3BE1A09D-92BA-4959-9D1C-FC5FD4F04ECD}" name="Column5838"/>
    <tableColumn id="5844" xr3:uid="{FD48E9E7-AEDA-45ED-803A-79DA11B5FBBE}" name="Column5839"/>
    <tableColumn id="5845" xr3:uid="{8BDFC8CF-CD5A-44CE-98F8-EC5AA2F3B20D}" name="Column5840"/>
    <tableColumn id="5846" xr3:uid="{AB974C5E-618B-4552-816B-E74BEFD17C37}" name="Column5841"/>
    <tableColumn id="5847" xr3:uid="{2844B71D-F2BA-4D73-8CAF-59A19780ED39}" name="Column5842"/>
    <tableColumn id="5848" xr3:uid="{F4CF3024-8BB2-47FA-8401-6C387382F89D}" name="Column5843"/>
    <tableColumn id="5849" xr3:uid="{1761DA96-AD79-482D-AE5A-FB7A92ED35CE}" name="Column5844"/>
    <tableColumn id="5850" xr3:uid="{BD54B3A0-DEDB-4EA4-97BA-32CCBD727834}" name="Column5845"/>
    <tableColumn id="5851" xr3:uid="{1B4A9B30-975E-419F-A3DF-88F44A8B4D19}" name="Column5846"/>
    <tableColumn id="5852" xr3:uid="{8046E257-721B-40EA-B604-4809787E8ADF}" name="Column5847"/>
    <tableColumn id="5853" xr3:uid="{2AFFC6F1-0F90-47C3-9647-FF18F14BAC86}" name="Column5848"/>
    <tableColumn id="5854" xr3:uid="{3BD9607E-C6AC-48AD-973C-5C79B9385946}" name="Column5849"/>
    <tableColumn id="5855" xr3:uid="{6F71DC99-B8FD-4107-815F-A3A4C7D00549}" name="Column5850"/>
    <tableColumn id="5856" xr3:uid="{19E5207E-4E17-4A2A-ACE5-508BC9279703}" name="Column5851"/>
    <tableColumn id="5857" xr3:uid="{2DC9DB17-00FD-40A4-8DBC-CAED461B796F}" name="Column5852"/>
    <tableColumn id="5858" xr3:uid="{A879A2E6-F989-4204-8CA1-F99B649768BE}" name="Column5853"/>
    <tableColumn id="5859" xr3:uid="{6671D59F-A255-441E-816E-AB2FF6FADD5C}" name="Column5854"/>
    <tableColumn id="5860" xr3:uid="{7F1D707F-C7D8-425F-B2D1-4744706306A7}" name="Column5855"/>
    <tableColumn id="5861" xr3:uid="{706C5AAC-F578-465C-B823-8162A57159E9}" name="Column5856"/>
    <tableColumn id="5862" xr3:uid="{3D36ECE6-3192-4B10-8959-04903DAB0E4A}" name="Column5857"/>
    <tableColumn id="5863" xr3:uid="{ACFDDB53-DE32-4F5D-AB17-0E5D7DD26284}" name="Column5858"/>
    <tableColumn id="5864" xr3:uid="{5417E789-BC45-4536-9A42-0EC28030AE6F}" name="Column5859"/>
    <tableColumn id="5865" xr3:uid="{264E296C-7706-41E3-8E27-9290B5F900A2}" name="Column5860"/>
    <tableColumn id="5866" xr3:uid="{D08CD6F7-3842-4A36-B422-5FC68878038A}" name="Column5861"/>
    <tableColumn id="5867" xr3:uid="{281726BD-9B1F-45E3-B2B5-237BC56C8BCD}" name="Column5862"/>
    <tableColumn id="5868" xr3:uid="{08343CFF-B949-4866-B7D4-29F0E96FD6F8}" name="Column5863"/>
    <tableColumn id="5869" xr3:uid="{108D70DF-09C4-4053-955E-C5093B67ED6F}" name="Column5864"/>
    <tableColumn id="5870" xr3:uid="{248EBDDF-2571-4F28-8290-234DB8261EF4}" name="Column5865"/>
    <tableColumn id="5871" xr3:uid="{8CE226F1-C319-45DF-ACBF-9B912230DA93}" name="Column5866"/>
    <tableColumn id="5872" xr3:uid="{42DD9FA4-0451-49B3-AB9B-D3488CFDB4F7}" name="Column5867"/>
    <tableColumn id="5873" xr3:uid="{DA4A6B7F-CDBF-488B-93F0-8EB18E88C919}" name="Column5868"/>
    <tableColumn id="5874" xr3:uid="{01218B9B-82FB-4BF2-B9FA-13B9C87FCD88}" name="Column5869"/>
    <tableColumn id="5875" xr3:uid="{D09A660F-22EC-465D-83C1-2E185472E831}" name="Column5870"/>
    <tableColumn id="5876" xr3:uid="{1B9F903B-4E12-46AA-9490-8E5B2FBDCD06}" name="Column5871"/>
    <tableColumn id="5877" xr3:uid="{3F05EFF0-0D2D-4FCF-9DEB-34885F7C571E}" name="Column5872"/>
    <tableColumn id="5878" xr3:uid="{1826A88C-2063-47F6-BC2D-C1E2F611FF27}" name="Column5873"/>
    <tableColumn id="5879" xr3:uid="{69CEEB1B-671E-41DC-8125-C29D7EC45FCF}" name="Column5874"/>
    <tableColumn id="5880" xr3:uid="{B4F86B19-04FC-47F0-AA46-55E3E5C9B551}" name="Column5875"/>
    <tableColumn id="5881" xr3:uid="{1104F80F-BCFE-41BE-816B-FF075FC9543E}" name="Column5876"/>
    <tableColumn id="5882" xr3:uid="{0B6B9043-2309-4378-AF71-B54067F0EFCE}" name="Column5877"/>
    <tableColumn id="5883" xr3:uid="{79EAD58A-E02A-4592-BC45-DC76BBA3B70F}" name="Column5878"/>
    <tableColumn id="5884" xr3:uid="{B3D19708-3911-4E3D-A915-9501005A0A91}" name="Column5879"/>
    <tableColumn id="5885" xr3:uid="{B9EA8072-6295-4A4D-9A75-00A026446916}" name="Column5880"/>
    <tableColumn id="5886" xr3:uid="{1C35574E-8712-4A1A-8952-91F550241B08}" name="Column5881"/>
    <tableColumn id="5887" xr3:uid="{86507B3F-4385-4721-84B0-FE1B1990DA56}" name="Column5882"/>
    <tableColumn id="5888" xr3:uid="{5F32101F-10BD-432B-AE47-C358D4A12AF8}" name="Column5883"/>
    <tableColumn id="5889" xr3:uid="{C5A3ABA3-7FE3-4831-BB70-E0B1C7E1F7A2}" name="Column5884"/>
    <tableColumn id="5890" xr3:uid="{B2CE0BD8-F918-40C9-8AA1-B46620CD4A55}" name="Column5885"/>
    <tableColumn id="5891" xr3:uid="{2367195D-A367-4472-BBD9-E1321A176825}" name="Column5886"/>
    <tableColumn id="5892" xr3:uid="{434DBD3F-9DF6-4AC3-98EE-CD0DDE9F7F17}" name="Column5887"/>
    <tableColumn id="5893" xr3:uid="{32B14029-0105-4CD1-9B5E-F46F6770592C}" name="Column5888"/>
    <tableColumn id="5894" xr3:uid="{F93CFC98-16C8-42F5-81B5-C591C5B0E3C4}" name="Column5889"/>
    <tableColumn id="5895" xr3:uid="{213FAA28-E58E-4217-AF74-C837BFF08979}" name="Column5890"/>
    <tableColumn id="5896" xr3:uid="{13519BF0-18A3-4C19-9409-0C89CDA5450B}" name="Column5891"/>
    <tableColumn id="5897" xr3:uid="{3CFD0B99-4539-4DF7-B3B3-1DF3C02172FA}" name="Column5892"/>
    <tableColumn id="5898" xr3:uid="{5CC46F5E-155D-47EE-8EB2-3C260DEF7719}" name="Column5893"/>
    <tableColumn id="5899" xr3:uid="{EBC6ED45-57A7-4048-8791-CE71FE9CE3B4}" name="Column5894"/>
    <tableColumn id="5900" xr3:uid="{CF866128-D185-4A44-8856-1ED59823085A}" name="Column5895"/>
    <tableColumn id="5901" xr3:uid="{9E5D3792-E7D5-4A88-8F7A-320578ECFB31}" name="Column5896"/>
    <tableColumn id="5902" xr3:uid="{59E71A8D-1299-4815-838A-971D86AFE533}" name="Column5897"/>
    <tableColumn id="5903" xr3:uid="{757DFE73-7B45-485C-9E05-0980ABF38BE4}" name="Column5898"/>
    <tableColumn id="5904" xr3:uid="{28D77E73-14F2-4645-B541-380E3FAC42F2}" name="Column5899"/>
    <tableColumn id="5905" xr3:uid="{7CF8D90B-F6E0-4AE8-ABB6-D59BC6045704}" name="Column5900"/>
    <tableColumn id="5906" xr3:uid="{F2A549F6-3CCF-4F4F-BA9E-DA533D2934D7}" name="Column5901"/>
    <tableColumn id="5907" xr3:uid="{5E128989-97EF-4306-9384-CF3DFEF1E48F}" name="Column5902"/>
    <tableColumn id="5908" xr3:uid="{73D0864F-0731-458B-91BD-4E03CFD114E2}" name="Column5903"/>
    <tableColumn id="5909" xr3:uid="{90E4B2B1-AFA8-45AF-968D-009B9BBDFF63}" name="Column5904"/>
    <tableColumn id="5910" xr3:uid="{81646E0E-5A0A-4087-B60B-577A05A038D5}" name="Column5905"/>
    <tableColumn id="5911" xr3:uid="{0EC2F0CC-F6F3-493F-97BD-EB192E6224DC}" name="Column5906"/>
    <tableColumn id="5912" xr3:uid="{52E1353C-2C60-41EE-B937-439894177C77}" name="Column5907"/>
    <tableColumn id="5913" xr3:uid="{0627A5F3-2300-478C-A3E6-56492AB1662E}" name="Column5908"/>
    <tableColumn id="5914" xr3:uid="{F75F2A3F-D038-4F95-9421-E0DFAAD17AD5}" name="Column5909"/>
    <tableColumn id="5915" xr3:uid="{A98F488A-E2CB-4B4A-B0B2-34C7F28FA29C}" name="Column5910"/>
    <tableColumn id="5916" xr3:uid="{84966F34-C436-4F15-A0A1-7BE1743F8062}" name="Column5911"/>
    <tableColumn id="5917" xr3:uid="{23290678-6254-4608-8237-2059A6451BB4}" name="Column5912"/>
    <tableColumn id="5918" xr3:uid="{7EC0668C-0516-4521-ADD0-2AC989664F70}" name="Column5913"/>
    <tableColumn id="5919" xr3:uid="{FD0EADEB-1809-4954-A936-3120C0792029}" name="Column5914"/>
    <tableColumn id="5920" xr3:uid="{25D3F231-3F0F-4ED7-94FC-FBF47580C0AF}" name="Column5915"/>
    <tableColumn id="5921" xr3:uid="{1AF07DD2-85C8-428C-A5FC-9D50BC9FCABD}" name="Column5916"/>
    <tableColumn id="5922" xr3:uid="{AC29351E-0BB2-4C8F-BDE3-EAA3CFC48EF3}" name="Column5917"/>
    <tableColumn id="5923" xr3:uid="{6F16C644-FE67-4BC1-B2E5-834C78997533}" name="Column5918"/>
    <tableColumn id="5924" xr3:uid="{633B31E9-D6A5-4E2B-8B20-C4ACF38C9767}" name="Column5919"/>
    <tableColumn id="5925" xr3:uid="{BA205643-B0E5-43B4-9540-49A7C612F01F}" name="Column5920"/>
    <tableColumn id="5926" xr3:uid="{83EED2E1-0CF4-4780-962F-6480F517B38B}" name="Column5921"/>
    <tableColumn id="5927" xr3:uid="{85A61E76-5EF1-4E7F-B487-960CB2F683BF}" name="Column5922"/>
    <tableColumn id="5928" xr3:uid="{E03E4A2D-38CC-4B64-9E0C-3003A3150379}" name="Column5923"/>
    <tableColumn id="5929" xr3:uid="{FEEFCE81-4980-40E0-925C-3681B6507C4C}" name="Column5924"/>
    <tableColumn id="5930" xr3:uid="{50BED156-4D1D-4CF2-80A7-01DDA8405CA3}" name="Column5925"/>
    <tableColumn id="5931" xr3:uid="{B7A0B135-7E34-4408-A8C8-ADD176C0EA8B}" name="Column5926"/>
    <tableColumn id="5932" xr3:uid="{EFD43339-A5C3-4710-8291-84A991E48D2D}" name="Column5927"/>
    <tableColumn id="5933" xr3:uid="{2D27C5E2-3186-4A05-921E-437FA4A87273}" name="Column5928"/>
    <tableColumn id="5934" xr3:uid="{F99986CD-17B4-4CC3-AD14-CD497C399C35}" name="Column5929"/>
    <tableColumn id="5935" xr3:uid="{ED1E04BF-3A2B-4725-93A0-7A0BB0D1F636}" name="Column5930"/>
    <tableColumn id="5936" xr3:uid="{3125DAEE-73B7-48EC-966D-D95E8C38D23D}" name="Column5931"/>
    <tableColumn id="5937" xr3:uid="{BBD3FCC4-80DE-444E-B3EA-2A33086BEC0E}" name="Column5932"/>
    <tableColumn id="5938" xr3:uid="{DE32454D-E8EE-40AA-80AC-A5C813E87771}" name="Column5933"/>
    <tableColumn id="5939" xr3:uid="{B98E93FA-0135-42F4-B098-7B9D7CECCF62}" name="Column5934"/>
    <tableColumn id="5940" xr3:uid="{1DFAA719-F65E-4DAB-A4CE-E383FED7065F}" name="Column5935"/>
    <tableColumn id="5941" xr3:uid="{EBFBB9FF-0876-4EAA-9ECB-7506AD3E94A9}" name="Column5936"/>
    <tableColumn id="5942" xr3:uid="{618FA029-59CE-456C-8501-AF69B363905C}" name="Column5937"/>
    <tableColumn id="5943" xr3:uid="{2007C609-6519-448A-BFE2-DB07E3638C78}" name="Column5938"/>
    <tableColumn id="5944" xr3:uid="{77442642-418E-4A06-927D-D4BF4CB4D2A3}" name="Column5939"/>
    <tableColumn id="5945" xr3:uid="{B362FCD4-F2D8-4EF0-B6E9-895B91717F85}" name="Column5940"/>
    <tableColumn id="5946" xr3:uid="{5A40498D-2EC1-4590-9C23-E2D1A45E87D7}" name="Column5941"/>
    <tableColumn id="5947" xr3:uid="{E5D2EAD0-CEE5-4B47-A3CC-CA93FA28ACFB}" name="Column5942"/>
    <tableColumn id="5948" xr3:uid="{0F6E6F09-C816-4AFD-8BCA-1D50775D2A2F}" name="Column5943"/>
    <tableColumn id="5949" xr3:uid="{2C800660-988F-4C56-8BB9-D19D90EB65B2}" name="Column5944"/>
    <tableColumn id="5950" xr3:uid="{123716F2-7F76-4D9E-800E-D29F459786CC}" name="Column5945"/>
    <tableColumn id="5951" xr3:uid="{3EF497DD-EC51-4ABB-885C-8DF223B6E017}" name="Column5946"/>
    <tableColumn id="5952" xr3:uid="{47690708-D025-4072-A8C3-D38585E480DB}" name="Column5947"/>
    <tableColumn id="5953" xr3:uid="{0DFC8751-33A7-4BB8-BF9B-15145802E6A7}" name="Column5948"/>
    <tableColumn id="5954" xr3:uid="{FE16D1EF-6DE4-4458-9876-F2BBB4B3D5F0}" name="Column5949"/>
    <tableColumn id="5955" xr3:uid="{2627C889-509E-4F37-91EC-C26D236ED47A}" name="Column5950"/>
    <tableColumn id="5956" xr3:uid="{6C2FA9E5-2AAA-4F38-B0F2-BA43076C4781}" name="Column5951"/>
    <tableColumn id="5957" xr3:uid="{2FDA7474-983C-4B6C-BA2A-A997BCEF9261}" name="Column5952"/>
    <tableColumn id="5958" xr3:uid="{6E29BC63-5D28-47E3-9716-76FFC93A8B79}" name="Column5953"/>
    <tableColumn id="5959" xr3:uid="{A3C628D8-827C-43A6-B405-D73967A1CBA6}" name="Column5954"/>
    <tableColumn id="5960" xr3:uid="{53957892-9B36-4570-8F05-5808A408FCF2}" name="Column5955"/>
    <tableColumn id="5961" xr3:uid="{C83FFF11-CBDB-4D93-BE6E-1B007A09F5AC}" name="Column5956"/>
    <tableColumn id="5962" xr3:uid="{AAAB0CB0-B732-4E0C-ADBA-89A4F9929329}" name="Column5957"/>
    <tableColumn id="5963" xr3:uid="{B52CDB79-1B10-41D6-8F31-65BE830E81BC}" name="Column5958"/>
    <tableColumn id="5964" xr3:uid="{7CB50890-0F2C-4E61-9930-AE63B0F105DA}" name="Column5959"/>
    <tableColumn id="5965" xr3:uid="{8F59103D-5FE8-4A21-A282-4FFC114486F4}" name="Column5960"/>
    <tableColumn id="5966" xr3:uid="{99039A87-C983-4F1E-A717-964E7CEC3E3C}" name="Column5961"/>
    <tableColumn id="5967" xr3:uid="{FDF237EE-89D2-4021-97DA-577329943CEC}" name="Column5962"/>
    <tableColumn id="5968" xr3:uid="{9A614308-40DD-412B-BE61-9AFE3E850773}" name="Column5963"/>
    <tableColumn id="5969" xr3:uid="{BD60D95A-5454-48D2-8597-CEC609D47A16}" name="Column5964"/>
    <tableColumn id="5970" xr3:uid="{80C359DE-FF65-49B8-80C1-6D0BC7B1D852}" name="Column5965"/>
    <tableColumn id="5971" xr3:uid="{F21B52E2-09EA-46BA-A3BE-AC9E5D208E15}" name="Column5966"/>
    <tableColumn id="5972" xr3:uid="{A07AAFF3-7E09-4821-B90E-3C99A49F12EA}" name="Column5967"/>
    <tableColumn id="5973" xr3:uid="{B9DC5C68-BB5C-4927-9F67-1DA55FA0214C}" name="Column5968"/>
    <tableColumn id="5974" xr3:uid="{FA30B76E-8009-4D3C-9DA2-7E249595B6AA}" name="Column5969"/>
    <tableColumn id="5975" xr3:uid="{D3770EB7-AA58-43E9-9DC4-98365955F2C3}" name="Column5970"/>
    <tableColumn id="5976" xr3:uid="{4778773A-D13D-4E40-9742-8A687D173468}" name="Column5971"/>
    <tableColumn id="5977" xr3:uid="{5DE02ED3-4DFD-4DA6-BC59-1066B1DF4248}" name="Column5972"/>
    <tableColumn id="5978" xr3:uid="{DFFA3B65-FA35-422A-9172-07D81DFF7909}" name="Column5973"/>
    <tableColumn id="5979" xr3:uid="{CC8EE369-F7DF-461A-B163-0FC43AD69BFD}" name="Column5974"/>
    <tableColumn id="5980" xr3:uid="{D9AB4244-BD8B-4E83-A149-99A4EB2B4DF9}" name="Column5975"/>
    <tableColumn id="5981" xr3:uid="{65025A55-FA18-4EA6-91AC-248F9E870CD2}" name="Column5976"/>
    <tableColumn id="5982" xr3:uid="{9F3F1B42-C74F-4263-B41A-7A56D8037A03}" name="Column5977"/>
    <tableColumn id="5983" xr3:uid="{BB544D6C-88D9-4D77-B2A5-ED7762366E0F}" name="Column5978"/>
    <tableColumn id="5984" xr3:uid="{D2E5D214-2BC4-4139-9622-B4042CF376C7}" name="Column5979"/>
    <tableColumn id="5985" xr3:uid="{CF602350-EF08-4AA9-9CAD-76D44D3533EF}" name="Column5980"/>
    <tableColumn id="5986" xr3:uid="{32183B2A-9130-4440-90ED-1A62E0E9C2E9}" name="Column5981"/>
    <tableColumn id="5987" xr3:uid="{75C62CF5-AF34-4547-9885-0EB33B66F4FF}" name="Column5982"/>
    <tableColumn id="5988" xr3:uid="{F7E3BD05-BB2E-40E8-9A56-B44435E100B5}" name="Column5983"/>
    <tableColumn id="5989" xr3:uid="{120FE2A6-0A74-48E2-9F29-B4A8882D84C4}" name="Column5984"/>
    <tableColumn id="5990" xr3:uid="{92F65739-7C4B-4A56-ACDA-CAA1455ABE31}" name="Column5985"/>
    <tableColumn id="5991" xr3:uid="{BCF833EC-5988-4DBB-A2ED-36075DA599B0}" name="Column5986"/>
    <tableColumn id="5992" xr3:uid="{9486BE7D-9221-43C8-B7E0-EBC0A0273F8D}" name="Column5987"/>
    <tableColumn id="5993" xr3:uid="{FDE80E58-408E-43A5-AAA6-FC878C0ACC89}" name="Column5988"/>
    <tableColumn id="5994" xr3:uid="{0EF46D04-6412-4598-8D1D-1B19F3250CC7}" name="Column5989"/>
    <tableColumn id="5995" xr3:uid="{1101C0E1-ED12-46C0-853A-D816633267B0}" name="Column5990"/>
    <tableColumn id="5996" xr3:uid="{0400141B-35C2-4BF1-8201-3620C6D8CFF9}" name="Column5991"/>
    <tableColumn id="5997" xr3:uid="{C27D2669-1DD6-4D73-8A82-4290BF616CAC}" name="Column5992"/>
    <tableColumn id="5998" xr3:uid="{F7FCC517-440E-473A-BCD7-D2BDFC911090}" name="Column5993"/>
    <tableColumn id="5999" xr3:uid="{09BFF528-759F-47A1-B428-1955B2F46525}" name="Column5994"/>
    <tableColumn id="6000" xr3:uid="{E1C3A5A4-78F9-4985-BEFE-7861A5F778E1}" name="Column5995"/>
    <tableColumn id="6001" xr3:uid="{CD9F9192-4D2C-4A5D-9FDA-C339A0BB79C5}" name="Column5996"/>
    <tableColumn id="6002" xr3:uid="{33B849E7-BDC7-49A3-B072-D90569565419}" name="Column5997"/>
    <tableColumn id="6003" xr3:uid="{C2DB582A-D1F2-4E43-946B-E07C4E46E5AA}" name="Column5998"/>
    <tableColumn id="6004" xr3:uid="{0034F9A6-0C63-4FE8-A2EC-0192592698A3}" name="Column5999"/>
    <tableColumn id="6005" xr3:uid="{8327CA8F-400C-4B07-8B6B-01AE91D9DD09}" name="Column6000"/>
    <tableColumn id="6006" xr3:uid="{6513CCEA-A2CC-442C-B092-CACE0DEC2F1B}" name="Column6001"/>
    <tableColumn id="6007" xr3:uid="{CDA36CDA-592D-495D-B4AF-B694AD74EF1E}" name="Column6002"/>
    <tableColumn id="6008" xr3:uid="{D4AD4FB6-F249-4061-84AF-28564E90C4CD}" name="Column6003"/>
    <tableColumn id="6009" xr3:uid="{337873AE-DBF4-4747-9913-FBC6E168150D}" name="Column6004"/>
    <tableColumn id="6010" xr3:uid="{5A6E3ED4-0286-462E-9A2B-DC82FE777ED9}" name="Column6005"/>
    <tableColumn id="6011" xr3:uid="{8BE7AA66-0038-486A-BB24-8F998CCBED59}" name="Column6006"/>
    <tableColumn id="6012" xr3:uid="{FC0EF17C-F571-44A8-BAA8-B79534464CBC}" name="Column6007"/>
    <tableColumn id="6013" xr3:uid="{8654368A-83B8-4CA7-8201-6A964DD07461}" name="Column6008"/>
    <tableColumn id="6014" xr3:uid="{C2E5A97B-A57F-47D5-9C2A-17F2DA657DF3}" name="Column6009"/>
    <tableColumn id="6015" xr3:uid="{9D8BFAFC-949B-4B1F-B8C1-DD2583304214}" name="Column6010"/>
    <tableColumn id="6016" xr3:uid="{2228E803-7A65-4683-BB68-7EE5B5524CA2}" name="Column6011"/>
    <tableColumn id="6017" xr3:uid="{46DA1756-DA46-469C-BD40-2E1047770FE4}" name="Column6012"/>
    <tableColumn id="6018" xr3:uid="{09D853F8-BAE2-44FF-BEF5-20D9359FB5A2}" name="Column6013"/>
    <tableColumn id="6019" xr3:uid="{AA2AD261-462A-41B8-B168-B853E19A8AD9}" name="Column6014"/>
    <tableColumn id="6020" xr3:uid="{D2E3E67B-385B-4267-B7A7-DE099D0D48BD}" name="Column6015"/>
    <tableColumn id="6021" xr3:uid="{91319F34-242A-4CE7-BF55-B87337C3EF15}" name="Column6016"/>
    <tableColumn id="6022" xr3:uid="{AE291DB3-CC55-4374-9469-875F90A50971}" name="Column6017"/>
    <tableColumn id="6023" xr3:uid="{3226E302-0794-42A0-824B-50C020151924}" name="Column6018"/>
    <tableColumn id="6024" xr3:uid="{B1EC9E98-B248-4DC7-8DFD-416ABB35593E}" name="Column6019"/>
    <tableColumn id="6025" xr3:uid="{A027F892-B316-4B74-9290-9E685014E209}" name="Column6020"/>
    <tableColumn id="6026" xr3:uid="{98C998D3-7200-4C85-9E8B-6B8DD7A1D014}" name="Column6021"/>
    <tableColumn id="6027" xr3:uid="{E7C9AA1D-7B6D-455E-AD48-615037A626BC}" name="Column6022"/>
    <tableColumn id="6028" xr3:uid="{44EB94DD-EF99-4DAF-A4E0-F8D3DA0AD8C7}" name="Column6023"/>
    <tableColumn id="6029" xr3:uid="{8525AE17-884D-4E96-B92F-A45EF04F0F80}" name="Column6024"/>
    <tableColumn id="6030" xr3:uid="{884AFCC2-A117-4375-AFA2-240012196EBF}" name="Column6025"/>
    <tableColumn id="6031" xr3:uid="{D3FA1DD9-7441-4A02-AA8C-0E20A702B0BA}" name="Column6026"/>
    <tableColumn id="6032" xr3:uid="{EC6C8C3E-BB2E-4BF6-88A2-1144E60078E6}" name="Column6027"/>
    <tableColumn id="6033" xr3:uid="{4094D05A-5293-4E20-B2E2-19CD1F23E431}" name="Column6028"/>
    <tableColumn id="6034" xr3:uid="{85D466C9-5728-4ECB-BA0B-847F1D4DBA46}" name="Column6029"/>
    <tableColumn id="6035" xr3:uid="{73079FC1-E71D-47A1-A419-AB741D7D0065}" name="Column6030"/>
    <tableColumn id="6036" xr3:uid="{518134F2-32FF-4A63-AACF-9D541FAE961A}" name="Column6031"/>
    <tableColumn id="6037" xr3:uid="{2F9ABA96-2EB3-467F-890B-FEC7BCF378B5}" name="Column6032"/>
    <tableColumn id="6038" xr3:uid="{6B00D672-C7AB-460A-9E2E-022761CCC064}" name="Column6033"/>
    <tableColumn id="6039" xr3:uid="{A3A20DEB-260E-4CED-B0CF-991A42A254D0}" name="Column6034"/>
    <tableColumn id="6040" xr3:uid="{006789D7-E1F1-4BB4-BFC4-E4EB36458C07}" name="Column6035"/>
    <tableColumn id="6041" xr3:uid="{732A9393-BACE-4DF4-BE4D-182138EBED49}" name="Column6036"/>
    <tableColumn id="6042" xr3:uid="{0AF107D8-70A5-4105-BE43-25D2171637CA}" name="Column6037"/>
    <tableColumn id="6043" xr3:uid="{576B3A47-D463-4961-931C-B4D64C19F62F}" name="Column6038"/>
    <tableColumn id="6044" xr3:uid="{6FC97BFD-467A-4446-810C-5B3886597CF7}" name="Column6039"/>
    <tableColumn id="6045" xr3:uid="{EBDBE52B-93CF-46C6-B5EB-10064F01F5F1}" name="Column6040"/>
    <tableColumn id="6046" xr3:uid="{28921EC8-B91E-4768-9C76-46AE2C78F95B}" name="Column6041"/>
    <tableColumn id="6047" xr3:uid="{F5018F82-BC11-4533-AE57-A07652DD2751}" name="Column6042"/>
    <tableColumn id="6048" xr3:uid="{9CB2E47F-9EC4-41AB-B969-C487879EFB6E}" name="Column6043"/>
    <tableColumn id="6049" xr3:uid="{D9F71FCC-6CF5-43BB-A5F9-C896F9E1722F}" name="Column6044"/>
    <tableColumn id="6050" xr3:uid="{224BBB02-4E2B-4D7A-84F0-27C2A94F88E7}" name="Column6045"/>
    <tableColumn id="6051" xr3:uid="{AF2F5F11-CA2E-40A3-B5E3-33DA6667F698}" name="Column6046"/>
    <tableColumn id="6052" xr3:uid="{291ACE17-150D-48F1-8241-42E3FFD29E18}" name="Column6047"/>
    <tableColumn id="6053" xr3:uid="{EC768E76-26FC-4A26-BC66-3F6E740B16BB}" name="Column6048"/>
    <tableColumn id="6054" xr3:uid="{3634F4CA-64D8-4F89-87A8-084C5DF6F4B4}" name="Column6049"/>
    <tableColumn id="6055" xr3:uid="{88BCEA79-ABC4-4277-AAC9-63126ADCB6A9}" name="Column6050"/>
    <tableColumn id="6056" xr3:uid="{0ACABFA4-8876-405F-8720-5016F5C94EBC}" name="Column6051"/>
    <tableColumn id="6057" xr3:uid="{994ED82B-0EAF-425D-B4C2-5DF2E88C2E15}" name="Column6052"/>
    <tableColumn id="6058" xr3:uid="{4E479D63-2164-4DC3-91C1-787496DB4E5E}" name="Column6053"/>
    <tableColumn id="6059" xr3:uid="{218C02BC-D702-4468-B3D0-95A1175FD4C3}" name="Column6054"/>
    <tableColumn id="6060" xr3:uid="{F78C2A8C-8014-41CB-9406-AF82979688DB}" name="Column6055"/>
    <tableColumn id="6061" xr3:uid="{F08C2548-F94F-48A8-9ADE-0A15B31F6FC6}" name="Column6056"/>
    <tableColumn id="6062" xr3:uid="{5001F38F-5D9A-4BE3-99A6-061665846E3E}" name="Column6057"/>
    <tableColumn id="6063" xr3:uid="{8413A773-80CB-40CE-8081-ABC5009713B4}" name="Column6058"/>
    <tableColumn id="6064" xr3:uid="{124C5009-1E92-446C-8A46-9E9AAC2057E8}" name="Column6059"/>
    <tableColumn id="6065" xr3:uid="{D9D01D20-2B1B-41B5-84F4-1899D5C46545}" name="Column6060"/>
    <tableColumn id="6066" xr3:uid="{9D4F3CC9-2734-4597-9472-82CB39062160}" name="Column6061"/>
    <tableColumn id="6067" xr3:uid="{F0A041B7-7FAE-4EC0-B79F-F045E0CE528F}" name="Column6062"/>
    <tableColumn id="6068" xr3:uid="{3F833299-8259-456F-95E7-BC3C3F395D70}" name="Column6063"/>
    <tableColumn id="6069" xr3:uid="{A5520F42-30B3-45F5-A42F-1EC1CA847D95}" name="Column6064"/>
    <tableColumn id="6070" xr3:uid="{9089E47A-2E13-4AAF-8698-BAA2FFCD537C}" name="Column6065"/>
    <tableColumn id="6071" xr3:uid="{73BABF5E-70F2-4931-9B73-0DD1288416C6}" name="Column6066"/>
    <tableColumn id="6072" xr3:uid="{FCAFF3A8-E091-4560-AEA9-50BAF016BAEC}" name="Column6067"/>
    <tableColumn id="6073" xr3:uid="{FEF43BB4-63BD-40B4-B39C-5BE65763B203}" name="Column6068"/>
    <tableColumn id="6074" xr3:uid="{C4F8B5A9-D0FB-434F-A82D-1240E8079497}" name="Column6069"/>
    <tableColumn id="6075" xr3:uid="{D20410CB-ED36-460F-9DE7-A630F066807E}" name="Column6070"/>
    <tableColumn id="6076" xr3:uid="{7C056357-C118-46AE-9F06-EF8AF99954D2}" name="Column6071"/>
    <tableColumn id="6077" xr3:uid="{0F544E02-AE9D-4D65-8A85-751BF956D22F}" name="Column6072"/>
    <tableColumn id="6078" xr3:uid="{F811CC3A-8483-46C0-A984-757962B11502}" name="Column6073"/>
    <tableColumn id="6079" xr3:uid="{7F8210DA-5BCD-47ED-B95D-C95D26C05405}" name="Column6074"/>
    <tableColumn id="6080" xr3:uid="{6C409A0C-E7AE-49D5-8CDE-82D753C0414B}" name="Column6075"/>
    <tableColumn id="6081" xr3:uid="{2963E32F-D4C3-4C2E-B3F6-1C46BC8994EC}" name="Column6076"/>
    <tableColumn id="6082" xr3:uid="{DA10FB72-CD14-4B11-A342-25ECD1588CE6}" name="Column6077"/>
    <tableColumn id="6083" xr3:uid="{C89211AE-C21B-475F-BB46-F9CE1F12A6F7}" name="Column6078"/>
    <tableColumn id="6084" xr3:uid="{E5C61AD8-589C-47BA-9849-192EC1B7246B}" name="Column6079"/>
    <tableColumn id="6085" xr3:uid="{E1AA1ECC-F5CF-4E9E-8A64-B83CD40F3828}" name="Column6080"/>
    <tableColumn id="6086" xr3:uid="{EC5F6CFE-34D5-4FB1-B12A-C7E0F9E17864}" name="Column6081"/>
    <tableColumn id="6087" xr3:uid="{3E958FF4-8D9F-4E58-90B2-E927561873FC}" name="Column6082"/>
    <tableColumn id="6088" xr3:uid="{F21CC9DB-CEDD-42AB-8860-94774D3994A2}" name="Column6083"/>
    <tableColumn id="6089" xr3:uid="{1555C3EE-9E2B-4B3A-B4AE-90524D743D38}" name="Column6084"/>
    <tableColumn id="6090" xr3:uid="{1000FCF1-5242-468F-BC84-EC59EC4740D5}" name="Column6085"/>
    <tableColumn id="6091" xr3:uid="{EAD2955E-D322-42A7-9E08-C53BBA0E5D01}" name="Column6086"/>
    <tableColumn id="6092" xr3:uid="{7D72E050-1D67-47AF-B32C-9F13D185D2FD}" name="Column6087"/>
    <tableColumn id="6093" xr3:uid="{E2016FFD-9455-471F-AF2A-3330C1999C2B}" name="Column6088"/>
    <tableColumn id="6094" xr3:uid="{F67DEA6A-05E0-40DF-930B-237870CB0185}" name="Column6089"/>
    <tableColumn id="6095" xr3:uid="{FD533471-43AD-4060-97C9-5BC7B60F6E5E}" name="Column6090"/>
    <tableColumn id="6096" xr3:uid="{FACBADDE-E921-4614-A2CA-50457C5F17A3}" name="Column6091"/>
    <tableColumn id="6097" xr3:uid="{FEF46044-D9B3-4C81-B1F8-E6C703884154}" name="Column6092"/>
    <tableColumn id="6098" xr3:uid="{EF8F99BB-76E9-4495-9B04-46FCC6CB9BCA}" name="Column6093"/>
    <tableColumn id="6099" xr3:uid="{E60A1D71-A129-4D6A-8AAA-35B148DF999C}" name="Column6094"/>
    <tableColumn id="6100" xr3:uid="{41525B77-6F2F-40CD-A6AE-645D88E2B0C5}" name="Column6095"/>
    <tableColumn id="6101" xr3:uid="{5AF22943-2F6C-4425-A6A4-783E2017083B}" name="Column6096"/>
    <tableColumn id="6102" xr3:uid="{346C956E-75B9-4A11-9799-7E65834ADD2B}" name="Column6097"/>
    <tableColumn id="6103" xr3:uid="{6C634EDA-6735-4C74-A24A-EB0D0A03D24A}" name="Column6098"/>
    <tableColumn id="6104" xr3:uid="{16B10DB0-70F4-46F3-8520-A4315519E9DD}" name="Column6099"/>
    <tableColumn id="6105" xr3:uid="{B01690D4-7D49-4CE2-9D2F-4B376BD69BC0}" name="Column6100"/>
    <tableColumn id="6106" xr3:uid="{5F9A5FBE-A361-415A-812A-15CF290E8454}" name="Column6101"/>
    <tableColumn id="6107" xr3:uid="{1FE2DDB6-1134-4935-8174-8CB81C6926B8}" name="Column6102"/>
    <tableColumn id="6108" xr3:uid="{1F17B0A7-72D8-42A9-90D7-667BC670F9C7}" name="Column6103"/>
    <tableColumn id="6109" xr3:uid="{9B0FAE9A-81DF-4015-8A37-750389F383ED}" name="Column6104"/>
    <tableColumn id="6110" xr3:uid="{B6B77A77-3529-430F-983A-F525464B691C}" name="Column6105"/>
    <tableColumn id="6111" xr3:uid="{319DC5DC-763C-4462-B0BA-DE8AB936A14E}" name="Column6106"/>
    <tableColumn id="6112" xr3:uid="{6A1B76B1-857A-46A1-8ED2-1BD24EB3BD43}" name="Column6107"/>
    <tableColumn id="6113" xr3:uid="{74C37F22-FA00-43B4-AA7D-BDB964C2128E}" name="Column6108"/>
    <tableColumn id="6114" xr3:uid="{9B34D86A-52CF-444F-9E1C-D4F7BB492E33}" name="Column6109"/>
    <tableColumn id="6115" xr3:uid="{07491681-45B3-4F57-8A3A-A86A94928B91}" name="Column6110"/>
    <tableColumn id="6116" xr3:uid="{27718B6B-3C39-4C71-A928-6D8B0D5C4B0D}" name="Column6111"/>
    <tableColumn id="6117" xr3:uid="{1E0F6C91-CE5C-43D0-B803-F611722DAC7F}" name="Column6112"/>
    <tableColumn id="6118" xr3:uid="{6F2A85BD-5129-44AA-89C9-A319C5D474FA}" name="Column6113"/>
    <tableColumn id="6119" xr3:uid="{6184D4AF-2A47-4F43-8A10-989179EFEB47}" name="Column6114"/>
    <tableColumn id="6120" xr3:uid="{1CBE7ABE-50EF-4835-8A45-96CF577685F8}" name="Column6115"/>
    <tableColumn id="6121" xr3:uid="{6DE8DA13-4D61-43EE-9967-25F9AD1B6571}" name="Column6116"/>
    <tableColumn id="6122" xr3:uid="{7D87C050-021A-47F3-81DE-CAFE4844AA68}" name="Column6117"/>
    <tableColumn id="6123" xr3:uid="{B6FC459F-C40B-4D93-B10D-2E2A7C0C0DB6}" name="Column6118"/>
    <tableColumn id="6124" xr3:uid="{3674CE15-068B-4880-8F3F-9674772290A6}" name="Column6119"/>
    <tableColumn id="6125" xr3:uid="{E68B86A3-F0F7-4ED1-BA48-29396E433661}" name="Column6120"/>
    <tableColumn id="6126" xr3:uid="{AE970D5F-B180-4964-B817-676A7348D311}" name="Column6121"/>
    <tableColumn id="6127" xr3:uid="{0DE1F6EB-1DEB-435E-B2E7-D17F8987D69C}" name="Column6122"/>
    <tableColumn id="6128" xr3:uid="{BAE03E11-DC5F-4170-AB3E-601CCDC3DA44}" name="Column6123"/>
    <tableColumn id="6129" xr3:uid="{58DBDDDE-1811-40A9-9ABB-C2FA5E75B984}" name="Column6124"/>
    <tableColumn id="6130" xr3:uid="{A3B49ED8-398D-44E5-BCE2-8D4236D21382}" name="Column6125"/>
    <tableColumn id="6131" xr3:uid="{076BE9E7-AE7F-41AA-B6FA-A9539F74D3D1}" name="Column6126"/>
    <tableColumn id="6132" xr3:uid="{E0DC5277-5E2C-40AB-8A3C-D670B3C30085}" name="Column6127"/>
    <tableColumn id="6133" xr3:uid="{3E3E1E74-D3BF-4CA9-81B2-7346D7B91D7C}" name="Column6128"/>
    <tableColumn id="6134" xr3:uid="{06BFE37A-B680-4F1A-94D7-9691076AD95C}" name="Column6129"/>
    <tableColumn id="6135" xr3:uid="{CEB3394C-5F18-4234-9863-B5711ABEB208}" name="Column6130"/>
    <tableColumn id="6136" xr3:uid="{DC977B66-0F66-4E4B-81AD-5A8083A6B903}" name="Column6131"/>
    <tableColumn id="6137" xr3:uid="{F300FA83-5682-499B-9513-5D57146A9067}" name="Column6132"/>
    <tableColumn id="6138" xr3:uid="{44AAD000-3C14-4660-9B3F-437828E95D8D}" name="Column6133"/>
    <tableColumn id="6139" xr3:uid="{601563F3-00FB-454E-8753-7A908368C7FB}" name="Column6134"/>
    <tableColumn id="6140" xr3:uid="{CA657E5E-5937-4AC1-B8DC-C4CBB0BEBA64}" name="Column6135"/>
    <tableColumn id="6141" xr3:uid="{B92CA874-E762-4215-9712-97475407E3E1}" name="Column6136"/>
    <tableColumn id="6142" xr3:uid="{435A8182-A74A-407D-867B-FE1059602BEE}" name="Column6137"/>
    <tableColumn id="6143" xr3:uid="{3C8D7B34-38CE-492D-A9A0-7D013A126D5F}" name="Column6138"/>
    <tableColumn id="6144" xr3:uid="{6019D6EC-8638-49D8-AE05-B8E3D07A2781}" name="Column6139"/>
    <tableColumn id="6145" xr3:uid="{F9FC6950-7011-4BA0-95EE-224C73DFEDA4}" name="Column6140"/>
    <tableColumn id="6146" xr3:uid="{14EB5E06-FF32-4C2F-865A-A9B67F7864EE}" name="Column6141"/>
    <tableColumn id="6147" xr3:uid="{7F069359-8B65-429A-9511-C8BBFC965628}" name="Column6142"/>
    <tableColumn id="6148" xr3:uid="{A31905F4-7887-470B-A8F3-DBDDDDD98EC1}" name="Column6143"/>
    <tableColumn id="6149" xr3:uid="{532CFE0C-18F5-491E-96FA-99B560B9E76B}" name="Column6144"/>
    <tableColumn id="6150" xr3:uid="{7B6B6952-27FE-4F9C-B9C0-2A39BB4B624C}" name="Column6145"/>
    <tableColumn id="6151" xr3:uid="{04E9F536-5373-4FEE-9397-58C25A8C4D21}" name="Column6146"/>
    <tableColumn id="6152" xr3:uid="{E92F79DB-D9B5-4F24-9786-EF6EB23FF52C}" name="Column6147"/>
    <tableColumn id="6153" xr3:uid="{9CA125C0-4D61-4331-AF95-D5F73259F470}" name="Column6148"/>
    <tableColumn id="6154" xr3:uid="{3E6C4784-FAA5-40CA-B211-531FDF5826E2}" name="Column6149"/>
    <tableColumn id="6155" xr3:uid="{25271CB4-1AAF-4778-BCA9-CEE102D6DE5E}" name="Column6150"/>
    <tableColumn id="6156" xr3:uid="{94840773-CDDC-4BFD-B5F5-1F9CFC591FA3}" name="Column6151"/>
    <tableColumn id="6157" xr3:uid="{624D3B28-B633-4E7C-8E69-8088B607336E}" name="Column6152"/>
    <tableColumn id="6158" xr3:uid="{9B079588-931B-4583-92EE-F2CD9D277A99}" name="Column6153"/>
    <tableColumn id="6159" xr3:uid="{80266D01-0546-44C8-99EC-AFBB614E3C89}" name="Column6154"/>
    <tableColumn id="6160" xr3:uid="{7F77B0C3-8F08-4A7A-9B38-98151E7692CF}" name="Column6155"/>
    <tableColumn id="6161" xr3:uid="{5BFC348F-1871-40C7-8AD4-D81B740CFB87}" name="Column6156"/>
    <tableColumn id="6162" xr3:uid="{7CCD3AC6-3FD6-4BF5-A2BF-DFDCD8F4FD53}" name="Column6157"/>
    <tableColumn id="6163" xr3:uid="{018A18E1-2A76-4C9C-9B5D-56514D996D8A}" name="Column6158"/>
    <tableColumn id="6164" xr3:uid="{12317027-654C-4027-B716-9F2CA0D84EF9}" name="Column6159"/>
    <tableColumn id="6165" xr3:uid="{4DD4C482-BC7F-4D06-9F33-8AC1AEFC0D87}" name="Column6160"/>
    <tableColumn id="6166" xr3:uid="{BC244363-6D72-43CF-BA29-9A6731DF9469}" name="Column6161"/>
    <tableColumn id="6167" xr3:uid="{8A42837D-B937-42B8-AFFE-C509291F2E1D}" name="Column6162"/>
    <tableColumn id="6168" xr3:uid="{52EB2820-60CC-4CEC-8CED-5138CD7A3A1A}" name="Column6163"/>
    <tableColumn id="6169" xr3:uid="{2407C547-72D1-47B0-BE6D-2DB3902FE9BE}" name="Column6164"/>
    <tableColumn id="6170" xr3:uid="{7F4923C8-ECA3-4AED-B746-4E3D2D11A7F6}" name="Column6165"/>
    <tableColumn id="6171" xr3:uid="{591A86AD-EB7C-4385-8803-B235A8DAD8DE}" name="Column6166"/>
    <tableColumn id="6172" xr3:uid="{40ED61C5-7BD5-4A22-922C-219A8DC84684}" name="Column6167"/>
    <tableColumn id="6173" xr3:uid="{6AC92CC9-EB40-49FF-B23C-0A9764477957}" name="Column6168"/>
    <tableColumn id="6174" xr3:uid="{B6221573-1DCE-476D-965E-B2A0FB77FC44}" name="Column6169"/>
    <tableColumn id="6175" xr3:uid="{53013800-A1DB-41DD-BE79-137522DFE0DF}" name="Column6170"/>
    <tableColumn id="6176" xr3:uid="{D9BA691B-9303-416E-BA61-96CCA26CB471}" name="Column6171"/>
    <tableColumn id="6177" xr3:uid="{C22A5303-48BC-46DC-B15C-7F91CCCE0A11}" name="Column6172"/>
    <tableColumn id="6178" xr3:uid="{BB417DBA-F09F-4576-9228-CD5CE421CB9A}" name="Column6173"/>
    <tableColumn id="6179" xr3:uid="{B228AB06-DD6C-41D6-80A4-4BEAA1D45FC5}" name="Column6174"/>
    <tableColumn id="6180" xr3:uid="{C01B3E26-494E-4D06-9354-7CC1E23382E2}" name="Column6175"/>
    <tableColumn id="6181" xr3:uid="{7858B837-B34C-4ED9-B08F-BA31D2802C5F}" name="Column6176"/>
    <tableColumn id="6182" xr3:uid="{FCCAAA75-9E2B-48FA-968F-E3681F54EFDB}" name="Column6177"/>
    <tableColumn id="6183" xr3:uid="{DA138307-DB35-4068-B753-68EC641F661E}" name="Column6178"/>
    <tableColumn id="6184" xr3:uid="{1E7843C0-3FA9-4174-83A5-3179639CB141}" name="Column6179"/>
    <tableColumn id="6185" xr3:uid="{9588279E-2F6F-448E-9780-686FFD4151B4}" name="Column6180"/>
    <tableColumn id="6186" xr3:uid="{6F2A1C79-4CBA-4B42-8EFC-E6FA2E4B2B0C}" name="Column6181"/>
    <tableColumn id="6187" xr3:uid="{C1EDA7E8-313E-431E-B509-33D4AA137F8F}" name="Column6182"/>
    <tableColumn id="6188" xr3:uid="{F376CE39-36E2-4082-9862-B457B7DD4416}" name="Column6183"/>
    <tableColumn id="6189" xr3:uid="{6E623634-295D-4EAB-B59E-533670E58C8E}" name="Column6184"/>
    <tableColumn id="6190" xr3:uid="{AC0828D5-F18A-4417-AAF3-91D26C2B1559}" name="Column6185"/>
    <tableColumn id="6191" xr3:uid="{6ECFEEF7-82C2-4D05-9B1B-36CD6F4EE26B}" name="Column6186"/>
    <tableColumn id="6192" xr3:uid="{448FE488-006A-4A75-97F1-624AB5927719}" name="Column6187"/>
    <tableColumn id="6193" xr3:uid="{258D286E-1A3E-43C6-8263-F561F793CC74}" name="Column6188"/>
    <tableColumn id="6194" xr3:uid="{D2806BE9-F2BF-4B2E-BB51-20558FDEB90B}" name="Column6189"/>
    <tableColumn id="6195" xr3:uid="{E9693559-D86B-4A31-976C-AF4C98FB4CAB}" name="Column6190"/>
    <tableColumn id="6196" xr3:uid="{4F95506B-76B6-4A41-BF60-2AD656A0D8B4}" name="Column6191"/>
    <tableColumn id="6197" xr3:uid="{3BB39F8F-1805-473E-BCC3-73786448B7C2}" name="Column6192"/>
    <tableColumn id="6198" xr3:uid="{59CEF34C-CC45-474E-826B-6A96F8442CFC}" name="Column6193"/>
    <tableColumn id="6199" xr3:uid="{BA9C8AB5-AA20-4F80-9A43-18F75C3C9B05}" name="Column6194"/>
    <tableColumn id="6200" xr3:uid="{4726098B-3165-4B9A-898A-FC9FDA254F83}" name="Column6195"/>
    <tableColumn id="6201" xr3:uid="{13871987-1CAC-43D0-9BAB-9A8EC073276D}" name="Column6196"/>
    <tableColumn id="6202" xr3:uid="{FF1F1494-8ED5-4B36-A07E-AA3BE2FFC169}" name="Column6197"/>
    <tableColumn id="6203" xr3:uid="{514C8FF7-7FAD-409E-9337-25FC7F5EC18D}" name="Column6198"/>
    <tableColumn id="6204" xr3:uid="{A6F2DE46-E7CE-41C4-93DA-98BF1860305B}" name="Column6199"/>
    <tableColumn id="6205" xr3:uid="{03DE2893-443A-4906-A17F-73EB75D6473B}" name="Column6200"/>
    <tableColumn id="6206" xr3:uid="{A50EF4E3-5FD3-414C-93EB-99057B6A19C1}" name="Column6201"/>
    <tableColumn id="6207" xr3:uid="{14C00834-A398-4779-8BBB-ABD30F0F1A96}" name="Column6202"/>
    <tableColumn id="6208" xr3:uid="{FEECA9E4-A615-4D5E-A0B7-D1DE92F056D7}" name="Column6203"/>
    <tableColumn id="6209" xr3:uid="{654BC788-42E3-4FB1-8AC2-62EEE7809CB0}" name="Column6204"/>
    <tableColumn id="6210" xr3:uid="{D6B68216-4C92-4F6E-9E56-80BE73965D82}" name="Column6205"/>
    <tableColumn id="6211" xr3:uid="{C639B211-618F-42B3-8A72-30A7E9868DCF}" name="Column6206"/>
    <tableColumn id="6212" xr3:uid="{04A6C523-0C1D-44E7-89B6-C800D0F8F299}" name="Column6207"/>
    <tableColumn id="6213" xr3:uid="{94BC9218-D99A-461C-9177-679425DD1DE8}" name="Column6208"/>
    <tableColumn id="6214" xr3:uid="{DEC165A4-CB38-490A-BDDA-CC9B423221DA}" name="Column6209"/>
    <tableColumn id="6215" xr3:uid="{FEFC2AB9-50C3-4E19-9E3C-5371E3845C68}" name="Column6210"/>
    <tableColumn id="6216" xr3:uid="{67EFC378-BF43-42D5-973A-943DB25AFD54}" name="Column6211"/>
    <tableColumn id="6217" xr3:uid="{C0A01C13-8A9A-440A-8759-301E2C5400CD}" name="Column6212"/>
    <tableColumn id="6218" xr3:uid="{129E1F6E-2D2D-4463-90EF-8A97E88C4CEE}" name="Column6213"/>
    <tableColumn id="6219" xr3:uid="{4DDA6190-7A2C-4BC5-ACF4-8C8339524632}" name="Column6214"/>
    <tableColumn id="6220" xr3:uid="{24034F92-7C30-4A85-99FA-59A3F6D01349}" name="Column6215"/>
    <tableColumn id="6221" xr3:uid="{DAC60B5F-9AF4-4513-B2A6-21AC8528FD87}" name="Column6216"/>
    <tableColumn id="6222" xr3:uid="{8A48A36E-7AEE-4B0B-AA3F-691D539788D7}" name="Column6217"/>
    <tableColumn id="6223" xr3:uid="{9AE7CEE9-10B4-4FFF-8449-6D838D5612A9}" name="Column6218"/>
    <tableColumn id="6224" xr3:uid="{2483B01A-A482-4B5F-B823-BEF7DC296A5E}" name="Column6219"/>
    <tableColumn id="6225" xr3:uid="{FCEC9F5C-55DB-49DC-BFC4-587C9CA404D7}" name="Column6220"/>
    <tableColumn id="6226" xr3:uid="{7ECD5C1B-E98F-4E2B-A2D5-FD583A684F4A}" name="Column6221"/>
    <tableColumn id="6227" xr3:uid="{6F551A37-3FF8-4458-98D3-001DA5F06C85}" name="Column6222"/>
    <tableColumn id="6228" xr3:uid="{612D6FA5-AD3F-4239-A28F-1372544FDFE0}" name="Column6223"/>
    <tableColumn id="6229" xr3:uid="{A6B1D9D5-2021-4886-BCCF-00DDC4A9832F}" name="Column6224"/>
    <tableColumn id="6230" xr3:uid="{3BCFFFE3-C64C-4110-8501-5ABC511B386E}" name="Column6225"/>
    <tableColumn id="6231" xr3:uid="{C66DEAD4-4120-46DA-8838-E6B12DD982D9}" name="Column6226"/>
    <tableColumn id="6232" xr3:uid="{3E9DDF78-910A-4C16-B8B1-FCF15927A9C7}" name="Column6227"/>
    <tableColumn id="6233" xr3:uid="{51A4C70E-2E9D-427A-9201-4C0B54515556}" name="Column6228"/>
    <tableColumn id="6234" xr3:uid="{EC66FF2A-E92F-4327-8DD5-E6AB8A4F090C}" name="Column6229"/>
    <tableColumn id="6235" xr3:uid="{C32084E7-94C2-4383-82CC-3AA88E355111}" name="Column6230"/>
    <tableColumn id="6236" xr3:uid="{AC59AEA7-BE0C-4B93-A953-3AB60957A797}" name="Column6231"/>
    <tableColumn id="6237" xr3:uid="{534D79A5-3BFF-4BC0-8881-4DB737761981}" name="Column6232"/>
    <tableColumn id="6238" xr3:uid="{CD23EB4D-D1DC-4F91-8FB3-B15D4FE57241}" name="Column6233"/>
    <tableColumn id="6239" xr3:uid="{638CBE15-E3EE-46F6-AF58-88F43EF27B21}" name="Column6234"/>
    <tableColumn id="6240" xr3:uid="{0AE451A7-265A-406C-9B2A-0E8972F9811B}" name="Column6235"/>
    <tableColumn id="6241" xr3:uid="{260B8455-EFA3-4184-A900-3E0BCD4CC1A5}" name="Column6236"/>
    <tableColumn id="6242" xr3:uid="{A0CEF6BB-B047-43B5-BDCB-D9E78B74525F}" name="Column6237"/>
    <tableColumn id="6243" xr3:uid="{D85F918A-3202-40D2-92ED-A0DCFEDE83D4}" name="Column6238"/>
    <tableColumn id="6244" xr3:uid="{02C4B967-B758-4BC9-912B-703E1D428BC4}" name="Column6239"/>
    <tableColumn id="6245" xr3:uid="{D0ED92B6-AF79-4028-AA1D-087845A74CFE}" name="Column6240"/>
    <tableColumn id="6246" xr3:uid="{54E3F880-A8F5-4BED-BE5C-D0241D748E70}" name="Column6241"/>
    <tableColumn id="6247" xr3:uid="{950E3E37-43C0-4E36-BC5E-ACD07E8EEBD2}" name="Column6242"/>
    <tableColumn id="6248" xr3:uid="{A8C886A0-25C5-4F11-B842-AD524FAB32FC}" name="Column6243"/>
    <tableColumn id="6249" xr3:uid="{97C458FA-55C7-42D5-A8EC-313538C62955}" name="Column6244"/>
    <tableColumn id="6250" xr3:uid="{6211AE52-EC5F-42F8-A0C4-B8A1936D7655}" name="Column6245"/>
    <tableColumn id="6251" xr3:uid="{B2F8C677-65CB-4457-BC42-E9C3238E8F42}" name="Column6246"/>
    <tableColumn id="6252" xr3:uid="{48268D58-937E-49E1-B1F9-E70862220944}" name="Column6247"/>
    <tableColumn id="6253" xr3:uid="{415BA75A-2CF4-452A-A5F5-EC5F7D6DA587}" name="Column6248"/>
    <tableColumn id="6254" xr3:uid="{7BEBA0ED-DDE6-4783-954E-7971EBFDC5DA}" name="Column6249"/>
    <tableColumn id="6255" xr3:uid="{A837BAB9-5326-4F87-9146-3093AA4A1871}" name="Column6250"/>
    <tableColumn id="6256" xr3:uid="{337AFD03-AA1A-4D0C-8C53-23BB0F9D8B34}" name="Column6251"/>
    <tableColumn id="6257" xr3:uid="{2A486CE0-A5F8-4F6F-AC10-CCD0F8A200A3}" name="Column6252"/>
    <tableColumn id="6258" xr3:uid="{8499BE09-D060-4F4B-90AB-C3561C4A2BB8}" name="Column6253"/>
    <tableColumn id="6259" xr3:uid="{9725FE4C-4755-4A46-8AC9-2F3F26E99DA4}" name="Column6254"/>
    <tableColumn id="6260" xr3:uid="{A5A83D4E-19B5-42CB-BC7C-88B43816DF21}" name="Column6255"/>
    <tableColumn id="6261" xr3:uid="{29D8E3B8-A767-4E36-A37B-79757C152446}" name="Column6256"/>
    <tableColumn id="6262" xr3:uid="{634E3D46-1733-4FC6-820E-C67E52BB7928}" name="Column6257"/>
    <tableColumn id="6263" xr3:uid="{4035D080-4527-483A-B747-BF5158141F1E}" name="Column6258"/>
    <tableColumn id="6264" xr3:uid="{7E39D600-2B08-44F2-843B-24BF38B399C4}" name="Column6259"/>
    <tableColumn id="6265" xr3:uid="{643A325E-35F7-4AE6-A37D-91CAC637266A}" name="Column6260"/>
    <tableColumn id="6266" xr3:uid="{942AC35E-5550-40DC-A32A-8026CE519AB6}" name="Column6261"/>
    <tableColumn id="6267" xr3:uid="{A6015F45-37E6-4182-A016-7AFB1D3CDAAE}" name="Column6262"/>
    <tableColumn id="6268" xr3:uid="{47A2F96C-ABD1-4E99-B7DD-E61B26A11E6D}" name="Column6263"/>
    <tableColumn id="6269" xr3:uid="{4D36F397-424C-4BC2-B60C-D521F70E18A5}" name="Column6264"/>
    <tableColumn id="6270" xr3:uid="{0D18B6B0-DA95-450B-90A2-8CE6F9F253D9}" name="Column6265"/>
    <tableColumn id="6271" xr3:uid="{A6BB6F18-0297-4470-84B0-87431B693A1B}" name="Column6266"/>
    <tableColumn id="6272" xr3:uid="{694BF24C-F1C5-4EC9-B623-B8C0C239E9E9}" name="Column6267"/>
    <tableColumn id="6273" xr3:uid="{76E270C0-7A0D-431F-9C9B-6802AEB799E6}" name="Column6268"/>
    <tableColumn id="6274" xr3:uid="{D9BCBCFE-957C-4285-91DD-7CBEE0542725}" name="Column6269"/>
    <tableColumn id="6275" xr3:uid="{3FCADB5C-4C5D-4DB5-8328-85919C0C44C8}" name="Column6270"/>
    <tableColumn id="6276" xr3:uid="{350DFAEA-8654-4BF0-8787-4B34C4FFC74F}" name="Column6271"/>
    <tableColumn id="6277" xr3:uid="{B1E26806-ED88-4A76-B444-CEE12226700C}" name="Column6272"/>
    <tableColumn id="6278" xr3:uid="{DFA7985D-4B04-4963-939F-64319C9C05E7}" name="Column6273"/>
    <tableColumn id="6279" xr3:uid="{E93B0D9E-2D8D-40B4-B67E-A60FF1D4A637}" name="Column6274"/>
    <tableColumn id="6280" xr3:uid="{5D68254C-7E0C-42F7-A6C8-91D8231B696F}" name="Column6275"/>
    <tableColumn id="6281" xr3:uid="{1F1B9E73-5EC3-4A2D-BA08-9E6B4BC817BD}" name="Column6276"/>
    <tableColumn id="6282" xr3:uid="{52964155-6C12-420B-B305-70FD0ECC311E}" name="Column6277"/>
    <tableColumn id="6283" xr3:uid="{5AA59C88-4444-4B2A-AF8C-30B17D3F5D71}" name="Column6278"/>
    <tableColumn id="6284" xr3:uid="{A1BD756C-50F1-49D4-A580-5FE85CD7E7C8}" name="Column6279"/>
    <tableColumn id="6285" xr3:uid="{19CFE882-CB97-46A5-A749-60C940EFF656}" name="Column6280"/>
    <tableColumn id="6286" xr3:uid="{1B760CDE-D82B-4734-B895-E4AC92F5437E}" name="Column6281"/>
    <tableColumn id="6287" xr3:uid="{FD056591-1876-46C2-8A3A-800E482C14BA}" name="Column6282"/>
    <tableColumn id="6288" xr3:uid="{21460F91-A4F2-4986-B2E5-D4B074D8831A}" name="Column6283"/>
    <tableColumn id="6289" xr3:uid="{ADAF5333-D648-4E1D-B142-40C21FBC479D}" name="Column6284"/>
    <tableColumn id="6290" xr3:uid="{8B080C3F-C783-4573-9F6C-104022BB3A3B}" name="Column6285"/>
    <tableColumn id="6291" xr3:uid="{790DBDF1-A7E0-489D-8E2F-92AC096B1669}" name="Column6286"/>
    <tableColumn id="6292" xr3:uid="{E801939F-E7C0-472C-B2FC-58F9EC6B61F2}" name="Column6287"/>
    <tableColumn id="6293" xr3:uid="{FEC349D6-0590-473C-8C01-F6B49A5D51D4}" name="Column6288"/>
    <tableColumn id="6294" xr3:uid="{77A4CC8D-F46B-4C20-A26F-D2F64A0E7F39}" name="Column6289"/>
    <tableColumn id="6295" xr3:uid="{D3227523-8580-4D7D-AF3B-D65BA4CF9F47}" name="Column6290"/>
    <tableColumn id="6296" xr3:uid="{36D9E2A9-B891-4981-98EE-AAF89DCED8FF}" name="Column6291"/>
    <tableColumn id="6297" xr3:uid="{A3E83643-5700-48EC-AA21-FF28C4198C94}" name="Column6292"/>
    <tableColumn id="6298" xr3:uid="{313F195A-03F8-40A1-9467-7E31A2EFE7BF}" name="Column6293"/>
    <tableColumn id="6299" xr3:uid="{D7271474-C7C9-45D4-BEFC-F68AFDAE9088}" name="Column6294"/>
    <tableColumn id="6300" xr3:uid="{CFBF290D-DD91-4F2E-B620-77A03810FAAD}" name="Column6295"/>
    <tableColumn id="6301" xr3:uid="{D513EFB3-B2AF-4D2F-9E84-31CC2B70B810}" name="Column6296"/>
    <tableColumn id="6302" xr3:uid="{836E8DC3-4947-411F-AF09-3A2B65B99283}" name="Column6297"/>
    <tableColumn id="6303" xr3:uid="{B5A0E196-F38E-42B0-A109-9805A38C2974}" name="Column6298"/>
    <tableColumn id="6304" xr3:uid="{71CDF125-949D-46B7-9C98-FA31ABC62AF7}" name="Column6299"/>
    <tableColumn id="6305" xr3:uid="{1733F0B9-D5C5-4231-BA64-F5701DFE9F0D}" name="Column6300"/>
    <tableColumn id="6306" xr3:uid="{98D91A4B-FBD5-403F-9CF4-8AF9D45A4733}" name="Column6301"/>
    <tableColumn id="6307" xr3:uid="{A5AFFAA8-B8AD-4A49-B9B9-28E10E3072B2}" name="Column6302"/>
    <tableColumn id="6308" xr3:uid="{BD035EA9-FE4A-4E16-BE22-EF492E984511}" name="Column6303"/>
    <tableColumn id="6309" xr3:uid="{BA8DA88C-E736-4A21-B88F-5C6DEFCDD4DC}" name="Column6304"/>
    <tableColumn id="6310" xr3:uid="{10BEDEAD-FDF2-4FBC-A9FE-4338E37F5CFA}" name="Column6305"/>
    <tableColumn id="6311" xr3:uid="{EA39F3FA-BD5F-4389-A47B-A1C543D1D991}" name="Column6306"/>
    <tableColumn id="6312" xr3:uid="{3526ACC1-7D79-4973-AF29-D2C36C32F7D8}" name="Column6307"/>
    <tableColumn id="6313" xr3:uid="{77853663-36EE-4E67-A7A0-C29DFBE7C7B1}" name="Column6308"/>
    <tableColumn id="6314" xr3:uid="{8AB06B6F-60F3-46EC-9C47-B409F2EFC790}" name="Column6309"/>
    <tableColumn id="6315" xr3:uid="{59596AAF-ABB3-4B21-A67A-AF04A18DDE80}" name="Column6310"/>
    <tableColumn id="6316" xr3:uid="{61B896D5-629A-44CF-A138-1AD78FEEC2B5}" name="Column6311"/>
    <tableColumn id="6317" xr3:uid="{0447F08A-4665-49E4-B0F2-A31AB6AB4DC1}" name="Column6312"/>
    <tableColumn id="6318" xr3:uid="{04CE8410-05DB-4718-90A4-EF7145517967}" name="Column6313"/>
    <tableColumn id="6319" xr3:uid="{55F2CD8D-BB38-4967-9CD4-5E9B145B367D}" name="Column6314"/>
    <tableColumn id="6320" xr3:uid="{A20B5348-A696-4FF6-8921-EBAEF7D59A65}" name="Column6315"/>
    <tableColumn id="6321" xr3:uid="{1FF34A50-15AF-44C1-BEE7-B6E58DF23947}" name="Column6316"/>
    <tableColumn id="6322" xr3:uid="{32D06719-8A7C-4400-973E-53E1B683E4B4}" name="Column6317"/>
    <tableColumn id="6323" xr3:uid="{A8B0A031-EB69-433B-BE6A-9D576B9A59BA}" name="Column6318"/>
    <tableColumn id="6324" xr3:uid="{494F2936-DD5B-4867-B2D1-3E7376404D4C}" name="Column6319"/>
    <tableColumn id="6325" xr3:uid="{A12C598F-BB04-4DBC-9273-CA28579C476E}" name="Column6320"/>
    <tableColumn id="6326" xr3:uid="{27F09064-06C9-40A8-9A65-A07390FBF36C}" name="Column6321"/>
    <tableColumn id="6327" xr3:uid="{AB2749D1-7D2E-4729-B608-5058842393DA}" name="Column6322"/>
    <tableColumn id="6328" xr3:uid="{7D8FF691-5FDE-46F1-BD30-FCDA9BEAF62A}" name="Column6323"/>
    <tableColumn id="6329" xr3:uid="{EDA6FD58-2087-481E-B949-FD405AE5A2BD}" name="Column6324"/>
    <tableColumn id="6330" xr3:uid="{B6080604-9F84-41CC-A802-8AACBB46C431}" name="Column6325"/>
    <tableColumn id="6331" xr3:uid="{0E9531D0-DB28-42DD-8486-FEA587739125}" name="Column6326"/>
    <tableColumn id="6332" xr3:uid="{731E11E4-28DA-4E4F-BEBC-4F1710C1FC25}" name="Column6327"/>
    <tableColumn id="6333" xr3:uid="{E0982506-A1F7-44E9-9717-D9EC3E874556}" name="Column6328"/>
    <tableColumn id="6334" xr3:uid="{E2BD2034-3270-4693-BDFB-47BDC2CDABA7}" name="Column6329"/>
    <tableColumn id="6335" xr3:uid="{DFF48D72-551F-4DB3-AEFB-231877117002}" name="Column6330"/>
    <tableColumn id="6336" xr3:uid="{6F659DD5-0719-43E1-AC62-BED3B0C368F6}" name="Column6331"/>
    <tableColumn id="6337" xr3:uid="{E6A92F31-4209-41EC-936E-B7C4EE82CE92}" name="Column6332"/>
    <tableColumn id="6338" xr3:uid="{35705705-60B2-412A-B5C4-3BD3CF9E718A}" name="Column6333"/>
    <tableColumn id="6339" xr3:uid="{ED8FBDDF-7483-4AC4-97B5-1DFBD9D8F8D1}" name="Column6334"/>
    <tableColumn id="6340" xr3:uid="{84F50467-348B-45D9-94BB-5B741A58DA9A}" name="Column6335"/>
    <tableColumn id="6341" xr3:uid="{372B4681-DE7A-4B07-8C82-12E9943EFD58}" name="Column6336"/>
    <tableColumn id="6342" xr3:uid="{1CFF6A81-DE44-462E-9D12-401E058747E4}" name="Column6337"/>
    <tableColumn id="6343" xr3:uid="{94EE1529-F265-44A2-9853-3F804F5675CB}" name="Column6338"/>
    <tableColumn id="6344" xr3:uid="{E170062E-F9E7-41ED-8712-5CA2DD19E944}" name="Column6339"/>
    <tableColumn id="6345" xr3:uid="{C5779891-CB2B-46F0-8E8B-6959D7A7F5FF}" name="Column6340"/>
    <tableColumn id="6346" xr3:uid="{AF18C982-A52E-4F9A-93B5-FE8887838129}" name="Column6341"/>
    <tableColumn id="6347" xr3:uid="{F462F345-F14F-4E26-9445-135382550B3E}" name="Column6342"/>
    <tableColumn id="6348" xr3:uid="{FFCC2693-9457-43D9-A7B5-32A25F1708A9}" name="Column6343"/>
    <tableColumn id="6349" xr3:uid="{426676B6-35E7-49DC-9DFE-780C6B6774C0}" name="Column6344"/>
    <tableColumn id="6350" xr3:uid="{A872BF46-D8E4-47AC-B4EF-AF2568CBA991}" name="Column6345"/>
    <tableColumn id="6351" xr3:uid="{27261F2B-95AE-4368-857B-0092E8B50F84}" name="Column6346"/>
    <tableColumn id="6352" xr3:uid="{2A03BECB-6649-4407-AA0D-09E3A8B0C73B}" name="Column6347"/>
    <tableColumn id="6353" xr3:uid="{CA59ADE1-260E-43AF-8D27-93E3C81C8D83}" name="Column6348"/>
    <tableColumn id="6354" xr3:uid="{21D4B656-266F-4585-BD18-3C53AE3BFB67}" name="Column6349"/>
    <tableColumn id="6355" xr3:uid="{7CACFE5A-C59B-4D1D-B59B-225BA7161EA9}" name="Column6350"/>
    <tableColumn id="6356" xr3:uid="{44E191C6-A9ED-4D9B-875E-F04B772DF80D}" name="Column6351"/>
    <tableColumn id="6357" xr3:uid="{87A9A40D-4119-4CEA-BB28-BE8C30BDE0F9}" name="Column6352"/>
    <tableColumn id="6358" xr3:uid="{D86985D6-188C-4963-A6A8-DBE65FF04671}" name="Column6353"/>
    <tableColumn id="6359" xr3:uid="{C12F48E6-7990-49E7-BCDC-F78F44FF4097}" name="Column6354"/>
    <tableColumn id="6360" xr3:uid="{E96E27F7-6BF4-41B9-91E4-4FC124CB2343}" name="Column6355"/>
    <tableColumn id="6361" xr3:uid="{116EBE83-4A58-469A-AE55-5B869054524B}" name="Column6356"/>
    <tableColumn id="6362" xr3:uid="{09FBEFB0-763B-484F-8655-B565AA5BAC90}" name="Column6357"/>
    <tableColumn id="6363" xr3:uid="{C605C5DC-25CE-4740-8CD3-2B3DCC6945F1}" name="Column6358"/>
    <tableColumn id="6364" xr3:uid="{6FB50C89-BDB8-4F29-9989-1BFA03100F52}" name="Column6359"/>
    <tableColumn id="6365" xr3:uid="{F8A66BEC-0FB1-46F9-813F-CF3436E60DD9}" name="Column6360"/>
    <tableColumn id="6366" xr3:uid="{5FBA8700-7FA4-4559-8746-6DF77FF39CAD}" name="Column6361"/>
    <tableColumn id="6367" xr3:uid="{C741BBF2-F8D6-46A3-9D60-8678DD77341E}" name="Column6362"/>
    <tableColumn id="6368" xr3:uid="{255E24A7-54E0-4729-9EA0-FDBE9EDC0237}" name="Column6363"/>
    <tableColumn id="6369" xr3:uid="{E0DE6428-97F3-4159-9E7F-A787CEB6C91E}" name="Column6364"/>
    <tableColumn id="6370" xr3:uid="{442EDCF6-5873-44B5-8961-3F1B00C6E770}" name="Column6365"/>
    <tableColumn id="6371" xr3:uid="{5E01D21D-9045-4C60-8AFB-FF0ED656107B}" name="Column6366"/>
    <tableColumn id="6372" xr3:uid="{2DB6DB0E-D40B-4018-8176-096639ADA3AD}" name="Column6367"/>
    <tableColumn id="6373" xr3:uid="{D9B7420A-CDF3-4AF9-A059-37AED4F49D5C}" name="Column6368"/>
    <tableColumn id="6374" xr3:uid="{AECD3193-19E5-4AF7-BA64-DBBA51C10ECD}" name="Column6369"/>
    <tableColumn id="6375" xr3:uid="{46291E9A-A9E9-48B2-A4E5-CDAA7DC9C5CF}" name="Column6370"/>
    <tableColumn id="6376" xr3:uid="{00C38C8C-6690-499C-9DF6-C0AFF7BE59B9}" name="Column6371"/>
    <tableColumn id="6377" xr3:uid="{FFC6382C-BCC7-4DC8-89FE-EEBD8AEC8579}" name="Column6372"/>
    <tableColumn id="6378" xr3:uid="{C364CCEE-786C-40E6-B28A-73D926D1873D}" name="Column6373"/>
    <tableColumn id="6379" xr3:uid="{F31152EA-FD5C-40D4-B9A8-13AA332D2944}" name="Column6374"/>
    <tableColumn id="6380" xr3:uid="{252C7315-FEA1-4462-B409-33D24E018F61}" name="Column6375"/>
    <tableColumn id="6381" xr3:uid="{CF50802C-A6EC-42FD-9C98-69D41E08E69E}" name="Column6376"/>
    <tableColumn id="6382" xr3:uid="{E2C4C473-2628-4F1F-8FA5-C71D012C3B7D}" name="Column6377"/>
    <tableColumn id="6383" xr3:uid="{A2463217-69A7-48F7-8BDC-489997A2BADC}" name="Column6378"/>
    <tableColumn id="6384" xr3:uid="{8F135BEE-DD82-4940-8AE3-E259BDAB581F}" name="Column6379"/>
    <tableColumn id="6385" xr3:uid="{5FDC004D-5158-418A-BB0F-DBABBC72463E}" name="Column6380"/>
    <tableColumn id="6386" xr3:uid="{570EC4E1-D67A-4BD4-8A79-C4F707359E80}" name="Column6381"/>
    <tableColumn id="6387" xr3:uid="{F8CE40BE-E89B-44FF-A1D8-1D67C0F26BAB}" name="Column6382"/>
    <tableColumn id="6388" xr3:uid="{DC96B5AF-52EF-4795-B8F0-D5F03FEB65C9}" name="Column6383"/>
    <tableColumn id="6389" xr3:uid="{4DB63F1F-7E85-400F-930C-1B494EB2CA82}" name="Column6384"/>
    <tableColumn id="6390" xr3:uid="{3FF7F5AE-BAB5-4490-BD10-1C424BA24124}" name="Column6385"/>
    <tableColumn id="6391" xr3:uid="{A0F40402-EB00-446A-8E57-16D24788ECE5}" name="Column6386"/>
    <tableColumn id="6392" xr3:uid="{88C40D52-672A-4002-9E09-A3BCA63B4459}" name="Column6387"/>
    <tableColumn id="6393" xr3:uid="{98631A0D-7F57-4FE8-80AB-390B86CF9D57}" name="Column6388"/>
    <tableColumn id="6394" xr3:uid="{D26AB73D-D983-4EA7-8CB5-DF4706D6FDA8}" name="Column6389"/>
    <tableColumn id="6395" xr3:uid="{EE5F34AE-2C23-4856-91BD-FA3B71499C7D}" name="Column6390"/>
    <tableColumn id="6396" xr3:uid="{02BD3FD4-F5B6-4A7A-9E86-D48E65B6CEDF}" name="Column6391"/>
    <tableColumn id="6397" xr3:uid="{D83E19E5-CE6D-48A1-B190-32246C860D3D}" name="Column6392"/>
    <tableColumn id="6398" xr3:uid="{5204ADD1-8184-4EAE-8BA9-AA654CC9C22D}" name="Column6393"/>
    <tableColumn id="6399" xr3:uid="{D9D23223-AB30-4314-8861-EEAD5623B1ED}" name="Column6394"/>
    <tableColumn id="6400" xr3:uid="{04E17A9C-1800-4CF4-B41D-C356777D286F}" name="Column6395"/>
    <tableColumn id="6401" xr3:uid="{E6FE4F98-3911-47A0-90E5-C759BABCE6BB}" name="Column6396"/>
    <tableColumn id="6402" xr3:uid="{CCC40693-46C5-420B-A8BC-2F9F9F97FE44}" name="Column6397"/>
    <tableColumn id="6403" xr3:uid="{8C02910A-4DAA-418E-9F0D-36A654D14441}" name="Column6398"/>
    <tableColumn id="6404" xr3:uid="{0C69DC8B-42EF-4609-A29E-A0BE8C443A66}" name="Column6399"/>
    <tableColumn id="6405" xr3:uid="{63BC3E20-D932-4B78-B846-7777EF447C47}" name="Column6400"/>
    <tableColumn id="6406" xr3:uid="{6619A8A2-6422-421F-B062-3E56B35AC667}" name="Column6401"/>
    <tableColumn id="6407" xr3:uid="{ADD8F64A-98AA-4563-A2DD-C734DC924617}" name="Column6402"/>
    <tableColumn id="6408" xr3:uid="{7E7E35CE-E1BF-4512-9191-EEBA0F453958}" name="Column6403"/>
    <tableColumn id="6409" xr3:uid="{91164AD9-4FDF-41A1-82B6-A013B83B4C9C}" name="Column6404"/>
    <tableColumn id="6410" xr3:uid="{4D5B9FBF-97A9-459A-A1FB-35C3919814F0}" name="Column6405"/>
    <tableColumn id="6411" xr3:uid="{63245A65-88DF-40BB-8C2C-054396E15946}" name="Column6406"/>
    <tableColumn id="6412" xr3:uid="{EB0BBC6A-6DF9-419D-BB8D-522B235E18E1}" name="Column6407"/>
    <tableColumn id="6413" xr3:uid="{411BD9F1-FB75-4FED-981E-6C47620C1896}" name="Column6408"/>
    <tableColumn id="6414" xr3:uid="{D39D0B56-BA49-442B-8EF4-1F6926721B8C}" name="Column6409"/>
    <tableColumn id="6415" xr3:uid="{E21BFEC7-04BC-4726-8499-5B3D41C5843F}" name="Column6410"/>
    <tableColumn id="6416" xr3:uid="{017D5488-AC93-4E79-81C8-BC6A3E560C2A}" name="Column6411"/>
    <tableColumn id="6417" xr3:uid="{B4E393FF-4478-470D-AC33-6ADD946F5DE5}" name="Column6412"/>
    <tableColumn id="6418" xr3:uid="{EEC8BD6E-2E57-4676-82F2-90385A537E44}" name="Column6413"/>
    <tableColumn id="6419" xr3:uid="{34BDFF44-0C81-46E0-8C75-BDE9473DC9E1}" name="Column6414"/>
    <tableColumn id="6420" xr3:uid="{E2C5DEC2-7000-4ABF-A566-1E3B0745B4F6}" name="Column6415"/>
    <tableColumn id="6421" xr3:uid="{C55F68E5-8EEE-4A41-BF71-BB01D457288D}" name="Column6416"/>
    <tableColumn id="6422" xr3:uid="{A7337994-DB2B-497A-8729-AD5DF3A4BAB0}" name="Column6417"/>
    <tableColumn id="6423" xr3:uid="{343BE344-D87C-4C17-996A-E14860D69696}" name="Column6418"/>
    <tableColumn id="6424" xr3:uid="{C5E2DC74-2167-43AA-8483-75E150E9ED10}" name="Column6419"/>
    <tableColumn id="6425" xr3:uid="{1BF17AFC-B097-4FA9-8B38-AE79CB6E6CA6}" name="Column6420"/>
    <tableColumn id="6426" xr3:uid="{A0E699A3-6769-4F35-9A0E-53A5C20F146F}" name="Column6421"/>
    <tableColumn id="6427" xr3:uid="{8BE5E6ED-3E49-449B-A82D-370A95D06AEE}" name="Column6422"/>
    <tableColumn id="6428" xr3:uid="{6C60A012-EA29-4AA5-8F7A-342E23A1ECCD}" name="Column6423"/>
    <tableColumn id="6429" xr3:uid="{5A82C18C-46C5-462D-93F6-4D01E2BD9094}" name="Column6424"/>
    <tableColumn id="6430" xr3:uid="{1FF0E5B7-7784-4C9E-9AA5-1B5660FD922D}" name="Column6425"/>
    <tableColumn id="6431" xr3:uid="{6428CC6A-AE2C-4744-B6BB-F7FF0E18A1ED}" name="Column6426"/>
    <tableColumn id="6432" xr3:uid="{15F3C320-648E-477C-AEF1-3DCBA7AD626A}" name="Column6427"/>
    <tableColumn id="6433" xr3:uid="{625EF267-F14D-4DAA-9F5C-8ACF574AAEDD}" name="Column6428"/>
    <tableColumn id="6434" xr3:uid="{470CCE5A-31AD-425B-854C-962BC95066C6}" name="Column6429"/>
    <tableColumn id="6435" xr3:uid="{89CED5CC-3828-44C3-A46A-6AB2431D3FC9}" name="Column6430"/>
    <tableColumn id="6436" xr3:uid="{5880C109-5A3E-400F-9D41-70F3EDD0A53A}" name="Column6431"/>
    <tableColumn id="6437" xr3:uid="{5F14EE31-2FFD-4FCB-8502-C865AE5FF8FA}" name="Column6432"/>
    <tableColumn id="6438" xr3:uid="{1BFACBCC-3B94-4B9B-AFE0-97CE554DEA56}" name="Column6433"/>
    <tableColumn id="6439" xr3:uid="{63391E9A-66A6-4B58-8032-A4D059C7A44B}" name="Column6434"/>
    <tableColumn id="6440" xr3:uid="{78CB1BC9-81F9-4193-B9DA-104EA7EA6739}" name="Column6435"/>
    <tableColumn id="6441" xr3:uid="{77AC2112-BC28-40FE-B75D-46229A084C33}" name="Column6436"/>
    <tableColumn id="6442" xr3:uid="{45D6948F-76ED-46EE-82C1-821174AD0796}" name="Column6437"/>
    <tableColumn id="6443" xr3:uid="{E0016AFB-001B-4E22-A146-7B73136770F3}" name="Column6438"/>
    <tableColumn id="6444" xr3:uid="{C8279CB5-86C4-4256-A0ED-8D84CE9CCF14}" name="Column6439"/>
    <tableColumn id="6445" xr3:uid="{E9E6AE73-C083-49BC-A3B5-DB4860B57150}" name="Column6440"/>
    <tableColumn id="6446" xr3:uid="{2CFF06DE-88CC-45DC-B5A1-3EB00A016193}" name="Column6441"/>
    <tableColumn id="6447" xr3:uid="{7741B7A0-1649-4AEB-98F1-59C6F3AB7515}" name="Column6442"/>
    <tableColumn id="6448" xr3:uid="{D9C2288C-2443-4496-94CA-3F6AAF837118}" name="Column6443"/>
    <tableColumn id="6449" xr3:uid="{D85B9A9D-F9F6-43F1-A9A0-28731370D958}" name="Column6444"/>
    <tableColumn id="6450" xr3:uid="{3973B957-5CD9-4D1E-88C3-E31FE21CE7E7}" name="Column6445"/>
    <tableColumn id="6451" xr3:uid="{D962B18A-6EFE-4BEA-B9AC-CD553BC46AA0}" name="Column6446"/>
    <tableColumn id="6452" xr3:uid="{79A48741-C482-4C49-8DBC-1A4873891F64}" name="Column6447"/>
    <tableColumn id="6453" xr3:uid="{81CBFACE-5956-41B1-8E60-D2CAD058A0B6}" name="Column6448"/>
    <tableColumn id="6454" xr3:uid="{9F014163-E357-4F7D-A947-8779915FF920}" name="Column6449"/>
    <tableColumn id="6455" xr3:uid="{E347D958-8459-4C29-B7B5-80EA36258907}" name="Column6450"/>
    <tableColumn id="6456" xr3:uid="{4AD82413-0490-49E1-BCD6-8FA9ACCCBC2D}" name="Column6451"/>
    <tableColumn id="6457" xr3:uid="{AF4DDCD7-6756-46CF-BF76-DD9B580D4570}" name="Column6452"/>
    <tableColumn id="6458" xr3:uid="{AC966415-0291-47E6-A6B7-0EC3ECFF07A8}" name="Column6453"/>
    <tableColumn id="6459" xr3:uid="{1D0228E1-5A3F-404F-91BF-27E838CA6599}" name="Column6454"/>
    <tableColumn id="6460" xr3:uid="{61352287-6E88-429F-BC5F-946F4159E51E}" name="Column6455"/>
    <tableColumn id="6461" xr3:uid="{636973D8-4BFE-4656-B184-BD26A0E158D7}" name="Column6456"/>
    <tableColumn id="6462" xr3:uid="{B9975F11-D007-450B-957E-CD288F528D8F}" name="Column6457"/>
    <tableColumn id="6463" xr3:uid="{9EAC93B7-F6E7-42BF-A51B-440035DAA1E1}" name="Column6458"/>
    <tableColumn id="6464" xr3:uid="{74AD5FF1-BD54-4BC2-953A-07FA47F924C4}" name="Column6459"/>
    <tableColumn id="6465" xr3:uid="{6142936E-3BB8-4D35-9A25-C789BAE1DE11}" name="Column6460"/>
    <tableColumn id="6466" xr3:uid="{1E92D57F-D34F-40F1-ABC8-AE4A9F691BA5}" name="Column6461"/>
    <tableColumn id="6467" xr3:uid="{9D0B32D8-5680-461F-9100-2181B8AAD858}" name="Column6462"/>
    <tableColumn id="6468" xr3:uid="{ECC67A7C-69CD-4844-8157-33BB916BB8C8}" name="Column6463"/>
    <tableColumn id="6469" xr3:uid="{48C239B3-DE94-47D8-8C02-7095E03E36C1}" name="Column6464"/>
    <tableColumn id="6470" xr3:uid="{E15A298E-22EA-420D-8F91-48253B5AE50F}" name="Column6465"/>
    <tableColumn id="6471" xr3:uid="{3BBAD67C-B844-4765-8C8A-FD60035BE4D0}" name="Column6466"/>
    <tableColumn id="6472" xr3:uid="{0BEF3447-7D73-4613-A14D-F6A67D3EE334}" name="Column6467"/>
    <tableColumn id="6473" xr3:uid="{A010EA93-2B62-42AF-82A6-92785D15E6A4}" name="Column6468"/>
    <tableColumn id="6474" xr3:uid="{7D91FF34-0394-427B-AF52-A08FE485B6F5}" name="Column6469"/>
    <tableColumn id="6475" xr3:uid="{DB3D83A3-9378-42E2-B37E-5D78BF47C338}" name="Column6470"/>
    <tableColumn id="6476" xr3:uid="{46D139A8-E5C6-4397-B5D7-2B294907205C}" name="Column6471"/>
    <tableColumn id="6477" xr3:uid="{3204FB93-19A6-4DF9-B4DF-C811AE9B65EB}" name="Column6472"/>
    <tableColumn id="6478" xr3:uid="{43D289C8-BDAB-43B1-977D-D9D2AFAD08D5}" name="Column6473"/>
    <tableColumn id="6479" xr3:uid="{1A1EC089-200C-47C4-BA97-F11648E84A71}" name="Column6474"/>
    <tableColumn id="6480" xr3:uid="{3B53819B-0D9A-466D-927B-6C0A2E61BF6F}" name="Column6475"/>
    <tableColumn id="6481" xr3:uid="{251FAF49-B656-4D8F-833C-BB60667D5860}" name="Column6476"/>
    <tableColumn id="6482" xr3:uid="{8B5E8989-F7CC-44CB-9727-9A6374424B64}" name="Column6477"/>
    <tableColumn id="6483" xr3:uid="{7B0E88A3-442D-40F4-A04F-03DC71404137}" name="Column6478"/>
    <tableColumn id="6484" xr3:uid="{6CCAE1E7-04D2-4486-A762-9A72B4A825F0}" name="Column6479"/>
    <tableColumn id="6485" xr3:uid="{6D7EB15F-C130-419C-8F72-BE784D5618BC}" name="Column6480"/>
    <tableColumn id="6486" xr3:uid="{D041D2AA-DE39-4519-9275-B3A403F66D15}" name="Column6481"/>
    <tableColumn id="6487" xr3:uid="{30638C1D-76D9-4C0E-8BD2-77C9BB4276D4}" name="Column6482"/>
    <tableColumn id="6488" xr3:uid="{FE93EFD9-5564-496C-ABAF-2B2434F8498B}" name="Column6483"/>
    <tableColumn id="6489" xr3:uid="{609A0CBE-B9B0-4BF1-ADF4-02E608D21F0C}" name="Column6484"/>
    <tableColumn id="6490" xr3:uid="{DEBA52A7-8779-46C7-BA12-EC9B2E4FF33D}" name="Column6485"/>
    <tableColumn id="6491" xr3:uid="{B9E834B2-4C97-42C6-A59D-5D8E561B4C21}" name="Column6486"/>
    <tableColumn id="6492" xr3:uid="{49A69FBC-6CA2-4BEE-90D5-0ECD9C588448}" name="Column6487"/>
    <tableColumn id="6493" xr3:uid="{9212A8AA-6354-4E07-8BC4-2288DDAB8E2A}" name="Column6488"/>
    <tableColumn id="6494" xr3:uid="{7172DEF3-4E24-4A72-B1A5-7C5445901428}" name="Column6489"/>
    <tableColumn id="6495" xr3:uid="{E1AF0C43-45FF-49DE-A354-D5A547A0233E}" name="Column6490"/>
    <tableColumn id="6496" xr3:uid="{2836965A-6500-4351-B2D3-07E82DCE615C}" name="Column6491"/>
    <tableColumn id="6497" xr3:uid="{4248D95B-F54A-47AF-BAD5-0543323EA29F}" name="Column6492"/>
    <tableColumn id="6498" xr3:uid="{A04ED556-7ACB-4A48-A50B-5AA24319D7E0}" name="Column6493"/>
    <tableColumn id="6499" xr3:uid="{CBCFAA3F-6E26-45C4-BE7D-00AF7182A21E}" name="Column6494"/>
    <tableColumn id="6500" xr3:uid="{6CCE4239-4269-43E4-8156-E59E9429ED80}" name="Column6495"/>
    <tableColumn id="6501" xr3:uid="{BA0600C6-6C1B-4ED3-9A04-02729F36657C}" name="Column6496"/>
    <tableColumn id="6502" xr3:uid="{F73B2F07-E086-4EAE-B9C7-27E0C9B394B1}" name="Column6497"/>
    <tableColumn id="6503" xr3:uid="{709D61DD-39A0-4B85-B36C-3B433E5EAEEB}" name="Column6498"/>
    <tableColumn id="6504" xr3:uid="{353F6AA2-BB15-4F78-89DD-047739C42D47}" name="Column6499"/>
    <tableColumn id="6505" xr3:uid="{821BA8A2-8DA9-42B0-9C2C-0DC75E435AFC}" name="Column6500"/>
    <tableColumn id="6506" xr3:uid="{EE04987F-5ED9-4E2A-87D5-8326E37B307A}" name="Column6501"/>
    <tableColumn id="6507" xr3:uid="{037CC46F-4BC4-45F6-A065-C20539053F30}" name="Column6502"/>
    <tableColumn id="6508" xr3:uid="{3C3498F3-4FC9-4018-8508-E9FDB6F8F801}" name="Column6503"/>
    <tableColumn id="6509" xr3:uid="{24D2BAB7-C8BE-40E6-A89A-ACBCA851D0A7}" name="Column6504"/>
    <tableColumn id="6510" xr3:uid="{9ECC9098-DF82-47C9-BFF1-0574E2F51D58}" name="Column6505"/>
    <tableColumn id="6511" xr3:uid="{9275C1D8-8F12-4114-96D8-26E688FF5D7C}" name="Column6506"/>
    <tableColumn id="6512" xr3:uid="{B679FD73-3DD1-4074-A587-0AA99BBD3397}" name="Column6507"/>
    <tableColumn id="6513" xr3:uid="{7A56692E-CC87-4CE7-9EB9-2F42C11FA0F7}" name="Column6508"/>
    <tableColumn id="6514" xr3:uid="{FBC5FC94-0419-4609-A81C-02E65B0DBAB3}" name="Column6509"/>
    <tableColumn id="6515" xr3:uid="{BE0FB3FE-744F-4BF8-9281-1974191C6104}" name="Column6510"/>
    <tableColumn id="6516" xr3:uid="{102D35C7-0C4A-4B51-ACA8-3ECB8F4F3B52}" name="Column6511"/>
    <tableColumn id="6517" xr3:uid="{BAED3A08-1175-4505-A73C-74FF3F2A2DCF}" name="Column6512"/>
    <tableColumn id="6518" xr3:uid="{F5DAEA08-BE16-49ED-A3CF-9F6ECDB3550F}" name="Column6513"/>
    <tableColumn id="6519" xr3:uid="{6A4EEFB3-9164-47A8-91F2-40347EE8FC6F}" name="Column6514"/>
    <tableColumn id="6520" xr3:uid="{4794F44B-F87B-4CD7-9ECB-D84DD029F1D9}" name="Column6515"/>
    <tableColumn id="6521" xr3:uid="{5B03BDDD-F472-4C23-AD64-B7E599C1C76E}" name="Column6516"/>
    <tableColumn id="6522" xr3:uid="{2B633E4F-1D8C-47B7-BBD7-E08DCC8109B3}" name="Column6517"/>
    <tableColumn id="6523" xr3:uid="{270466CE-2E6C-481D-A9ED-ECEFB6CCE9E7}" name="Column6518"/>
    <tableColumn id="6524" xr3:uid="{D49F4FFF-1A97-40A7-BD30-4218EF8CAC6F}" name="Column6519"/>
    <tableColumn id="6525" xr3:uid="{89609E1C-33DE-4888-93D9-EA587293EB4A}" name="Column6520"/>
    <tableColumn id="6526" xr3:uid="{12FF9939-78FB-4F05-A1E9-4307235B773C}" name="Column6521"/>
    <tableColumn id="6527" xr3:uid="{D4BB5A17-0908-4A76-92F1-F3155171DBEA}" name="Column6522"/>
    <tableColumn id="6528" xr3:uid="{0AF8212A-A93E-493A-BF1F-FCDEBD73BFDF}" name="Column6523"/>
    <tableColumn id="6529" xr3:uid="{774FD8D0-B893-4E6F-8B56-9C81C249FA4B}" name="Column6524"/>
    <tableColumn id="6530" xr3:uid="{93195368-492F-4011-8873-0BC95013A8EC}" name="Column6525"/>
    <tableColumn id="6531" xr3:uid="{303AAEDB-70D8-4186-95B7-6EDB8C5437CD}" name="Column6526"/>
    <tableColumn id="6532" xr3:uid="{D1DD51EF-3502-4CFA-8CD3-4C4EBE54411F}" name="Column6527"/>
    <tableColumn id="6533" xr3:uid="{1683B0DB-4191-4261-90F5-61B19FD96DD7}" name="Column6528"/>
    <tableColumn id="6534" xr3:uid="{CC4DB53A-44E3-42E2-9FF4-8C3A616726FC}" name="Column6529"/>
    <tableColumn id="6535" xr3:uid="{0C6CE6D8-0DAA-4D5D-A504-5E2EBD654B9C}" name="Column6530"/>
    <tableColumn id="6536" xr3:uid="{4A8ABA47-9550-46EF-9448-0A65BB41DB9A}" name="Column6531"/>
    <tableColumn id="6537" xr3:uid="{904633B4-EB61-4D94-A33F-D9EC78F30947}" name="Column6532"/>
    <tableColumn id="6538" xr3:uid="{31AF5828-1A6E-4F34-9636-3B6F2D898E36}" name="Column6533"/>
    <tableColumn id="6539" xr3:uid="{F8770F56-795D-4D84-A4BD-4F7F098C2F79}" name="Column6534"/>
    <tableColumn id="6540" xr3:uid="{8BF226E1-7CEE-434F-B649-2BC5965ECEB2}" name="Column6535"/>
    <tableColumn id="6541" xr3:uid="{916F61F2-64F3-41BA-8EC6-D6BED6A5165D}" name="Column6536"/>
    <tableColumn id="6542" xr3:uid="{782B084F-4628-4D80-A19D-6E3586831B1A}" name="Column6537"/>
    <tableColumn id="6543" xr3:uid="{E09F77ED-4D96-4D0D-87DB-29A2FE92C849}" name="Column6538"/>
    <tableColumn id="6544" xr3:uid="{9A4CE90E-F8FE-4FC6-BA87-75D10DEB16A3}" name="Column6539"/>
    <tableColumn id="6545" xr3:uid="{71B62E95-85B8-43F5-9159-C64679602211}" name="Column6540"/>
    <tableColumn id="6546" xr3:uid="{BE00C87A-2660-4509-8D56-4DEDCE766659}" name="Column6541"/>
    <tableColumn id="6547" xr3:uid="{DA8E70AF-C8F3-4431-805E-585534026E6E}" name="Column6542"/>
    <tableColumn id="6548" xr3:uid="{5AC8A20D-3B05-4C7D-9AAF-9B8A9A72F703}" name="Column6543"/>
    <tableColumn id="6549" xr3:uid="{D69C0B2C-5862-4E24-B36B-77FFC8F6614D}" name="Column6544"/>
    <tableColumn id="6550" xr3:uid="{21E4040F-F032-4CCF-8255-BDF71921A8B3}" name="Column6545"/>
    <tableColumn id="6551" xr3:uid="{0D9FE18F-715F-401B-8575-94080DB3B8D0}" name="Column6546"/>
    <tableColumn id="6552" xr3:uid="{E1890336-AE4B-46DC-8117-733AD6BAFED0}" name="Column6547"/>
    <tableColumn id="6553" xr3:uid="{188F1A74-047F-49EC-B11C-3D0005002CD2}" name="Column6548"/>
    <tableColumn id="6554" xr3:uid="{70A2AD6A-FCC1-471E-ACC2-5120F349C720}" name="Column6549"/>
    <tableColumn id="6555" xr3:uid="{3D55970E-1F29-4F0C-8D97-723C2130C2DE}" name="Column6550"/>
    <tableColumn id="6556" xr3:uid="{25ECC9B6-1751-4B0B-BBA5-E6104BEC336C}" name="Column6551"/>
    <tableColumn id="6557" xr3:uid="{EB42583E-2F5A-4AE7-8E20-AB7B7B918962}" name="Column6552"/>
    <tableColumn id="6558" xr3:uid="{C10FA1E9-9C1E-41A5-BBCF-B8D02FE4F701}" name="Column6553"/>
    <tableColumn id="6559" xr3:uid="{B73FE1F3-EEBA-4B78-AA97-791C1DCCE014}" name="Column6554"/>
    <tableColumn id="6560" xr3:uid="{9D0E2BC9-0CC3-4873-8C71-FED7F75B45A3}" name="Column6555"/>
    <tableColumn id="6561" xr3:uid="{9F3F5688-CD93-49A6-9E15-D89D27660364}" name="Column6556"/>
    <tableColumn id="6562" xr3:uid="{A180C3A4-9CCD-4461-8085-AA7B7148F672}" name="Column6557"/>
    <tableColumn id="6563" xr3:uid="{1905C1CB-5A87-4FF9-BCAE-C386F3F6A12A}" name="Column6558"/>
    <tableColumn id="6564" xr3:uid="{AACDC388-2C2B-48F9-84B9-E688602D7904}" name="Column6559"/>
    <tableColumn id="6565" xr3:uid="{65AE7DCA-5D4C-43AD-91AD-5D30C2B59D1E}" name="Column6560"/>
    <tableColumn id="6566" xr3:uid="{70604F5B-70C9-45AC-B0BC-50AB6EFF199E}" name="Column6561"/>
    <tableColumn id="6567" xr3:uid="{59A04A1E-7251-48A9-B28F-09045281ACF3}" name="Column6562"/>
    <tableColumn id="6568" xr3:uid="{87C6ECBF-F95D-439F-BBAF-64F6B84A3C17}" name="Column6563"/>
    <tableColumn id="6569" xr3:uid="{29DF2483-F577-4A3E-92ED-D5DAFD9B1688}" name="Column6564"/>
    <tableColumn id="6570" xr3:uid="{2B815BFB-D6CA-444D-9E8D-DA93EF6C37BE}" name="Column6565"/>
    <tableColumn id="6571" xr3:uid="{DC223F70-E13A-428A-A96E-2F5D63965CA8}" name="Column6566"/>
    <tableColumn id="6572" xr3:uid="{C641E9F3-5D4C-4E04-971C-D2F7A4997410}" name="Column6567"/>
    <tableColumn id="6573" xr3:uid="{C49BEB21-E261-420F-92DE-641D0208376D}" name="Column6568"/>
    <tableColumn id="6574" xr3:uid="{801E889A-F79B-47D6-BB86-7083A8C89E0C}" name="Column6569"/>
    <tableColumn id="6575" xr3:uid="{3EEC1A63-5FD9-495B-A1B6-4F725EE26F1C}" name="Column6570"/>
    <tableColumn id="6576" xr3:uid="{80E3AC41-F65F-47A2-A6F0-34977682F3EA}" name="Column6571"/>
    <tableColumn id="6577" xr3:uid="{EE0F5232-C944-4290-8D40-F31A253AD5DC}" name="Column6572"/>
    <tableColumn id="6578" xr3:uid="{C655BDAC-418F-49C7-B1E9-1E7EA3DDD953}" name="Column6573"/>
    <tableColumn id="6579" xr3:uid="{5855D3BA-E696-4318-BF39-DEC93733ABFF}" name="Column6574"/>
    <tableColumn id="6580" xr3:uid="{D08F59CF-C78E-4C85-A3A2-1077B8C2204D}" name="Column6575"/>
    <tableColumn id="6581" xr3:uid="{6E279E31-5D14-4044-B01F-CA1057363D96}" name="Column6576"/>
    <tableColumn id="6582" xr3:uid="{45499BFB-1BDE-4914-9A78-04D7D1BCAB9E}" name="Column6577"/>
    <tableColumn id="6583" xr3:uid="{C8325C08-8E45-4937-97EC-3D1BFB0BA372}" name="Column6578"/>
    <tableColumn id="6584" xr3:uid="{5A30F8B5-2F1C-4582-AE41-1B98D7470914}" name="Column6579"/>
    <tableColumn id="6585" xr3:uid="{BF5165EE-5E9B-45EA-BA2B-EC5904C34A51}" name="Column6580"/>
    <tableColumn id="6586" xr3:uid="{B8A01E10-189C-4010-A81F-4FE04EAA6FFB}" name="Column6581"/>
    <tableColumn id="6587" xr3:uid="{0CD8614C-56B3-4731-9372-1546492923D9}" name="Column6582"/>
    <tableColumn id="6588" xr3:uid="{CCA2E364-D0E0-4744-ABC0-F8ECF65E402F}" name="Column6583"/>
    <tableColumn id="6589" xr3:uid="{816C27C6-BF83-437D-8CF6-DF5CCD6F5F2B}" name="Column6584"/>
    <tableColumn id="6590" xr3:uid="{45666CA2-BDE9-4303-848C-1F3F7592FEF1}" name="Column6585"/>
    <tableColumn id="6591" xr3:uid="{02D4719A-B9CB-46EB-B933-DFA0BA0AD436}" name="Column6586"/>
    <tableColumn id="6592" xr3:uid="{70AADDDD-200F-4AA7-8A3F-7C0179D617AD}" name="Column6587"/>
    <tableColumn id="6593" xr3:uid="{F5B34478-291C-4455-9F1D-2AC1CCD5B599}" name="Column6588"/>
    <tableColumn id="6594" xr3:uid="{7CD89E1D-74EC-4A29-BCA0-0BE6ABB5D7F1}" name="Column6589"/>
    <tableColumn id="6595" xr3:uid="{8CD1ABC5-F7F3-414F-B731-DA56D3EB00CE}" name="Column6590"/>
    <tableColumn id="6596" xr3:uid="{D181C914-D078-4F21-80BB-C9FD1BCFA6DB}" name="Column6591"/>
    <tableColumn id="6597" xr3:uid="{BA0C8B3D-8416-496F-849A-2CEFCBDC0FCA}" name="Column6592"/>
    <tableColumn id="6598" xr3:uid="{7253898E-9255-4FE0-958F-AA0735040E7B}" name="Column6593"/>
    <tableColumn id="6599" xr3:uid="{5565DCA1-7507-4C37-BF11-E8F212FC6685}" name="Column6594"/>
    <tableColumn id="6600" xr3:uid="{AD7AD718-F99B-45F6-ACC0-EED2ACBE60FF}" name="Column6595"/>
    <tableColumn id="6601" xr3:uid="{4A1FA25F-BA3D-49C2-9AD3-73FEEA0CB13B}" name="Column6596"/>
    <tableColumn id="6602" xr3:uid="{7EBA9D51-086A-4605-9C3F-EDD0FAEB07E6}" name="Column6597"/>
    <tableColumn id="6603" xr3:uid="{0E5C1D9E-26E4-48C4-B174-A9305599304D}" name="Column6598"/>
    <tableColumn id="6604" xr3:uid="{5CF13B85-3A13-4F67-9D38-736A74E2A71E}" name="Column6599"/>
    <tableColumn id="6605" xr3:uid="{D002A258-2FBD-4A8F-853A-D17C1D9C9BBA}" name="Column6600"/>
    <tableColumn id="6606" xr3:uid="{566D0819-B18A-4BF9-B6E9-6D267016A46D}" name="Column6601"/>
    <tableColumn id="6607" xr3:uid="{A6A8F5C0-B7AE-4707-8742-BEE7B033E126}" name="Column6602"/>
    <tableColumn id="6608" xr3:uid="{091D6BB8-FE03-47A5-BDD1-B8E842C95E5E}" name="Column6603"/>
    <tableColumn id="6609" xr3:uid="{9688BD3D-C014-4314-B9C3-E77C3DE55F91}" name="Column6604"/>
    <tableColumn id="6610" xr3:uid="{519F609F-03D9-4D8D-9769-CCC3B8FB0738}" name="Column6605"/>
    <tableColumn id="6611" xr3:uid="{4F7E008B-568C-4CF6-B420-12DC017D6B63}" name="Column6606"/>
    <tableColumn id="6612" xr3:uid="{C59C8701-7B62-4B4A-A27E-D44530BF2FB5}" name="Column6607"/>
    <tableColumn id="6613" xr3:uid="{872D1063-4531-4CA9-ACDB-AFEA9D6D223D}" name="Column6608"/>
    <tableColumn id="6614" xr3:uid="{25394ABC-C875-427A-A6B5-E6EB6D17F9C3}" name="Column6609"/>
    <tableColumn id="6615" xr3:uid="{ACE72707-2A76-4DAF-9572-ECFFD086CA99}" name="Column6610"/>
    <tableColumn id="6616" xr3:uid="{960665DF-1A6E-48CD-80C8-89BDAC90BA00}" name="Column6611"/>
    <tableColumn id="6617" xr3:uid="{63DA8B60-2CA4-4D57-9A87-6A774225B00D}" name="Column6612"/>
    <tableColumn id="6618" xr3:uid="{D6FDCD30-F5CF-4CB0-ABF7-42178C914C3C}" name="Column6613"/>
    <tableColumn id="6619" xr3:uid="{A19F1845-28F3-40B4-B83E-437E10EF764D}" name="Column6614"/>
    <tableColumn id="6620" xr3:uid="{A4E5A19D-9276-44D5-A032-91087372765C}" name="Column6615"/>
    <tableColumn id="6621" xr3:uid="{17BC5EA1-A83A-4BBA-AE2F-CCA5462FCBBF}" name="Column6616"/>
    <tableColumn id="6622" xr3:uid="{F68F0E61-B4ED-442B-8AA6-E0BF3937437A}" name="Column6617"/>
    <tableColumn id="6623" xr3:uid="{21E29AF8-4B7C-49E5-8C9B-1875E631EB33}" name="Column6618"/>
    <tableColumn id="6624" xr3:uid="{B90A11D6-B77C-44CF-BB7D-F21029A52B34}" name="Column6619"/>
    <tableColumn id="6625" xr3:uid="{412B51CF-80B8-4C32-B894-04641D1FFDCD}" name="Column6620"/>
    <tableColumn id="6626" xr3:uid="{96FE4A2A-1110-461E-BF5F-2B21017A5EFF}" name="Column6621"/>
    <tableColumn id="6627" xr3:uid="{BD612A1C-C7D1-4D3F-9814-CA946FA24F28}" name="Column6622"/>
    <tableColumn id="6628" xr3:uid="{B16D7776-09D5-4596-A5BB-1A18FACF223D}" name="Column6623"/>
    <tableColumn id="6629" xr3:uid="{58102D76-3CA3-40B8-B2B5-67469ACB61EB}" name="Column6624"/>
    <tableColumn id="6630" xr3:uid="{998AC5DF-91B3-48F5-B54D-CFFAB32E926C}" name="Column6625"/>
    <tableColumn id="6631" xr3:uid="{739B76CA-C4E2-4F48-9878-7A86AD20E311}" name="Column6626"/>
    <tableColumn id="6632" xr3:uid="{8279C460-C013-4DE1-9BAA-1CE233ACFF4B}" name="Column6627"/>
    <tableColumn id="6633" xr3:uid="{6D88B7E7-2F0B-4CCA-A539-49D256F6E4DA}" name="Column6628"/>
    <tableColumn id="6634" xr3:uid="{780E70BA-43C8-44E4-A368-148F16E99943}" name="Column6629"/>
    <tableColumn id="6635" xr3:uid="{FA1505F8-B445-4E08-AE9F-8C6A1F8B4F40}" name="Column6630"/>
    <tableColumn id="6636" xr3:uid="{B6074229-2D21-4108-8012-E0A46C7A51DF}" name="Column6631"/>
    <tableColumn id="6637" xr3:uid="{57A6A86D-EA50-41BD-BAA8-9389C2A3CDC3}" name="Column6632"/>
    <tableColumn id="6638" xr3:uid="{CE3977D9-C850-4BEF-AEE2-80CD7BB718E2}" name="Column6633"/>
    <tableColumn id="6639" xr3:uid="{3522D15A-E174-4060-9B2D-F8112928307A}" name="Column6634"/>
    <tableColumn id="6640" xr3:uid="{744379DB-19CB-4B35-83A4-2D437B97578A}" name="Column6635"/>
    <tableColumn id="6641" xr3:uid="{12F1A965-420E-4F49-BBFE-38F6E4DFD6E4}" name="Column6636"/>
    <tableColumn id="6642" xr3:uid="{42CD452C-67EB-48AC-8ACD-3E1D812927DB}" name="Column6637"/>
    <tableColumn id="6643" xr3:uid="{2D754CC3-6014-40CF-9C59-71F898B44DE4}" name="Column6638"/>
    <tableColumn id="6644" xr3:uid="{148C05A5-3FBB-4265-A973-7531B9625C6D}" name="Column6639"/>
    <tableColumn id="6645" xr3:uid="{15EE1064-D32B-4862-8AF1-72C7CC4A1319}" name="Column6640"/>
    <tableColumn id="6646" xr3:uid="{4AC4E615-4AC0-46E0-B5DB-BB4E4FA4E554}" name="Column6641"/>
    <tableColumn id="6647" xr3:uid="{37BF8CE9-98EB-41E4-921D-DB356AEAA42A}" name="Column6642"/>
    <tableColumn id="6648" xr3:uid="{A6826956-A7F3-4D4A-9B47-3128CCF3CA36}" name="Column6643"/>
    <tableColumn id="6649" xr3:uid="{8779DD4B-5614-4776-B106-2F20C36B13FA}" name="Column6644"/>
    <tableColumn id="6650" xr3:uid="{032FA5C3-5C5F-4477-BAF6-A337071FE8CA}" name="Column6645"/>
    <tableColumn id="6651" xr3:uid="{AB288CC9-FEDD-4AEC-A115-C28A4045BDA0}" name="Column6646"/>
    <tableColumn id="6652" xr3:uid="{9B1D2030-AA08-4AF3-98E6-2F94673BB0E2}" name="Column6647"/>
    <tableColumn id="6653" xr3:uid="{FED32A18-2684-413A-A954-8A0A7627A166}" name="Column6648"/>
    <tableColumn id="6654" xr3:uid="{201A79F7-0FCA-4723-82FD-D984109363A7}" name="Column6649"/>
    <tableColumn id="6655" xr3:uid="{A57938D1-4EF7-4951-9A52-B19DCDF82D30}" name="Column6650"/>
    <tableColumn id="6656" xr3:uid="{75EEC5AF-8511-4223-8FBE-28223E2F6080}" name="Column6651"/>
    <tableColumn id="6657" xr3:uid="{C7AAA83F-CF61-4AB9-A532-E6A5470942B5}" name="Column6652"/>
    <tableColumn id="6658" xr3:uid="{5F51EC4D-F94B-49BD-82A4-2B8421D7A24D}" name="Column6653"/>
    <tableColumn id="6659" xr3:uid="{19C0E2E3-016F-4744-9021-C5D1FB0A235C}" name="Column6654"/>
    <tableColumn id="6660" xr3:uid="{A60034E1-C419-49F1-9804-9FB1A8E94815}" name="Column6655"/>
    <tableColumn id="6661" xr3:uid="{3E72F4FE-865F-449E-B4F8-F4F333D26277}" name="Column6656"/>
    <tableColumn id="6662" xr3:uid="{4E43A7DE-358D-4A9A-9277-48DCEA9FF3A5}" name="Column6657"/>
    <tableColumn id="6663" xr3:uid="{EEBEA3BC-9139-49DC-85B0-3DD1D98A73C3}" name="Column6658"/>
    <tableColumn id="6664" xr3:uid="{6875F20B-50AA-4F31-93B4-35122570F99A}" name="Column6659"/>
    <tableColumn id="6665" xr3:uid="{18170A29-A634-4C57-A2C9-969C5FA10B0B}" name="Column6660"/>
    <tableColumn id="6666" xr3:uid="{77BDFB27-3A7E-4BA7-B2A3-3D5EBF296538}" name="Column6661"/>
    <tableColumn id="6667" xr3:uid="{D79EE605-DF2A-4434-AEEC-E3BFBE4EB09A}" name="Column6662"/>
    <tableColumn id="6668" xr3:uid="{36F8366E-065B-4AA7-BD67-CE18B376E9F0}" name="Column6663"/>
    <tableColumn id="6669" xr3:uid="{84638B63-B32B-486E-8E2C-1FC301FC1C9F}" name="Column6664"/>
    <tableColumn id="6670" xr3:uid="{FE22C025-853B-4F6D-AA6E-6CE9D855EBB3}" name="Column6665"/>
    <tableColumn id="6671" xr3:uid="{475848D8-9C1E-4BBA-8C27-3FFFBC6C61DD}" name="Column6666"/>
    <tableColumn id="6672" xr3:uid="{798C67F3-9CCF-4DEC-8FB3-D702FBB2BBB6}" name="Column6667"/>
    <tableColumn id="6673" xr3:uid="{7AA9BA9E-7E86-4A9C-BA70-E42E61691E70}" name="Column6668"/>
    <tableColumn id="6674" xr3:uid="{75607B30-CCE9-40C0-BC7E-B2DD7E43AF8A}" name="Column6669"/>
    <tableColumn id="6675" xr3:uid="{45478ECE-ED15-4579-8B6E-D3F0485CEA0B}" name="Column6670"/>
    <tableColumn id="6676" xr3:uid="{EF083C92-96F7-44DC-BEC1-B3155AC8BDD1}" name="Column6671"/>
    <tableColumn id="6677" xr3:uid="{D2326BEF-37B9-4CC6-A01E-B6D6981DBF91}" name="Column6672"/>
    <tableColumn id="6678" xr3:uid="{DECC0B57-EF5D-4B33-BAA8-E3C1EBB8707B}" name="Column6673"/>
    <tableColumn id="6679" xr3:uid="{D2323733-0A5B-4A4B-893E-C5131CCEEF70}" name="Column6674"/>
    <tableColumn id="6680" xr3:uid="{F9A40BEA-DD8E-4958-B4F4-01D7716BAED1}" name="Column6675"/>
    <tableColumn id="6681" xr3:uid="{0ABCF2F0-9C24-489A-98EA-5D0666C743D9}" name="Column6676"/>
    <tableColumn id="6682" xr3:uid="{439BEC05-4F86-45ED-9309-DEBF92D39699}" name="Column6677"/>
    <tableColumn id="6683" xr3:uid="{E92AD46C-1997-45C3-9091-DD8EA8D548A6}" name="Column6678"/>
    <tableColumn id="6684" xr3:uid="{EB771BD9-E6FF-4ECB-AE35-61F615D44092}" name="Column6679"/>
    <tableColumn id="6685" xr3:uid="{7A113CD9-F217-4DE9-A771-C1AF5553DE48}" name="Column6680"/>
    <tableColumn id="6686" xr3:uid="{DE2F940A-D60E-4EFE-91FA-8688BD8AAFA3}" name="Column6681"/>
    <tableColumn id="6687" xr3:uid="{1D77016C-904C-4C01-A8E1-D497587CF854}" name="Column6682"/>
    <tableColumn id="6688" xr3:uid="{3B3C3F9F-1891-4702-AAE4-547E20460DFA}" name="Column6683"/>
    <tableColumn id="6689" xr3:uid="{D13CDEBE-1920-40E7-9079-026083A76828}" name="Column6684"/>
    <tableColumn id="6690" xr3:uid="{B061E3F3-63FB-4DF1-8D6A-179F6F5CC4A0}" name="Column6685"/>
    <tableColumn id="6691" xr3:uid="{F0DF0036-52AA-4BD0-A4A8-D59BC97BC07A}" name="Column6686"/>
    <tableColumn id="6692" xr3:uid="{537D5CA2-1CFC-48CB-9EC3-CED896B9F86A}" name="Column6687"/>
    <tableColumn id="6693" xr3:uid="{745183AA-348D-4B11-AF87-0DE378EC8001}" name="Column6688"/>
    <tableColumn id="6694" xr3:uid="{1BE5228B-0C69-4C9B-ACAC-4B3AE9379F3F}" name="Column6689"/>
    <tableColumn id="6695" xr3:uid="{BC95944D-2A39-4F89-9418-0B73ACA2A700}" name="Column6690"/>
    <tableColumn id="6696" xr3:uid="{2D7F4314-9424-4272-BBAC-7ACE908E7860}" name="Column6691"/>
    <tableColumn id="6697" xr3:uid="{343C8B4C-1AD2-42DE-812C-B424220668A8}" name="Column6692"/>
    <tableColumn id="6698" xr3:uid="{FF419EB5-E73A-4905-82FB-B68EA6A9D3DF}" name="Column6693"/>
    <tableColumn id="6699" xr3:uid="{9288B9D3-D411-402A-A7BD-0CD36385B0AE}" name="Column6694"/>
    <tableColumn id="6700" xr3:uid="{D746875B-8532-4F2A-84CB-63D3F010332F}" name="Column6695"/>
    <tableColumn id="6701" xr3:uid="{B5B5206C-4260-47E3-8596-DCA7285AD9DA}" name="Column6696"/>
    <tableColumn id="6702" xr3:uid="{49B53A70-1671-49C5-9A04-623E189ED5D8}" name="Column6697"/>
    <tableColumn id="6703" xr3:uid="{2477B022-6503-4E48-842F-E9CE8232E96D}" name="Column6698"/>
    <tableColumn id="6704" xr3:uid="{19C35AB1-CF1D-4062-8D4E-AA488D9ABAB2}" name="Column6699"/>
    <tableColumn id="6705" xr3:uid="{5C32BE0E-4A96-45E0-BB5A-1536046238FB}" name="Column6700"/>
    <tableColumn id="6706" xr3:uid="{D77E6FCA-68DD-4D0C-AF17-327482157B91}" name="Column6701"/>
    <tableColumn id="6707" xr3:uid="{D4D7D821-E7C1-4769-8F5F-0B8E2D6F44C6}" name="Column6702"/>
    <tableColumn id="6708" xr3:uid="{9A190FA7-8244-4F29-843F-A33A613CA1E8}" name="Column6703"/>
    <tableColumn id="6709" xr3:uid="{51B2C783-FDC1-4004-B280-A582D7DB81CE}" name="Column6704"/>
    <tableColumn id="6710" xr3:uid="{ED3C2A77-620F-4C89-B49C-CDE898FD59FC}" name="Column6705"/>
    <tableColumn id="6711" xr3:uid="{E349ABFF-67C5-4348-BFC5-997E618B4B2A}" name="Column6706"/>
    <tableColumn id="6712" xr3:uid="{FF0CE77F-619D-40D5-AE52-5EC7BE4D5CB0}" name="Column6707"/>
    <tableColumn id="6713" xr3:uid="{7730FB28-75D9-4809-9EE7-94C05C9BED79}" name="Column6708"/>
    <tableColumn id="6714" xr3:uid="{FBEBE0A0-8D4C-4CFE-A8D1-CD74DCB363E2}" name="Column6709"/>
    <tableColumn id="6715" xr3:uid="{309AC13A-FE3C-4F75-A4BA-168336480693}" name="Column6710"/>
    <tableColumn id="6716" xr3:uid="{003CAF30-E103-40BF-8B55-C9A242A69A67}" name="Column6711"/>
    <tableColumn id="6717" xr3:uid="{512BD56B-FB28-40A5-B5D8-122EFFF68FA3}" name="Column6712"/>
    <tableColumn id="6718" xr3:uid="{D61544FE-D1D2-47B7-8BDD-69C599EBEF68}" name="Column6713"/>
    <tableColumn id="6719" xr3:uid="{94FC62B2-1C4A-4BDE-A29D-60098216827C}" name="Column6714"/>
    <tableColumn id="6720" xr3:uid="{E7D53FFC-B23B-438B-BDD7-528566102929}" name="Column6715"/>
    <tableColumn id="6721" xr3:uid="{5526FE59-25C2-4FB9-A958-4EB78AFE9F8A}" name="Column6716"/>
    <tableColumn id="6722" xr3:uid="{C2E9DB8A-1A52-4709-A145-37D3933066FD}" name="Column6717"/>
    <tableColumn id="6723" xr3:uid="{E0EA1534-92A1-498D-8C69-8E797849BD6B}" name="Column6718"/>
    <tableColumn id="6724" xr3:uid="{40FA8A01-A6B3-498A-AD53-E6AB200F55FC}" name="Column6719"/>
    <tableColumn id="6725" xr3:uid="{3CC4EED0-0CFD-4FFA-BAB6-15E1BC6AF3F9}" name="Column6720"/>
    <tableColumn id="6726" xr3:uid="{C669B0DD-8D75-4D06-A076-6DBBF16DCF6E}" name="Column6721"/>
    <tableColumn id="6727" xr3:uid="{81356963-9029-4433-97EF-B1C217DAF255}" name="Column6722"/>
    <tableColumn id="6728" xr3:uid="{C3F737F1-2F4A-4B41-AFE1-D379CB4A6020}" name="Column6723"/>
    <tableColumn id="6729" xr3:uid="{DC32F3BB-357B-400A-9AB3-1317C461C213}" name="Column6724"/>
    <tableColumn id="6730" xr3:uid="{C2F79613-0868-4567-868C-45533DCC1F36}" name="Column6725"/>
    <tableColumn id="6731" xr3:uid="{5D27AE42-A720-4E4B-BB03-8EBFCDA63DA0}" name="Column6726"/>
    <tableColumn id="6732" xr3:uid="{C5071916-95F8-4299-AEF9-374A385BEE63}" name="Column6727"/>
    <tableColumn id="6733" xr3:uid="{5C28D0AA-7B2E-409D-836C-EFCA449B1F01}" name="Column6728"/>
    <tableColumn id="6734" xr3:uid="{C7B92C8D-EA0E-418E-A25B-A9C76901FA78}" name="Column6729"/>
    <tableColumn id="6735" xr3:uid="{5B70100D-1016-47FC-9470-0C84BD0D7F21}" name="Column6730"/>
    <tableColumn id="6736" xr3:uid="{CDCB0396-7ACF-4827-BCF5-6D3B44F29EFB}" name="Column6731"/>
    <tableColumn id="6737" xr3:uid="{8C336D68-2D73-438C-9CF9-D81F37473E4E}" name="Column6732"/>
    <tableColumn id="6738" xr3:uid="{08E8CE9A-5AB4-415D-99E2-7D33E329A3A0}" name="Column6733"/>
    <tableColumn id="6739" xr3:uid="{56C64971-F8BA-42FF-B4B8-58EB42FABC41}" name="Column6734"/>
    <tableColumn id="6740" xr3:uid="{C8F016AD-DA9D-4363-974F-25F231382759}" name="Column6735"/>
    <tableColumn id="6741" xr3:uid="{2485A7AC-0BF4-4121-9ED9-799B7D0936B4}" name="Column6736"/>
    <tableColumn id="6742" xr3:uid="{85E7A586-CE71-45E8-A870-2A4BBDB3813C}" name="Column6737"/>
    <tableColumn id="6743" xr3:uid="{CD3FB5EC-4031-4797-ADE1-A91C8565585C}" name="Column6738"/>
    <tableColumn id="6744" xr3:uid="{C8D4355F-A60D-4903-ADD9-A72F9A00BD60}" name="Column6739"/>
    <tableColumn id="6745" xr3:uid="{4B7C6017-7A04-4499-8FAC-823D6BC7B40B}" name="Column6740"/>
    <tableColumn id="6746" xr3:uid="{341A90F8-F7DC-4D1C-B28C-6341ADF6D8C2}" name="Column6741"/>
    <tableColumn id="6747" xr3:uid="{4E592FB6-D5FB-4EF0-8623-986ABCB14039}" name="Column6742"/>
    <tableColumn id="6748" xr3:uid="{2BAE9430-3FB1-44C1-996F-1197A6CF9DA6}" name="Column6743"/>
    <tableColumn id="6749" xr3:uid="{90252BEB-A1B1-4F75-9396-40974DBD5448}" name="Column6744"/>
    <tableColumn id="6750" xr3:uid="{079FBC58-18E0-4719-B80B-C8F1D8BA4EEB}" name="Column6745"/>
    <tableColumn id="6751" xr3:uid="{D2A48A13-854B-4A83-A510-A35352EA2325}" name="Column6746"/>
    <tableColumn id="6752" xr3:uid="{508A2806-5C38-4B9C-9767-3BE264D10F65}" name="Column6747"/>
    <tableColumn id="6753" xr3:uid="{8C229356-A419-4AEF-83A5-BDEA41C27196}" name="Column6748"/>
    <tableColumn id="6754" xr3:uid="{981638D1-5413-44C2-9E46-E0B781971549}" name="Column6749"/>
    <tableColumn id="6755" xr3:uid="{5201EA1E-6D01-43A8-8CFE-D75492C98F0F}" name="Column6750"/>
    <tableColumn id="6756" xr3:uid="{AD4FDFBA-5185-4D8D-96EC-34E022152B0A}" name="Column6751"/>
    <tableColumn id="6757" xr3:uid="{2191B597-B969-4BF9-9809-66F472CED32B}" name="Column6752"/>
    <tableColumn id="6758" xr3:uid="{179AC0BC-C2C9-41D8-B430-1B3C1D21A85E}" name="Column6753"/>
    <tableColumn id="6759" xr3:uid="{4C817E4A-EFFE-4533-85EE-C0CEFF32EA7B}" name="Column6754"/>
    <tableColumn id="6760" xr3:uid="{E03B0C94-B733-46ED-8E1F-AA2093EBE692}" name="Column6755"/>
    <tableColumn id="6761" xr3:uid="{41FD4E91-E45B-4836-B622-67415BDDC04E}" name="Column6756"/>
    <tableColumn id="6762" xr3:uid="{0E1BED08-C902-4F5D-99B6-5424313E5768}" name="Column6757"/>
    <tableColumn id="6763" xr3:uid="{2F8A162F-D0AA-451E-9585-E7804E974B41}" name="Column6758"/>
    <tableColumn id="6764" xr3:uid="{E4B9E75E-4139-497D-941F-F7BE06B704B3}" name="Column6759"/>
    <tableColumn id="6765" xr3:uid="{87AA1ADD-2F99-432F-9D65-880D680FE7D1}" name="Column6760"/>
    <tableColumn id="6766" xr3:uid="{F29F0042-B387-4DD8-8931-44E9BA373B17}" name="Column6761"/>
    <tableColumn id="6767" xr3:uid="{0DC88852-4FF6-47D6-87B3-A2066A1DB833}" name="Column6762"/>
    <tableColumn id="6768" xr3:uid="{7EA4D388-A36B-49F9-8E08-543A199BB3DA}" name="Column6763"/>
    <tableColumn id="6769" xr3:uid="{7E931579-FFE9-4AA4-AFF3-F33AA07C9533}" name="Column6764"/>
    <tableColumn id="6770" xr3:uid="{BC0F0D28-F3E6-4C10-AD2C-8DABE3C37182}" name="Column6765"/>
    <tableColumn id="6771" xr3:uid="{6BFF95B0-7C70-4601-95A8-EC7F1DC5E768}" name="Column6766"/>
    <tableColumn id="6772" xr3:uid="{DB4C9E30-0C22-4287-AECF-B8C0ED2432AE}" name="Column6767"/>
    <tableColumn id="6773" xr3:uid="{5E229650-3EFC-487F-96D0-E1D2ADCC8099}" name="Column6768"/>
    <tableColumn id="6774" xr3:uid="{E13C8080-F222-4C0A-9461-112B7A51E9DF}" name="Column6769"/>
    <tableColumn id="6775" xr3:uid="{52203F7D-422B-4B7F-9977-D6E46137DE75}" name="Column6770"/>
    <tableColumn id="6776" xr3:uid="{FAD4674E-7230-499E-896D-14154B14C514}" name="Column6771"/>
    <tableColumn id="6777" xr3:uid="{BEC8944E-0766-4BCE-8916-710CEC95BA6C}" name="Column6772"/>
    <tableColumn id="6778" xr3:uid="{96DAC517-843D-4A90-9A7E-6CDE2E78049F}" name="Column6773"/>
    <tableColumn id="6779" xr3:uid="{55530B1A-6942-4061-A461-AA9092753BBB}" name="Column6774"/>
    <tableColumn id="6780" xr3:uid="{CE039CAB-0F4D-4130-B850-E290D031CDE2}" name="Column6775"/>
    <tableColumn id="6781" xr3:uid="{B1659CC0-90AC-44A4-B5B4-9EB0B3F5B36E}" name="Column6776"/>
    <tableColumn id="6782" xr3:uid="{23CEB009-9C23-4C32-AFF5-14848079C42F}" name="Column6777"/>
    <tableColumn id="6783" xr3:uid="{463180EA-093F-403B-A21E-2AB76E80FE84}" name="Column6778"/>
    <tableColumn id="6784" xr3:uid="{FC2430EE-B442-4A07-BE04-88333D0441D8}" name="Column6779"/>
    <tableColumn id="6785" xr3:uid="{FD496752-227C-4DDE-B55D-290688660A11}" name="Column6780"/>
    <tableColumn id="6786" xr3:uid="{A827A0E8-E007-4D9E-9382-1F6FCEB02F60}" name="Column6781"/>
    <tableColumn id="6787" xr3:uid="{54904B23-05E7-4B56-B833-EF4E16A509EA}" name="Column6782"/>
    <tableColumn id="6788" xr3:uid="{64CBDD5E-3EA1-4018-83A3-0B53F690681B}" name="Column6783"/>
    <tableColumn id="6789" xr3:uid="{D358B5C1-BD62-41CD-8ABF-5C497AD95419}" name="Column6784"/>
    <tableColumn id="6790" xr3:uid="{965EB1DC-BCCC-4B40-B333-C2A087E0B21A}" name="Column6785"/>
    <tableColumn id="6791" xr3:uid="{CDC218CF-5816-4B0C-A07D-B26B933CA8F3}" name="Column6786"/>
    <tableColumn id="6792" xr3:uid="{70A7FDE4-17E8-4C62-932E-C134FBC4CF41}" name="Column6787"/>
    <tableColumn id="6793" xr3:uid="{05155418-04CA-413A-ABD8-69C8F7C9CBE6}" name="Column6788"/>
    <tableColumn id="6794" xr3:uid="{06403EB8-85A6-44F6-97E0-0DC68EA1799B}" name="Column6789"/>
    <tableColumn id="6795" xr3:uid="{7DD3FE43-1559-48E8-9D60-822E5035D8AB}" name="Column6790"/>
    <tableColumn id="6796" xr3:uid="{385CE893-F561-46C0-9D91-E63C5121DD1C}" name="Column6791"/>
    <tableColumn id="6797" xr3:uid="{6EB3E64F-31C1-4669-8FBA-9ACD9F936CD9}" name="Column6792"/>
    <tableColumn id="6798" xr3:uid="{FF85829E-9154-413B-B48E-B3C84D84D072}" name="Column6793"/>
    <tableColumn id="6799" xr3:uid="{8909D4B0-5F3E-4943-A1BF-67A8DEACA5D0}" name="Column6794"/>
    <tableColumn id="6800" xr3:uid="{0A595DB0-7CEB-4F8A-B9BB-B84455A9E812}" name="Column6795"/>
    <tableColumn id="6801" xr3:uid="{C573E294-4264-487F-A3D4-E56CCD185DE1}" name="Column6796"/>
    <tableColumn id="6802" xr3:uid="{20661C42-6E18-4595-A8B6-F7D68B24EE08}" name="Column6797"/>
    <tableColumn id="6803" xr3:uid="{1E38C209-C7B5-4DB6-BFA1-10B72CA3B665}" name="Column6798"/>
    <tableColumn id="6804" xr3:uid="{C8A2BCF6-08DF-4BF3-8A5F-FA144750EC55}" name="Column6799"/>
    <tableColumn id="6805" xr3:uid="{24D0DCAE-FDC3-4DF9-875A-547952CA512D}" name="Column6800"/>
    <tableColumn id="6806" xr3:uid="{86A0C112-5F7D-4D70-AE4A-392DC9BE8D74}" name="Column6801"/>
    <tableColumn id="6807" xr3:uid="{D3A4145C-51C7-4EE5-8C02-B68E054F8DA3}" name="Column6802"/>
    <tableColumn id="6808" xr3:uid="{2A9F76B3-325E-4926-961A-319B495F3531}" name="Column6803"/>
    <tableColumn id="6809" xr3:uid="{5185DA6F-E7D6-41E9-9A47-2E8A2D0F2DF0}" name="Column6804"/>
    <tableColumn id="6810" xr3:uid="{1F91C094-3A42-48B3-AFF4-191E6E56640E}" name="Column6805"/>
    <tableColumn id="6811" xr3:uid="{FB71CC73-2E1E-4774-8B3E-3981497E288A}" name="Column6806"/>
    <tableColumn id="6812" xr3:uid="{6F108C9A-2F1F-4181-A75E-4F9C9C38CF27}" name="Column6807"/>
    <tableColumn id="6813" xr3:uid="{9C96034C-6B7B-4477-B26E-2D52A91D3FCA}" name="Column6808"/>
    <tableColumn id="6814" xr3:uid="{3AD6F8B8-0C12-462F-BA41-6B6A21BF3564}" name="Column6809"/>
    <tableColumn id="6815" xr3:uid="{53D8F9A6-866B-4117-8B74-5A9A267F3171}" name="Column6810"/>
    <tableColumn id="6816" xr3:uid="{ADBB656F-D830-450C-9321-3E8A0296096C}" name="Column6811"/>
    <tableColumn id="6817" xr3:uid="{63D43264-C8F7-45F7-9209-942783F7D8C1}" name="Column6812"/>
    <tableColumn id="6818" xr3:uid="{2589357D-326F-43D0-A8FD-3831F4B895DE}" name="Column6813"/>
    <tableColumn id="6819" xr3:uid="{B1A76B42-8EA8-4DEE-8FC3-9E636B633431}" name="Column6814"/>
    <tableColumn id="6820" xr3:uid="{226C8CBB-6173-4A1D-951D-E5320D4E40B3}" name="Column6815"/>
    <tableColumn id="6821" xr3:uid="{8DBB4C0A-594C-4CE7-B4A8-678CA91AB476}" name="Column6816"/>
    <tableColumn id="6822" xr3:uid="{3D2AA847-B3F6-4C63-8464-3ABE8F2BF1BF}" name="Column6817"/>
    <tableColumn id="6823" xr3:uid="{716B3E52-779C-465E-9C82-1C8F31655958}" name="Column6818"/>
    <tableColumn id="6824" xr3:uid="{7359A55F-2D03-464D-9A22-2E76ED41EC09}" name="Column6819"/>
    <tableColumn id="6825" xr3:uid="{9DA296FE-BA13-4B8E-ACB9-A6778E5B0D18}" name="Column6820"/>
    <tableColumn id="6826" xr3:uid="{2840E502-D386-45EC-9EB1-1FCDEAC6D999}" name="Column6821"/>
    <tableColumn id="6827" xr3:uid="{39791739-B97E-4FE5-82E9-9998A6E632E7}" name="Column6822"/>
    <tableColumn id="6828" xr3:uid="{EB154142-74B4-4FA7-8504-69BF1013CD33}" name="Column6823"/>
    <tableColumn id="6829" xr3:uid="{589536C7-F25F-4A3A-AECF-1F918D841B2C}" name="Column6824"/>
    <tableColumn id="6830" xr3:uid="{9A97D781-1071-4D20-B66B-95469E378D19}" name="Column6825"/>
    <tableColumn id="6831" xr3:uid="{13AD7E79-F38B-449C-A096-EFC94E566486}" name="Column6826"/>
    <tableColumn id="6832" xr3:uid="{1786D458-D0A3-42F3-AB72-072CCCEC5056}" name="Column6827"/>
    <tableColumn id="6833" xr3:uid="{490B592B-0EAE-47D7-8E30-22609A218CD6}" name="Column6828"/>
    <tableColumn id="6834" xr3:uid="{E71EBAC2-130A-4E3C-8D1B-997948778F2C}" name="Column6829"/>
    <tableColumn id="6835" xr3:uid="{B81546B1-130C-40CF-B8F6-4173911C3EA6}" name="Column6830"/>
    <tableColumn id="6836" xr3:uid="{ED2F84FD-445B-4107-B310-267BBC30D79C}" name="Column6831"/>
    <tableColumn id="6837" xr3:uid="{3BC30BB3-5600-44C1-8795-780656803FF1}" name="Column6832"/>
    <tableColumn id="6838" xr3:uid="{DEF5F6E5-E410-4F62-A42E-85B828482ECC}" name="Column6833"/>
    <tableColumn id="6839" xr3:uid="{270168CE-DD4E-4C1C-B6F0-7CABF9B614EB}" name="Column6834"/>
    <tableColumn id="6840" xr3:uid="{EDA5ABBA-3A98-4F05-9AE9-4E06A1F1F8BC}" name="Column6835"/>
    <tableColumn id="6841" xr3:uid="{6CE91FCA-836F-4BD9-90B5-78050E232C22}" name="Column6836"/>
    <tableColumn id="6842" xr3:uid="{941B9F20-7CF0-47BB-813E-4A5E5376913D}" name="Column6837"/>
    <tableColumn id="6843" xr3:uid="{0220CD16-3D0E-4275-9989-191898A9C966}" name="Column6838"/>
    <tableColumn id="6844" xr3:uid="{0718EAC8-A670-4D29-9CC0-5414091CCE71}" name="Column6839"/>
    <tableColumn id="6845" xr3:uid="{9D5E6B11-A8C2-4635-B53B-968CEA7DA924}" name="Column6840"/>
    <tableColumn id="6846" xr3:uid="{0EDAEB05-968C-44EA-8C2C-382BA72509CA}" name="Column6841"/>
    <tableColumn id="6847" xr3:uid="{EE3740EB-7EFC-4FC0-9A1A-C7D5BFF15FC6}" name="Column6842"/>
    <tableColumn id="6848" xr3:uid="{3BB06138-8324-49E9-A562-B3A125A5DFA2}" name="Column6843"/>
    <tableColumn id="6849" xr3:uid="{70B1395C-652D-498D-AA34-F4CFD63F5BFB}" name="Column6844"/>
    <tableColumn id="6850" xr3:uid="{D1BB4BFC-0542-4A49-B972-DCD1B588B529}" name="Column6845"/>
    <tableColumn id="6851" xr3:uid="{8E8DB4E1-C6F7-4742-AA3D-0538CAF7C421}" name="Column6846"/>
    <tableColumn id="6852" xr3:uid="{30BFAA7A-7363-4C77-8577-886973155B18}" name="Column6847"/>
    <tableColumn id="6853" xr3:uid="{695462CA-34D7-4604-A44C-F027DB567D38}" name="Column6848"/>
    <tableColumn id="6854" xr3:uid="{915EF3BB-4860-40BE-B7C1-015A9F6F434B}" name="Column6849"/>
    <tableColumn id="6855" xr3:uid="{5AF2D7D4-3A31-4B6A-824A-12DE993DDDC7}" name="Column6850"/>
    <tableColumn id="6856" xr3:uid="{520C0EC8-4FF6-4C1A-AFB2-D535DAE84100}" name="Column6851"/>
    <tableColumn id="6857" xr3:uid="{472EF09E-1407-44C7-AC5F-7C61F5363AB6}" name="Column6852"/>
    <tableColumn id="6858" xr3:uid="{5A7EB4A9-904B-457A-8CB0-8D0B369D91B4}" name="Column6853"/>
    <tableColumn id="6859" xr3:uid="{906EA2DB-3168-47E6-8689-9611BE740602}" name="Column6854"/>
    <tableColumn id="6860" xr3:uid="{8694DBDD-111F-408C-A8E9-8885483E7925}" name="Column6855"/>
    <tableColumn id="6861" xr3:uid="{BC86110E-B9A6-4A27-A714-59FAAB3299E9}" name="Column6856"/>
    <tableColumn id="6862" xr3:uid="{4AA938CF-5A24-4C05-9BCC-D23A5A4C9829}" name="Column6857"/>
    <tableColumn id="6863" xr3:uid="{CA6F8E6D-B45E-4050-8ACA-FECBE92B65DF}" name="Column6858"/>
    <tableColumn id="6864" xr3:uid="{30B84730-75C0-44BD-A56D-571D217E71AB}" name="Column6859"/>
    <tableColumn id="6865" xr3:uid="{255C6772-5992-4987-A0EB-BCFF85D1F028}" name="Column6860"/>
    <tableColumn id="6866" xr3:uid="{E8EBD53D-0BBE-4315-8586-412D0678342C}" name="Column6861"/>
    <tableColumn id="6867" xr3:uid="{A8835096-78ED-434B-B482-8925EDEEAAFA}" name="Column6862"/>
    <tableColumn id="6868" xr3:uid="{BCDFC781-C129-4B69-80C1-F46B05A78192}" name="Column6863"/>
    <tableColumn id="6869" xr3:uid="{478C19FF-7B85-4985-8DA7-B0F1E84E939D}" name="Column6864"/>
    <tableColumn id="6870" xr3:uid="{83279AD4-87FF-479D-A1E5-CAC54DE8094F}" name="Column6865"/>
    <tableColumn id="6871" xr3:uid="{E6A75393-CCD4-433F-AF5E-77170080C00A}" name="Column6866"/>
    <tableColumn id="6872" xr3:uid="{A360CE42-1E62-4274-8159-A2A2FEEEE245}" name="Column6867"/>
    <tableColumn id="6873" xr3:uid="{24879BC7-7F54-4F2A-8083-48AA1E746B15}" name="Column6868"/>
    <tableColumn id="6874" xr3:uid="{E8DB52A4-75C5-4190-B16C-5947AD525920}" name="Column6869"/>
    <tableColumn id="6875" xr3:uid="{EDAB2FBD-04B4-45D9-AF5F-2E10E96608B8}" name="Column6870"/>
    <tableColumn id="6876" xr3:uid="{8253AF2D-6D89-48A6-B153-EA3DAC11D54F}" name="Column6871"/>
    <tableColumn id="6877" xr3:uid="{D6CB0394-6574-4D91-BF28-0A7E08D0FF4E}" name="Column6872"/>
    <tableColumn id="6878" xr3:uid="{9354F073-0F8B-4796-B554-3FFBF9911C27}" name="Column6873"/>
    <tableColumn id="6879" xr3:uid="{F308F3EA-AF5F-49AB-A21F-B74E54CC7C56}" name="Column6874"/>
    <tableColumn id="6880" xr3:uid="{5E41C2CD-67C2-4628-96D4-E676090A0436}" name="Column6875"/>
    <tableColumn id="6881" xr3:uid="{D607B53C-7589-4DAC-BAD9-7968D33BB36E}" name="Column6876"/>
    <tableColumn id="6882" xr3:uid="{7A3B6C7F-DA0E-4F51-BFF0-69BEFF78C1FD}" name="Column6877"/>
    <tableColumn id="6883" xr3:uid="{0489457B-ED1D-4AF3-A177-7DA90E98AF32}" name="Column6878"/>
    <tableColumn id="6884" xr3:uid="{1BEF3ED9-1EE0-4EB1-8E12-0F3F0C757FDD}" name="Column6879"/>
    <tableColumn id="6885" xr3:uid="{D0A84FF8-505A-4DEC-AD44-270277863A94}" name="Column6880"/>
    <tableColumn id="6886" xr3:uid="{DD37069E-F639-49AA-8F3B-B8A04E655BAF}" name="Column6881"/>
    <tableColumn id="6887" xr3:uid="{3101BD2F-62F4-460E-8F4A-477487590E35}" name="Column6882"/>
    <tableColumn id="6888" xr3:uid="{E53EAFF1-78F9-4FC5-A672-0E9441650C82}" name="Column6883"/>
    <tableColumn id="6889" xr3:uid="{4E8E6A84-FE4C-49FA-9848-B58E56795931}" name="Column6884"/>
    <tableColumn id="6890" xr3:uid="{6FD0D5D8-355B-4E59-9E54-DA9BE9EA1180}" name="Column6885"/>
    <tableColumn id="6891" xr3:uid="{86186787-D563-4ACA-882B-D5B5CFB9097C}" name="Column6886"/>
    <tableColumn id="6892" xr3:uid="{6CE2B66E-EF4E-4B26-9887-59A515E43A96}" name="Column6887"/>
    <tableColumn id="6893" xr3:uid="{0B1252E4-2916-4250-961A-23CE0F97C440}" name="Column6888"/>
    <tableColumn id="6894" xr3:uid="{137DB6FC-B882-4BA6-8EC8-B4397F756AC9}" name="Column6889"/>
    <tableColumn id="6895" xr3:uid="{A20A6ED6-5B2F-44CA-B3DC-746AB89276AF}" name="Column6890"/>
    <tableColumn id="6896" xr3:uid="{AB688C0F-2900-480D-9EA5-E88EA525FA41}" name="Column6891"/>
    <tableColumn id="6897" xr3:uid="{D0E4E09A-65B2-4B91-8EA0-1B86C134F487}" name="Column6892"/>
    <tableColumn id="6898" xr3:uid="{E06CBC75-3B00-4200-846D-1D9755803A1B}" name="Column6893"/>
    <tableColumn id="6899" xr3:uid="{5D537A3E-9BC2-468C-BB7E-7D07AF76D75B}" name="Column6894"/>
    <tableColumn id="6900" xr3:uid="{43771D0A-D98B-4619-B8F9-4A8C175B0072}" name="Column6895"/>
    <tableColumn id="6901" xr3:uid="{D6B622FA-1EBA-4D31-AC3A-E2D7647B8C84}" name="Column6896"/>
    <tableColumn id="6902" xr3:uid="{689FF0B3-5C47-4E44-8C50-0AD6A97C5DF1}" name="Column6897"/>
    <tableColumn id="6903" xr3:uid="{151C8BD3-ED56-4646-A4F5-4159F4895BDE}" name="Column6898"/>
    <tableColumn id="6904" xr3:uid="{9244C42E-FBE2-48E0-A50E-183C91ED5DA9}" name="Column6899"/>
    <tableColumn id="6905" xr3:uid="{BF54B115-519D-4127-A487-0987969579CF}" name="Column6900"/>
    <tableColumn id="6906" xr3:uid="{4296ACD2-1B57-4EF2-B070-2C09C917CEF9}" name="Column6901"/>
    <tableColumn id="6907" xr3:uid="{0D372273-4234-49ED-983C-870CB29ECEEC}" name="Column6902"/>
    <tableColumn id="6908" xr3:uid="{FD238CDE-7435-427C-87EE-0A29728A6D91}" name="Column6903"/>
    <tableColumn id="6909" xr3:uid="{6EEC5ECA-29FE-4017-991A-DD3A95EA8E67}" name="Column6904"/>
    <tableColumn id="6910" xr3:uid="{235A7C09-CA74-4933-A1E2-74059D06E038}" name="Column6905"/>
    <tableColumn id="6911" xr3:uid="{342E84F3-3852-457A-BCCE-FB8AADE38CB6}" name="Column6906"/>
    <tableColumn id="6912" xr3:uid="{55066318-85AC-4C7E-A405-86981E4A58D3}" name="Column6907"/>
    <tableColumn id="6913" xr3:uid="{04FBAB8E-67CE-4AC6-8532-AAC4641351F7}" name="Column6908"/>
    <tableColumn id="6914" xr3:uid="{09CAD6F0-5CBD-4387-84EF-7F49D6D64655}" name="Column6909"/>
    <tableColumn id="6915" xr3:uid="{FCC75025-3C34-415D-A876-230B19C8978F}" name="Column6910"/>
    <tableColumn id="6916" xr3:uid="{FA7A38BD-5405-424E-BBC1-7238B1A5FD09}" name="Column6911"/>
    <tableColumn id="6917" xr3:uid="{285AF1D7-A347-4012-B674-021E25DC40F6}" name="Column6912"/>
    <tableColumn id="6918" xr3:uid="{F06BDF4D-1E2E-4479-ADE9-FC45AF1BD57C}" name="Column6913"/>
    <tableColumn id="6919" xr3:uid="{0EB36FBE-9681-4C38-B68A-E0EA0C482ADA}" name="Column6914"/>
    <tableColumn id="6920" xr3:uid="{631572D7-8321-4C59-A2D8-E7D24F42FCD3}" name="Column6915"/>
    <tableColumn id="6921" xr3:uid="{75AE5966-05BC-4389-B637-AFB5AAA3BF4F}" name="Column6916"/>
    <tableColumn id="6922" xr3:uid="{19A07B2F-F7B8-4371-890A-9538EE907CDD}" name="Column6917"/>
    <tableColumn id="6923" xr3:uid="{6C2432B0-BF86-4CB4-B507-DF0E0F2394DF}" name="Column6918"/>
    <tableColumn id="6924" xr3:uid="{947EB94E-0D01-4D29-B2B8-56436D7F7B83}" name="Column6919"/>
    <tableColumn id="6925" xr3:uid="{FF5F5D06-0C3B-4D44-B748-B5F2753B450A}" name="Column6920"/>
    <tableColumn id="6926" xr3:uid="{BC86A30C-CB9F-4C3E-B5FB-20D1F8CC28DB}" name="Column6921"/>
    <tableColumn id="6927" xr3:uid="{28AB05C3-9455-4889-B3DB-36EC6B1AFA69}" name="Column6922"/>
    <tableColumn id="6928" xr3:uid="{AB7FC5D3-7C21-4A88-98E0-1D742BC7F2CB}" name="Column6923"/>
    <tableColumn id="6929" xr3:uid="{BE248D6A-645D-4FE5-9C17-A3EC619B4E4E}" name="Column6924"/>
    <tableColumn id="6930" xr3:uid="{DB858B8C-809D-4F59-BA41-2F5D8F8317B1}" name="Column6925"/>
    <tableColumn id="6931" xr3:uid="{8FFA794B-60A0-491E-84EB-8C4F2BFF1317}" name="Column6926"/>
    <tableColumn id="6932" xr3:uid="{85051DAB-AD81-48A6-AA41-B5898E89870C}" name="Column6927"/>
    <tableColumn id="6933" xr3:uid="{6312D3BC-6381-473A-8D2C-F5EC1BA4CB5F}" name="Column6928"/>
    <tableColumn id="6934" xr3:uid="{2F47C310-E4B2-44F3-87C1-8E7823CB7455}" name="Column6929"/>
    <tableColumn id="6935" xr3:uid="{FF721D43-8B70-4B6D-9AEB-9941CF2DB4D9}" name="Column6930"/>
    <tableColumn id="6936" xr3:uid="{5EB6B629-07A5-4C71-A387-5F4378E606A9}" name="Column6931"/>
    <tableColumn id="6937" xr3:uid="{0CAF80F9-C620-4ED4-93F7-F15C526DA73B}" name="Column6932"/>
    <tableColumn id="6938" xr3:uid="{17BC5D39-8E34-4F28-BB40-4BFB7613BB11}" name="Column6933"/>
    <tableColumn id="6939" xr3:uid="{421EFE9A-04B9-44C5-8B06-4C6D02348F00}" name="Column6934"/>
    <tableColumn id="6940" xr3:uid="{EED0CEE5-6B87-42A7-A470-8C8A2D0B7DD4}" name="Column6935"/>
    <tableColumn id="6941" xr3:uid="{5D5BA221-CA6D-40B8-AADE-559FCEEEF34E}" name="Column6936"/>
    <tableColumn id="6942" xr3:uid="{9DDA36FF-C121-4D4D-B849-64DEBB0BB54C}" name="Column6937"/>
    <tableColumn id="6943" xr3:uid="{1CFC3060-2773-4820-9EF7-82D4399E4746}" name="Column6938"/>
    <tableColumn id="6944" xr3:uid="{6492F8D0-0C3D-4568-913A-010F073B82E3}" name="Column6939"/>
    <tableColumn id="6945" xr3:uid="{162FB3A1-FCF4-4CAF-BA97-582C9914C4FB}" name="Column6940"/>
    <tableColumn id="6946" xr3:uid="{9861C317-B3C4-4CAD-B42A-768B1B758ACB}" name="Column6941"/>
    <tableColumn id="6947" xr3:uid="{25FAB26B-0895-4202-8DB5-7E83E853766A}" name="Column6942"/>
    <tableColumn id="6948" xr3:uid="{C3D26183-5F65-43AD-91CA-94F89728626C}" name="Column6943"/>
    <tableColumn id="6949" xr3:uid="{CEC8779B-653C-49DA-AF5F-FBF0A523C886}" name="Column6944"/>
    <tableColumn id="6950" xr3:uid="{DCAF1204-BF3A-4FB4-A1A1-B2EB2059884D}" name="Column6945"/>
    <tableColumn id="6951" xr3:uid="{FF78A9AC-D83B-4602-ACE4-22EE4938A3DB}" name="Column6946"/>
    <tableColumn id="6952" xr3:uid="{84F27AB9-3FFC-4084-B855-70E875680AC2}" name="Column6947"/>
    <tableColumn id="6953" xr3:uid="{E8AFBA6B-8BDA-423A-8624-46E769A5A5BE}" name="Column6948"/>
    <tableColumn id="6954" xr3:uid="{6D373BCD-6F0F-4F10-BF0E-1123498FBEA3}" name="Column6949"/>
    <tableColumn id="6955" xr3:uid="{BC056FB3-272D-4A9B-A34A-DA73E3EF59F6}" name="Column6950"/>
    <tableColumn id="6956" xr3:uid="{6A7F47B9-0947-41D4-928A-59C8CEC7159E}" name="Column6951"/>
    <tableColumn id="6957" xr3:uid="{A1273ACC-6A3C-4876-B370-E2215B9CBBB5}" name="Column6952"/>
    <tableColumn id="6958" xr3:uid="{2737CA58-0913-4B83-BAAB-CBD94B46C17A}" name="Column6953"/>
    <tableColumn id="6959" xr3:uid="{9EEA40DA-910E-4ACA-B55F-3D8EDABF8F49}" name="Column6954"/>
    <tableColumn id="6960" xr3:uid="{21400551-E4CB-45F8-B27C-44CEC06B4402}" name="Column6955"/>
    <tableColumn id="6961" xr3:uid="{887C0168-1D21-4BB2-A0EA-F2FF92B83250}" name="Column6956"/>
    <tableColumn id="6962" xr3:uid="{A007FB03-25DF-4039-B4EE-A678A2E5DECF}" name="Column6957"/>
    <tableColumn id="6963" xr3:uid="{81EE5ABD-76F2-4E42-84DF-AFBD0EF2C53E}" name="Column6958"/>
    <tableColumn id="6964" xr3:uid="{5D725D86-A88A-4EB8-A1C8-0F7FB1835BA0}" name="Column6959"/>
    <tableColumn id="6965" xr3:uid="{3A06E57E-21E3-49DE-8EF1-82281064EF54}" name="Column6960"/>
    <tableColumn id="6966" xr3:uid="{91738D91-48AE-4AFF-BF04-741349D81A48}" name="Column6961"/>
    <tableColumn id="6967" xr3:uid="{A9C8246F-F591-47F3-9162-75D278D11450}" name="Column6962"/>
    <tableColumn id="6968" xr3:uid="{DBEF084D-B7DB-44BB-9E5A-26FE0F363613}" name="Column6963"/>
    <tableColumn id="6969" xr3:uid="{EE67807E-EC44-4CF3-86F8-5530096A1AD0}" name="Column6964"/>
    <tableColumn id="6970" xr3:uid="{13B4EB9D-2B53-4DA8-A1C6-14433DE30105}" name="Column6965"/>
    <tableColumn id="6971" xr3:uid="{1851B0AA-140C-4E01-AAA3-B89E33D0EEAE}" name="Column6966"/>
    <tableColumn id="6972" xr3:uid="{4DB2B57D-54A0-4A1F-AAFB-A6D67437AC70}" name="Column6967"/>
    <tableColumn id="6973" xr3:uid="{4393639B-38D8-42FC-8BD4-60A6E68563BE}" name="Column6968"/>
    <tableColumn id="6974" xr3:uid="{96B8D563-84A3-4C13-A75A-DFCFE8A171B7}" name="Column6969"/>
    <tableColumn id="6975" xr3:uid="{F7344AF9-130E-4944-8A88-5F83DF619A90}" name="Column6970"/>
    <tableColumn id="6976" xr3:uid="{32D74C6C-3A8D-4D00-A3F7-695F27096A45}" name="Column6971"/>
    <tableColumn id="6977" xr3:uid="{B33AF620-3B38-47F2-A728-AB9B5FD6C466}" name="Column6972"/>
    <tableColumn id="6978" xr3:uid="{0980FCE6-AF2C-4DC9-8760-71559F8C7DA5}" name="Column6973"/>
    <tableColumn id="6979" xr3:uid="{FDF6B594-113B-4990-8E3B-2499072E8796}" name="Column6974"/>
    <tableColumn id="6980" xr3:uid="{DB01A40E-06E8-4E52-A383-4D92EECA6F60}" name="Column6975"/>
    <tableColumn id="6981" xr3:uid="{3CFD61DD-7D26-4E2D-8532-8384AADE6853}" name="Column6976"/>
    <tableColumn id="6982" xr3:uid="{1651BC7B-B4E2-4735-9492-C076A290F993}" name="Column6977"/>
    <tableColumn id="6983" xr3:uid="{A00876E3-A140-40A4-8147-B7C2EAC44281}" name="Column6978"/>
    <tableColumn id="6984" xr3:uid="{D59353CA-9BDA-4B0D-B359-973DAB52CE97}" name="Column6979"/>
    <tableColumn id="6985" xr3:uid="{EC9330A4-5323-4280-8838-9B2C237A7ECE}" name="Column6980"/>
    <tableColumn id="6986" xr3:uid="{52648412-E0E4-4427-A507-1039488FA7B5}" name="Column6981"/>
    <tableColumn id="6987" xr3:uid="{B932A11B-0296-40CC-A02D-4B8DB4DB08C8}" name="Column6982"/>
    <tableColumn id="6988" xr3:uid="{4ECAB366-E661-4747-846D-FE0511B950AE}" name="Column6983"/>
    <tableColumn id="6989" xr3:uid="{6AFDEF4E-E9B4-4112-8996-1151F6EFA734}" name="Column6984"/>
    <tableColumn id="6990" xr3:uid="{CBDF6968-4F46-4056-86E8-A3D91D9001E1}" name="Column6985"/>
    <tableColumn id="6991" xr3:uid="{A6B75F3B-139A-4C52-8423-9B459C140285}" name="Column6986"/>
    <tableColumn id="6992" xr3:uid="{5A3B8D54-454D-4ED5-9D29-7F65E1287CC2}" name="Column6987"/>
    <tableColumn id="6993" xr3:uid="{D4B60386-FCD4-4B1E-9530-F40F477516DD}" name="Column6988"/>
    <tableColumn id="6994" xr3:uid="{0F0DDA23-F5A7-404B-9BBF-E1BFBBB6DD82}" name="Column6989"/>
    <tableColumn id="6995" xr3:uid="{B4C26D67-4C21-4A56-88C3-C6CA16F6F973}" name="Column6990"/>
    <tableColumn id="6996" xr3:uid="{4480B0D2-27FE-4E87-A0A0-7D58B3BCF72D}" name="Column6991"/>
    <tableColumn id="6997" xr3:uid="{BD30BE16-359A-4F49-9078-B2D7123C44E5}" name="Column6992"/>
    <tableColumn id="6998" xr3:uid="{2AF5B96F-8BD8-49B0-B393-44206A55C38A}" name="Column6993"/>
    <tableColumn id="6999" xr3:uid="{56BE975C-D404-4369-976A-7B5F7E3099B1}" name="Column6994"/>
    <tableColumn id="7000" xr3:uid="{6095DE0A-CDAC-409B-8F13-07F191006296}" name="Column6995"/>
    <tableColumn id="7001" xr3:uid="{796F5F2B-87D9-47CF-9830-85DB4E521461}" name="Column6996"/>
    <tableColumn id="7002" xr3:uid="{6CA2E69C-5A53-44AB-B817-836F9BED8C54}" name="Column6997"/>
    <tableColumn id="7003" xr3:uid="{479D000D-97E3-43F2-93DA-69AE5F6C42D5}" name="Column6998"/>
    <tableColumn id="7004" xr3:uid="{0CEF581B-A625-4216-8BF8-794132B9D4EA}" name="Column6999"/>
    <tableColumn id="7005" xr3:uid="{C3457D5F-C373-46CF-849B-B5E0DBC239D6}" name="Column7000"/>
    <tableColumn id="7006" xr3:uid="{0D148A9E-E53C-4534-A646-D3C4655FF4D5}" name="Column7001"/>
    <tableColumn id="7007" xr3:uid="{E13CB679-147F-463F-990D-1CD0510DC184}" name="Column7002"/>
    <tableColumn id="7008" xr3:uid="{A1A45227-9098-4C0B-86AB-A8A4A1606FC4}" name="Column7003"/>
    <tableColumn id="7009" xr3:uid="{3E23F7D9-C42E-4A60-8066-B8436B638778}" name="Column7004"/>
    <tableColumn id="7010" xr3:uid="{CFE1CF0E-2841-4F10-8DBC-62C28D56F975}" name="Column7005"/>
    <tableColumn id="7011" xr3:uid="{EB3A8713-469C-4D29-8681-8458CF862BA0}" name="Column7006"/>
    <tableColumn id="7012" xr3:uid="{AAD72E8C-171F-44B1-989F-882069818835}" name="Column7007"/>
    <tableColumn id="7013" xr3:uid="{556EE0D7-8D5B-4CD9-A567-E8537B01C489}" name="Column7008"/>
    <tableColumn id="7014" xr3:uid="{E980038F-128F-40A9-A612-A8D30A97FA8B}" name="Column7009"/>
    <tableColumn id="7015" xr3:uid="{6FBA8B59-3FAF-45B7-931E-B49488CF0D2A}" name="Column7010"/>
    <tableColumn id="7016" xr3:uid="{FBBF373E-AEDD-40FF-8864-DF15B49C1589}" name="Column7011"/>
    <tableColumn id="7017" xr3:uid="{C5DFC41E-C116-47A0-A2C0-B47A666747AC}" name="Column7012"/>
    <tableColumn id="7018" xr3:uid="{B81DFF49-48AA-41B3-82E5-D335191E692F}" name="Column7013"/>
    <tableColumn id="7019" xr3:uid="{4D85B059-6741-495F-BBD7-F5FE4A0C03C9}" name="Column7014"/>
    <tableColumn id="7020" xr3:uid="{9A793768-2C73-4288-8A7D-F52E87CE2675}" name="Column7015"/>
    <tableColumn id="7021" xr3:uid="{6E26C709-331E-4E5C-A7C6-91828EE1B8F0}" name="Column7016"/>
    <tableColumn id="7022" xr3:uid="{839CBE38-AFEC-42EC-9C89-4E29B5282B0B}" name="Column7017"/>
    <tableColumn id="7023" xr3:uid="{7ACF5483-081B-4F2A-A309-C3F66D057013}" name="Column7018"/>
    <tableColumn id="7024" xr3:uid="{D4117C1C-B821-4708-8715-DE81A203C4CE}" name="Column7019"/>
    <tableColumn id="7025" xr3:uid="{E4F57451-1C51-4190-AC30-0A33AD54D42E}" name="Column7020"/>
    <tableColumn id="7026" xr3:uid="{4FE6F47C-47CC-4C67-AD1D-8AD23C9BEDF5}" name="Column7021"/>
    <tableColumn id="7027" xr3:uid="{55AE0B9B-EFE3-455C-859E-42D5E2B691F5}" name="Column7022"/>
    <tableColumn id="7028" xr3:uid="{FC865EE8-FFED-4843-92DE-0577D6CE2270}" name="Column7023"/>
    <tableColumn id="7029" xr3:uid="{AA67744B-897B-426B-9AC2-6651375BDABB}" name="Column7024"/>
    <tableColumn id="7030" xr3:uid="{49466917-34F5-47FA-96D1-F176CA974613}" name="Column7025"/>
    <tableColumn id="7031" xr3:uid="{7D851D9C-040E-49E9-9584-A03E4F66EFFB}" name="Column7026"/>
    <tableColumn id="7032" xr3:uid="{9FAF1480-AE58-4EF3-8A60-6174C80A288E}" name="Column7027"/>
    <tableColumn id="7033" xr3:uid="{F20EABB7-281B-45CC-B51F-C024044D2C8A}" name="Column7028"/>
    <tableColumn id="7034" xr3:uid="{30E50316-8E91-4AC9-9F65-8FA46CD80D5D}" name="Column7029"/>
    <tableColumn id="7035" xr3:uid="{22FC62AE-83E9-403D-969A-2FE90CF5B2AA}" name="Column7030"/>
    <tableColumn id="7036" xr3:uid="{3258E012-895D-4B62-A9E0-76F7D349109B}" name="Column7031"/>
    <tableColumn id="7037" xr3:uid="{CC468BB0-ED51-4C5C-98B2-A12D945EEA7F}" name="Column7032"/>
    <tableColumn id="7038" xr3:uid="{F8B2FF90-6C32-413C-A5C7-D1CAE6DC16DC}" name="Column7033"/>
    <tableColumn id="7039" xr3:uid="{7F5676C7-7B91-42A0-9C0C-3FC192D56C3C}" name="Column7034"/>
    <tableColumn id="7040" xr3:uid="{57D90FD6-4204-482C-91E0-7CF8259CCFEE}" name="Column7035"/>
    <tableColumn id="7041" xr3:uid="{4B87827C-3073-40F4-A343-D17EBF92E269}" name="Column7036"/>
    <tableColumn id="7042" xr3:uid="{1A92F399-D7A1-4674-8449-3A8928588DDD}" name="Column7037"/>
    <tableColumn id="7043" xr3:uid="{140EA123-D94B-4A5E-9DAF-926C1B8B2193}" name="Column7038"/>
    <tableColumn id="7044" xr3:uid="{A28BDB62-CB34-4EBE-9420-0386FDEED85F}" name="Column7039"/>
    <tableColumn id="7045" xr3:uid="{5ADCB6DF-720E-447A-B1DB-D7997B573CAE}" name="Column7040"/>
    <tableColumn id="7046" xr3:uid="{CD9A6333-CD8E-4967-8A9B-70C7E07E1B09}" name="Column7041"/>
    <tableColumn id="7047" xr3:uid="{59405055-4D9E-4896-A03B-DD7AF55A4AD1}" name="Column7042"/>
    <tableColumn id="7048" xr3:uid="{FA43DEFC-DE7B-4E86-9C44-E6521188470D}" name="Column7043"/>
    <tableColumn id="7049" xr3:uid="{7CB74217-7651-483C-B8BA-E279EE0AB8E7}" name="Column7044"/>
    <tableColumn id="7050" xr3:uid="{02ED2286-FAC9-4EB2-96C7-7E1199B45A9D}" name="Column7045"/>
    <tableColumn id="7051" xr3:uid="{9508582C-A112-4696-A8A6-D73A3242338A}" name="Column7046"/>
    <tableColumn id="7052" xr3:uid="{B6904440-0C79-4629-A24B-F15D5910FD11}" name="Column7047"/>
    <tableColumn id="7053" xr3:uid="{ECA52E31-101B-42D9-88E8-DE7D8E0E4CCC}" name="Column7048"/>
    <tableColumn id="7054" xr3:uid="{73562193-5DF1-4B04-B8CB-E6D740ED354E}" name="Column7049"/>
    <tableColumn id="7055" xr3:uid="{4E173ABE-D245-4AEF-821D-C8F801E339FF}" name="Column7050"/>
    <tableColumn id="7056" xr3:uid="{736CC0B9-5F3E-4385-9D35-D1652ACEED5C}" name="Column7051"/>
    <tableColumn id="7057" xr3:uid="{572D7FD7-E79D-4DFB-A597-C052AF6E693B}" name="Column7052"/>
    <tableColumn id="7058" xr3:uid="{D84DFBB7-2AE9-4270-88F0-6A22C5C86D5B}" name="Column7053"/>
    <tableColumn id="7059" xr3:uid="{27845790-968D-4E42-B14B-3F468589749D}" name="Column7054"/>
    <tableColumn id="7060" xr3:uid="{7DC2CD96-00E9-42ED-822D-83A3BFE6F670}" name="Column7055"/>
    <tableColumn id="7061" xr3:uid="{08194121-B5F5-4BD3-A6AF-AD88B1991649}" name="Column7056"/>
    <tableColumn id="7062" xr3:uid="{5572474E-6179-4DD2-9333-DBF128F297E3}" name="Column7057"/>
    <tableColumn id="7063" xr3:uid="{F702B87D-F143-4105-B009-1B8E3B4D7AB4}" name="Column7058"/>
    <tableColumn id="7064" xr3:uid="{F8D2FE52-CE07-4C85-AD69-8C6C1047E8CA}" name="Column7059"/>
    <tableColumn id="7065" xr3:uid="{58458F25-7A05-4263-96F1-6577278F9F1F}" name="Column7060"/>
    <tableColumn id="7066" xr3:uid="{5906864B-7393-4F45-9737-5E59D359F369}" name="Column7061"/>
    <tableColumn id="7067" xr3:uid="{BDE25C6E-EAD4-46C4-8E9F-3C6900E1CE38}" name="Column7062"/>
    <tableColumn id="7068" xr3:uid="{FBE36572-A7B0-4068-87FE-6B899789507A}" name="Column7063"/>
    <tableColumn id="7069" xr3:uid="{6193AD61-ED8E-4233-A974-0A7595FC9901}" name="Column7064"/>
    <tableColumn id="7070" xr3:uid="{BB5342CA-EB54-469B-BD1B-535212388F5D}" name="Column7065"/>
    <tableColumn id="7071" xr3:uid="{956418AB-A525-44FD-BF45-7306C59DABD7}" name="Column7066"/>
    <tableColumn id="7072" xr3:uid="{2D8597B3-2108-42F8-BF42-2209465C9463}" name="Column7067"/>
    <tableColumn id="7073" xr3:uid="{745BD76A-D686-4E6B-A386-137E1B56786F}" name="Column7068"/>
    <tableColumn id="7074" xr3:uid="{B4AFD0DD-3E41-40B1-B236-D9B85AC947D0}" name="Column7069"/>
    <tableColumn id="7075" xr3:uid="{86076FE8-CC4C-4784-ADE5-26C424682C00}" name="Column7070"/>
    <tableColumn id="7076" xr3:uid="{02A3868F-DC81-4D1E-979C-A2678A503162}" name="Column7071"/>
    <tableColumn id="7077" xr3:uid="{5EA06AD3-FEA3-4F8A-939F-BFF8870CF0DC}" name="Column7072"/>
    <tableColumn id="7078" xr3:uid="{EDDD7623-3FEB-4989-90FB-9806EEE0762D}" name="Column7073"/>
    <tableColumn id="7079" xr3:uid="{C315BB6A-8982-400D-A126-EFC6CAB3FF1A}" name="Column7074"/>
    <tableColumn id="7080" xr3:uid="{F6B76A3C-95AE-4770-9F2F-241AB2F21F84}" name="Column7075"/>
    <tableColumn id="7081" xr3:uid="{B2E29AB9-5574-420F-AC3E-02E4A7EEF867}" name="Column7076"/>
    <tableColumn id="7082" xr3:uid="{3546680A-5DD6-4FD9-BA50-587951B6758E}" name="Column7077"/>
    <tableColumn id="7083" xr3:uid="{7A8290F7-B4FB-423C-8344-83BF81F66518}" name="Column7078"/>
    <tableColumn id="7084" xr3:uid="{6176E2F4-8ECF-46C6-AC33-0812D735121B}" name="Column7079"/>
    <tableColumn id="7085" xr3:uid="{44A201D2-FE20-4033-87A4-9B7EA7549A96}" name="Column7080"/>
    <tableColumn id="7086" xr3:uid="{AAC0B803-1C1B-4694-B98B-EB9294C35CE6}" name="Column7081"/>
    <tableColumn id="7087" xr3:uid="{C50DA9A0-78F1-4538-BB3A-7D3ADF2ADDFF}" name="Column7082"/>
    <tableColumn id="7088" xr3:uid="{678FD22E-7157-4371-B27E-ACF97365C63D}" name="Column7083"/>
    <tableColumn id="7089" xr3:uid="{EFCFE473-FF1F-4297-81FC-C08091EEC63E}" name="Column7084"/>
    <tableColumn id="7090" xr3:uid="{7B874375-C619-48D2-B3B6-88138F9C1CDC}" name="Column7085"/>
    <tableColumn id="7091" xr3:uid="{C78717B2-1AFF-4172-9B2D-DF6B6EA7602A}" name="Column7086"/>
    <tableColumn id="7092" xr3:uid="{15B24CED-9ACD-4058-B6FD-18FDE2C9051D}" name="Column7087"/>
    <tableColumn id="7093" xr3:uid="{44264290-8E8F-48AF-9BD3-834C60FF6C35}" name="Column7088"/>
    <tableColumn id="7094" xr3:uid="{9E914B4F-2E03-49DD-9A6F-8F2A70E9971F}" name="Column7089"/>
    <tableColumn id="7095" xr3:uid="{663B4FFE-38FE-4133-9DF2-AE07AA0EA6A0}" name="Column7090"/>
    <tableColumn id="7096" xr3:uid="{4C6D4308-A843-400C-99FC-E430D3532F88}" name="Column7091"/>
    <tableColumn id="7097" xr3:uid="{5DFDB30C-A153-4A96-86AD-4C111CF0F69D}" name="Column7092"/>
    <tableColumn id="7098" xr3:uid="{550C8C6A-FFCC-439F-A996-EC13D7BB4967}" name="Column7093"/>
    <tableColumn id="7099" xr3:uid="{0BC866FF-FDED-4A20-9AE9-59E22C010A0A}" name="Column7094"/>
    <tableColumn id="7100" xr3:uid="{D721B54B-7836-440B-AEC6-6601E125C28F}" name="Column7095"/>
    <tableColumn id="7101" xr3:uid="{FDB8ACEA-AFAC-4D48-BEC9-3A8FA5467258}" name="Column7096"/>
    <tableColumn id="7102" xr3:uid="{A0565711-2CAC-40A7-8F1C-16636104E4CF}" name="Column7097"/>
    <tableColumn id="7103" xr3:uid="{8AD9BAED-603F-4364-9B44-8B931EE68053}" name="Column7098"/>
    <tableColumn id="7104" xr3:uid="{E53E5ADE-707D-4592-9364-CB5A2E3E7E64}" name="Column7099"/>
    <tableColumn id="7105" xr3:uid="{6B0780EA-5081-4496-9C19-FD7CE791555D}" name="Column7100"/>
    <tableColumn id="7106" xr3:uid="{AB02B4D0-DE3A-4ABF-94AA-B62746490522}" name="Column7101"/>
    <tableColumn id="7107" xr3:uid="{FF92FAE2-BC9C-46ED-B8A0-0196C2DC9200}" name="Column7102"/>
    <tableColumn id="7108" xr3:uid="{632BFE08-3D70-4B7F-8F69-055904B115F2}" name="Column7103"/>
    <tableColumn id="7109" xr3:uid="{F7D3B3AD-072D-496F-91AE-619D9F4F23E8}" name="Column7104"/>
    <tableColumn id="7110" xr3:uid="{160E8E01-2E1C-4FEF-949D-BFA0429843FE}" name="Column7105"/>
    <tableColumn id="7111" xr3:uid="{2B3B8ADB-BC41-4779-8354-03FC7B798AB9}" name="Column7106"/>
    <tableColumn id="7112" xr3:uid="{0B4B5F3B-3773-4373-8D75-5A0685FAA799}" name="Column7107"/>
    <tableColumn id="7113" xr3:uid="{2FFBFC47-334A-4778-8ED1-EB056E4240E8}" name="Column7108"/>
    <tableColumn id="7114" xr3:uid="{772D8E66-590D-4E05-826D-10745B597E2F}" name="Column7109"/>
    <tableColumn id="7115" xr3:uid="{CC827FC5-568E-4326-8FD5-054117687228}" name="Column7110"/>
    <tableColumn id="7116" xr3:uid="{288DCE7F-5184-4261-A7A2-6A1BFD315DFB}" name="Column7111"/>
    <tableColumn id="7117" xr3:uid="{AD2AF6C3-28D1-4C41-BAF8-DF7A1FF2A61F}" name="Column7112"/>
    <tableColumn id="7118" xr3:uid="{D29B7D26-7AF9-44C1-B03D-4406A1F1808C}" name="Column7113"/>
    <tableColumn id="7119" xr3:uid="{6B98375C-30C5-47FA-9B7C-1F59FBE4E055}" name="Column7114"/>
    <tableColumn id="7120" xr3:uid="{53B29B79-AEE9-42DC-9CD0-A8BE7FF2F183}" name="Column7115"/>
    <tableColumn id="7121" xr3:uid="{33CB6B40-048E-47C2-90E7-F829F821AACD}" name="Column7116"/>
    <tableColumn id="7122" xr3:uid="{1B457237-B73E-4D51-AA8B-93C857075949}" name="Column7117"/>
    <tableColumn id="7123" xr3:uid="{76B1AAEF-5929-4E67-9761-220B4EBC498A}" name="Column7118"/>
    <tableColumn id="7124" xr3:uid="{1353875E-F818-4C2D-833F-BB1B9B8F8926}" name="Column7119"/>
    <tableColumn id="7125" xr3:uid="{D5491C4A-6787-4690-8DDE-D1ECEBA6D122}" name="Column7120"/>
    <tableColumn id="7126" xr3:uid="{901EEF4E-1653-448F-82CE-61A1A21D5946}" name="Column7121"/>
    <tableColumn id="7127" xr3:uid="{6F1F867F-6C72-4D78-BD11-C988F7CD81A7}" name="Column7122"/>
    <tableColumn id="7128" xr3:uid="{AB512A75-3420-4443-A9E3-51A317AFD8E4}" name="Column7123"/>
    <tableColumn id="7129" xr3:uid="{B23382BE-CC8E-4E03-A512-B5EC6681FE98}" name="Column7124"/>
    <tableColumn id="7130" xr3:uid="{82FF1FE3-AD73-4274-B2E0-DD6CD3751DD4}" name="Column7125"/>
    <tableColumn id="7131" xr3:uid="{EF3DD9C7-11A2-4136-A2F8-FDF340FEF7E0}" name="Column7126"/>
    <tableColumn id="7132" xr3:uid="{1F674FF8-64DD-4A02-B638-1D33ABB05CBD}" name="Column7127"/>
    <tableColumn id="7133" xr3:uid="{F693510B-8C5C-4405-A89F-F7D17B239BCF}" name="Column7128"/>
    <tableColumn id="7134" xr3:uid="{A132E334-4E88-4E55-9E52-55DF11FE9C46}" name="Column7129"/>
    <tableColumn id="7135" xr3:uid="{EC0C9E83-B506-4B4E-8F18-33BEAF7B06BB}" name="Column7130"/>
    <tableColumn id="7136" xr3:uid="{6FC00D69-23B9-4E6A-9598-12EE32BA8BA7}" name="Column7131"/>
    <tableColumn id="7137" xr3:uid="{1EFE5A16-7EEE-410E-8414-C25F02DB7068}" name="Column7132"/>
    <tableColumn id="7138" xr3:uid="{0114F376-445B-4291-B8EC-F83215969C9C}" name="Column7133"/>
    <tableColumn id="7139" xr3:uid="{B529EAB0-DF80-4B29-B0AA-1075E9E56A29}" name="Column7134"/>
    <tableColumn id="7140" xr3:uid="{D07591B2-3E96-4397-AE20-C8317FD01FD3}" name="Column7135"/>
    <tableColumn id="7141" xr3:uid="{BF58B04C-35BC-439D-8054-0B98D808BBD2}" name="Column7136"/>
    <tableColumn id="7142" xr3:uid="{5EA7C815-C3C0-4399-952F-1A32E5AF34EB}" name="Column7137"/>
    <tableColumn id="7143" xr3:uid="{3A8DD95C-1DB8-4BD9-9395-8C7AC1A17B37}" name="Column7138"/>
    <tableColumn id="7144" xr3:uid="{9F5661CD-8E49-4F8D-A406-403D8278D0B4}" name="Column7139"/>
    <tableColumn id="7145" xr3:uid="{3CB73AA0-0B15-4142-8039-9DA546A8FE96}" name="Column7140"/>
    <tableColumn id="7146" xr3:uid="{2D224847-6B78-4762-9EDA-ED45106C7436}" name="Column7141"/>
    <tableColumn id="7147" xr3:uid="{526C9F44-D9BA-40C8-9E7D-6196DBF9D9EB}" name="Column7142"/>
    <tableColumn id="7148" xr3:uid="{3B7514E8-0622-41BF-AFCB-B63A8E83D3BF}" name="Column7143"/>
    <tableColumn id="7149" xr3:uid="{9AF50CA2-B993-47A2-946F-7B957E4B19B7}" name="Column7144"/>
    <tableColumn id="7150" xr3:uid="{F43A74D7-D2EA-483F-B2CA-C99CC7358E43}" name="Column7145"/>
    <tableColumn id="7151" xr3:uid="{8178B558-8366-4417-81E2-9256C897609E}" name="Column7146"/>
    <tableColumn id="7152" xr3:uid="{3288386C-1AC5-47DA-BFD5-E2D044ABD952}" name="Column7147"/>
    <tableColumn id="7153" xr3:uid="{845E1AAF-1A07-47EE-BD43-B1AD7D90B490}" name="Column7148"/>
    <tableColumn id="7154" xr3:uid="{53902DE0-6017-47EE-83B8-701CD4D94081}" name="Column7149"/>
    <tableColumn id="7155" xr3:uid="{DD02497E-3F9F-4456-81F1-4785E6A3EE30}" name="Column7150"/>
    <tableColumn id="7156" xr3:uid="{5F32162D-BACE-49EC-9CD5-86FAD9238D27}" name="Column7151"/>
    <tableColumn id="7157" xr3:uid="{9CD2C003-7A62-4D64-9598-421A5538F58B}" name="Column7152"/>
    <tableColumn id="7158" xr3:uid="{59A882F2-7569-4A6A-B111-70C5F6A9D52D}" name="Column7153"/>
    <tableColumn id="7159" xr3:uid="{3C852460-EC15-4EC1-AC60-CD373EDE7157}" name="Column7154"/>
    <tableColumn id="7160" xr3:uid="{8E6608EA-79A6-44FA-BB09-1317C66DDD9B}" name="Column7155"/>
    <tableColumn id="7161" xr3:uid="{41331687-8252-42C2-BB91-1AE0BE6158DE}" name="Column7156"/>
    <tableColumn id="7162" xr3:uid="{A2D017A1-2D33-4254-971A-612622745EB9}" name="Column7157"/>
    <tableColumn id="7163" xr3:uid="{F9FE233C-2F65-4EC6-968C-F035FC8FD273}" name="Column7158"/>
    <tableColumn id="7164" xr3:uid="{6C43996D-9B4A-4463-B74F-E90C45CD8EE4}" name="Column7159"/>
    <tableColumn id="7165" xr3:uid="{0D8647E0-1305-428F-BDA7-F4CF324FC795}" name="Column7160"/>
    <tableColumn id="7166" xr3:uid="{6A34317C-E0F6-41A4-B406-6EDEA45E8B43}" name="Column7161"/>
    <tableColumn id="7167" xr3:uid="{8CD3FF1C-4DCC-4F84-B9FD-533C3CEE7A66}" name="Column7162"/>
    <tableColumn id="7168" xr3:uid="{4B4F2C14-926B-4BEF-9037-B97340501898}" name="Column7163"/>
    <tableColumn id="7169" xr3:uid="{70841304-8325-4D2B-8970-E8C31E52983D}" name="Column7164"/>
    <tableColumn id="7170" xr3:uid="{1A4D313E-BE22-4875-9DC2-2F3539A765FD}" name="Column7165"/>
    <tableColumn id="7171" xr3:uid="{680A0E31-85A1-488E-AA71-E62D80310B66}" name="Column7166"/>
    <tableColumn id="7172" xr3:uid="{87C5B8D2-1D72-4F00-8F0E-222C5B4C40DB}" name="Column7167"/>
    <tableColumn id="7173" xr3:uid="{9A6FEC87-706B-4FC0-B10B-D672FC7AC695}" name="Column7168"/>
    <tableColumn id="7174" xr3:uid="{6CA06C1F-975C-4818-B10B-4B4238B2D605}" name="Column7169"/>
    <tableColumn id="7175" xr3:uid="{5EB0E6A2-7D81-4C9F-B4BE-A7DFFD47481A}" name="Column7170"/>
    <tableColumn id="7176" xr3:uid="{DD562727-5A62-488B-A7B3-5DD537A9B409}" name="Column7171"/>
    <tableColumn id="7177" xr3:uid="{7F450D4E-7520-49EB-8600-EE421DF6FC77}" name="Column7172"/>
    <tableColumn id="7178" xr3:uid="{8927ADF3-3F96-423C-82A2-069901EF7EF3}" name="Column7173"/>
    <tableColumn id="7179" xr3:uid="{6956986B-1E48-4184-80F1-0F892D7FA833}" name="Column7174"/>
    <tableColumn id="7180" xr3:uid="{6A45099D-2A18-4EAB-9DD1-371D4E83C55C}" name="Column7175"/>
    <tableColumn id="7181" xr3:uid="{228A97F7-F895-417E-957C-DBEC64E64555}" name="Column7176"/>
    <tableColumn id="7182" xr3:uid="{56469A34-8997-4587-BCFB-228CDF523F2F}" name="Column7177"/>
    <tableColumn id="7183" xr3:uid="{2FB0EEF3-0368-416A-B648-CF491146856C}" name="Column7178"/>
    <tableColumn id="7184" xr3:uid="{6B42078F-732D-4397-8CDE-2FF9E8149089}" name="Column7179"/>
    <tableColumn id="7185" xr3:uid="{E63E537C-71DF-47DA-8BD6-7445651B4626}" name="Column7180"/>
    <tableColumn id="7186" xr3:uid="{5960763F-F3C6-4C45-A195-D40B456EF9B5}" name="Column7181"/>
    <tableColumn id="7187" xr3:uid="{4C534185-B710-4C2D-8444-A55E05BADC10}" name="Column7182"/>
    <tableColumn id="7188" xr3:uid="{C2961D6D-A8F1-4A84-BF33-28C86589AAA3}" name="Column7183"/>
    <tableColumn id="7189" xr3:uid="{3CA3E0E7-E196-4A44-862A-DC670790CF83}" name="Column7184"/>
    <tableColumn id="7190" xr3:uid="{A2B4BB96-6C0B-4F90-810E-BA8A09C3EBD0}" name="Column7185"/>
    <tableColumn id="7191" xr3:uid="{17791489-EB42-4D9E-81FE-07132E4F1035}" name="Column7186"/>
    <tableColumn id="7192" xr3:uid="{6C40D183-2DE9-48F3-9DDD-A91197A32777}" name="Column7187"/>
    <tableColumn id="7193" xr3:uid="{562E917B-EF82-42EF-8A72-937189DD1E4A}" name="Column7188"/>
    <tableColumn id="7194" xr3:uid="{EF67F440-A113-47DF-8140-E48F9DCCC52A}" name="Column7189"/>
    <tableColumn id="7195" xr3:uid="{6BED5B0E-35DF-480F-BD40-C601791450DE}" name="Column7190"/>
    <tableColumn id="7196" xr3:uid="{7151DABD-C9A3-4A90-850C-22A0BDDEFF90}" name="Column7191"/>
    <tableColumn id="7197" xr3:uid="{BEBF1212-3FD6-4294-ACC1-77CE80828F16}" name="Column7192"/>
    <tableColumn id="7198" xr3:uid="{7E75B518-1A12-45CA-B554-03F716E049BC}" name="Column7193"/>
    <tableColumn id="7199" xr3:uid="{B8891EED-70E3-41B2-A72E-42D8EF5B187A}" name="Column7194"/>
    <tableColumn id="7200" xr3:uid="{70017B6C-F14D-4395-B3A5-3256A2F3AB29}" name="Column7195"/>
    <tableColumn id="7201" xr3:uid="{3652416B-45D3-4086-B53A-22D9A163D2A6}" name="Column7196"/>
    <tableColumn id="7202" xr3:uid="{523A688A-CDE0-47FC-9E1B-BB250D71CE08}" name="Column7197"/>
    <tableColumn id="7203" xr3:uid="{7630EC32-3098-49EC-A094-3DC499078B05}" name="Column7198"/>
    <tableColumn id="7204" xr3:uid="{FFEDB5AA-A867-44D4-9A1A-A010345F772A}" name="Column7199"/>
    <tableColumn id="7205" xr3:uid="{CCA075EA-ED3B-4CD5-B0F2-BC2C11B92650}" name="Column7200"/>
    <tableColumn id="7206" xr3:uid="{C4B49C57-5CD2-4BF6-8DD8-85D7B1FEA50E}" name="Column7201"/>
    <tableColumn id="7207" xr3:uid="{67C48861-25F5-458A-9278-D626221438F0}" name="Column7202"/>
    <tableColumn id="7208" xr3:uid="{1AFAB391-2B6E-4267-8726-FF01F7B2EA87}" name="Column7203"/>
    <tableColumn id="7209" xr3:uid="{E261B436-A649-4EB5-A5F1-5F4B5E17A381}" name="Column7204"/>
    <tableColumn id="7210" xr3:uid="{6A43F176-5783-4BB2-A800-E18514A24725}" name="Column7205"/>
    <tableColumn id="7211" xr3:uid="{BA4F8166-7DFE-4B3C-AB59-1C08731ACD83}" name="Column7206"/>
    <tableColumn id="7212" xr3:uid="{3741D6BF-2C89-4EDD-9329-F363CF3AB44A}" name="Column7207"/>
    <tableColumn id="7213" xr3:uid="{9C703253-8934-46F0-AE31-72C47D786A43}" name="Column7208"/>
    <tableColumn id="7214" xr3:uid="{322B7E6D-39D5-4893-9C4B-849C3986FDCE}" name="Column7209"/>
    <tableColumn id="7215" xr3:uid="{6D119004-700D-436C-A36E-204A1764B5BC}" name="Column7210"/>
    <tableColumn id="7216" xr3:uid="{A623C9B2-F50E-48BF-A99F-8C81902DAC44}" name="Column7211"/>
    <tableColumn id="7217" xr3:uid="{27416722-C874-470B-9A7E-7E3C2ED83D55}" name="Column7212"/>
    <tableColumn id="7218" xr3:uid="{AFB89AB2-B666-4CC0-A80C-651E1ACDE944}" name="Column7213"/>
    <tableColumn id="7219" xr3:uid="{CC76DFB0-96FB-47D6-A372-83754FB7E380}" name="Column7214"/>
    <tableColumn id="7220" xr3:uid="{1F5D369E-BE0B-40D2-BB4F-567CFCFD7662}" name="Column7215"/>
    <tableColumn id="7221" xr3:uid="{677400FF-05FE-4461-9132-5BA641648A84}" name="Column7216"/>
    <tableColumn id="7222" xr3:uid="{C1AB9886-FF0E-4FD5-AEB1-428A38ED7CED}" name="Column7217"/>
    <tableColumn id="7223" xr3:uid="{E3378D48-2DB5-430F-A8BB-797F175DBE27}" name="Column7218"/>
    <tableColumn id="7224" xr3:uid="{08A72360-A406-415D-9797-2FD71A8E9BFE}" name="Column7219"/>
    <tableColumn id="7225" xr3:uid="{6B2531AA-83FC-4687-8F55-0405524265DC}" name="Column7220"/>
    <tableColumn id="7226" xr3:uid="{7D9EB19F-07E8-4E24-B12F-A69D502D54E7}" name="Column7221"/>
    <tableColumn id="7227" xr3:uid="{07736C21-F612-4C53-BB23-9008AF4BAE82}" name="Column7222"/>
    <tableColumn id="7228" xr3:uid="{481CC688-F511-48D2-ABA3-2FA5879445AA}" name="Column7223"/>
    <tableColumn id="7229" xr3:uid="{BF0A6A99-21F1-421E-8CB5-D90521E02E92}" name="Column7224"/>
    <tableColumn id="7230" xr3:uid="{3F1B327C-A85A-4C79-8258-CF1E5B22D872}" name="Column7225"/>
    <tableColumn id="7231" xr3:uid="{2854BF35-5867-42DC-AF0A-0B2155109D6D}" name="Column7226"/>
    <tableColumn id="7232" xr3:uid="{FCED21DE-EF5D-48CF-A3BF-ED2103D76CFA}" name="Column7227"/>
    <tableColumn id="7233" xr3:uid="{CBEAFE22-8C5F-45EE-9B15-101CF2FC4E5E}" name="Column7228"/>
    <tableColumn id="7234" xr3:uid="{B8D27A83-FD31-4F84-8202-48B670E13B90}" name="Column7229"/>
    <tableColumn id="7235" xr3:uid="{04C4E601-1F6D-4DBD-A0D8-14B1F6722571}" name="Column7230"/>
    <tableColumn id="7236" xr3:uid="{0544C885-0EFB-4579-B3D0-79FAA69275A1}" name="Column7231"/>
    <tableColumn id="7237" xr3:uid="{C364056D-FD33-4933-B05D-32E88624EBD3}" name="Column7232"/>
    <tableColumn id="7238" xr3:uid="{8F460809-540B-44A6-A834-4064431D1C2B}" name="Column7233"/>
    <tableColumn id="7239" xr3:uid="{96D0232F-BE29-4571-82FD-9C119509AA96}" name="Column7234"/>
    <tableColumn id="7240" xr3:uid="{39FD6B5B-C01D-4FB0-8C68-F769E42CF58C}" name="Column7235"/>
    <tableColumn id="7241" xr3:uid="{6C41C387-5A67-496C-8098-E463F517E682}" name="Column7236"/>
    <tableColumn id="7242" xr3:uid="{C6F71548-6224-4CB7-B39F-5E1A21E8F1F9}" name="Column7237"/>
    <tableColumn id="7243" xr3:uid="{EB30FDED-754F-4677-B368-D00C6B99FD4E}" name="Column7238"/>
    <tableColumn id="7244" xr3:uid="{34A92FC6-B9D3-4286-891D-CE868E93D6C1}" name="Column7239"/>
    <tableColumn id="7245" xr3:uid="{BB5AF767-DCB4-4DA8-A53B-2FA5D4F860FE}" name="Column7240"/>
    <tableColumn id="7246" xr3:uid="{53C3E53D-5105-4620-A535-180250C3F15C}" name="Column7241"/>
    <tableColumn id="7247" xr3:uid="{604BD3C1-BC8C-485B-812D-775707CB617C}" name="Column7242"/>
    <tableColumn id="7248" xr3:uid="{7232C943-E20D-450C-83A7-9612F4B89076}" name="Column7243"/>
    <tableColumn id="7249" xr3:uid="{499C871C-9D27-43B7-BAE0-DB108CAA33A6}" name="Column7244"/>
    <tableColumn id="7250" xr3:uid="{EE255968-7BD2-46B8-B256-4DAE591D3587}" name="Column7245"/>
    <tableColumn id="7251" xr3:uid="{960864A8-5FCF-45E5-BCE6-A0E30743B914}" name="Column7246"/>
    <tableColumn id="7252" xr3:uid="{C01E8781-FDCC-40C8-ACF5-09DB708F47F8}" name="Column7247"/>
    <tableColumn id="7253" xr3:uid="{0375F8CF-396C-45DA-91EC-A4E3FC68EF3B}" name="Column7248"/>
    <tableColumn id="7254" xr3:uid="{7E7796B7-9BBC-48F1-900E-9814F2A37C8D}" name="Column7249"/>
    <tableColumn id="7255" xr3:uid="{B5580575-5E3C-4902-9337-2A17BA1F671B}" name="Column7250"/>
    <tableColumn id="7256" xr3:uid="{FA624CA7-BE2F-4F7A-81C4-AA99EFC77B45}" name="Column7251"/>
    <tableColumn id="7257" xr3:uid="{6895701F-2D77-4EA8-AFD5-D7AA98566D1F}" name="Column7252"/>
    <tableColumn id="7258" xr3:uid="{A3D1BC84-AB66-4CC4-B70A-FC60A6095B34}" name="Column7253"/>
    <tableColumn id="7259" xr3:uid="{CC3EEE25-120C-4358-AD2F-6DAADCBD086A}" name="Column7254"/>
    <tableColumn id="7260" xr3:uid="{FB2E2A38-2284-41E7-8EF8-4EA6F55C87FE}" name="Column7255"/>
    <tableColumn id="7261" xr3:uid="{41FDDA18-42FD-4332-8F7B-BF3D181D230D}" name="Column7256"/>
    <tableColumn id="7262" xr3:uid="{8F12A4F3-C7F8-459A-B005-2671EB9ED59E}" name="Column7257"/>
    <tableColumn id="7263" xr3:uid="{45C433E1-68E0-459E-B10B-08BC8E925F79}" name="Column7258"/>
    <tableColumn id="7264" xr3:uid="{F30938F2-F380-4E69-A51E-6011C0BAF7BF}" name="Column7259"/>
    <tableColumn id="7265" xr3:uid="{E022D78F-0A99-461C-BE5B-09A4456FFD2C}" name="Column7260"/>
    <tableColumn id="7266" xr3:uid="{A7E19CBE-8D4F-483D-A8DB-78B90CA5460D}" name="Column7261"/>
    <tableColumn id="7267" xr3:uid="{C621D7C7-BD5E-4780-A2C8-ABC5ACB72A97}" name="Column7262"/>
    <tableColumn id="7268" xr3:uid="{F1137756-CCFD-48A5-9A18-A4BDC838185A}" name="Column7263"/>
    <tableColumn id="7269" xr3:uid="{F82A7780-40E0-43F5-BA04-3BB4DD8981D0}" name="Column7264"/>
    <tableColumn id="7270" xr3:uid="{945EDC8D-EE44-4B85-BC58-6A8F48A38E99}" name="Column7265"/>
    <tableColumn id="7271" xr3:uid="{191717A3-584F-4865-9EAE-9F030D0FA564}" name="Column7266"/>
    <tableColumn id="7272" xr3:uid="{579BF396-5B5F-454D-9C1B-C2AF0B9458F1}" name="Column7267"/>
    <tableColumn id="7273" xr3:uid="{1906D7A1-732E-4FF3-B75F-981B27CBDB5F}" name="Column7268"/>
    <tableColumn id="7274" xr3:uid="{0C570DBA-0348-4956-96E2-95891E36DE95}" name="Column7269"/>
    <tableColumn id="7275" xr3:uid="{1200F622-C574-413A-8706-5EB8AFE6E279}" name="Column7270"/>
    <tableColumn id="7276" xr3:uid="{52C254B5-ABE3-43B1-B773-73535CFD5E57}" name="Column7271"/>
    <tableColumn id="7277" xr3:uid="{D51110E6-A93A-4B8F-852F-A6D4A68992F3}" name="Column7272"/>
    <tableColumn id="7278" xr3:uid="{E3FB5735-B2E4-4EDD-BBA2-7CE20463F532}" name="Column7273"/>
    <tableColumn id="7279" xr3:uid="{625DA36D-5186-487E-9E66-E093F0E135AA}" name="Column7274"/>
    <tableColumn id="7280" xr3:uid="{6EBB9934-ED4C-40C9-96D9-06B0C60506DD}" name="Column7275"/>
    <tableColumn id="7281" xr3:uid="{B7196ADF-BB42-4FD6-ABF7-463138F4E9C4}" name="Column7276"/>
    <tableColumn id="7282" xr3:uid="{07A59D62-8C82-4127-8255-1D6A33D1756E}" name="Column7277"/>
    <tableColumn id="7283" xr3:uid="{32BACE3C-146B-48E4-A894-55DDF6A4E086}" name="Column7278"/>
    <tableColumn id="7284" xr3:uid="{BBBDEDDE-6939-4B4C-8534-A8B9387AF027}" name="Column7279"/>
    <tableColumn id="7285" xr3:uid="{09344232-F40C-4B8C-86C1-B1221CD31DB3}" name="Column7280"/>
    <tableColumn id="7286" xr3:uid="{FD5C5F8B-CE1A-4879-AD65-68E63119FAD0}" name="Column7281"/>
    <tableColumn id="7287" xr3:uid="{18711640-B3E0-47A0-AFD5-CADACEE077B8}" name="Column7282"/>
    <tableColumn id="7288" xr3:uid="{54B9560C-2102-445F-A6E1-F89C718E22CE}" name="Column7283"/>
    <tableColumn id="7289" xr3:uid="{041C5B2A-70A7-445F-B388-C6AE3E4E10F9}" name="Column7284"/>
    <tableColumn id="7290" xr3:uid="{ACE66649-88A5-4D4B-8553-3E990BA782E5}" name="Column7285"/>
    <tableColumn id="7291" xr3:uid="{FDD8854E-1F28-4A7D-9AC0-ABD10E978BC3}" name="Column7286"/>
    <tableColumn id="7292" xr3:uid="{B7DCBE72-1068-4408-8DAB-087D284F98A4}" name="Column7287"/>
    <tableColumn id="7293" xr3:uid="{4455740B-11B9-4377-A6D9-6F0D892993FF}" name="Column7288"/>
    <tableColumn id="7294" xr3:uid="{5E77BD2B-D7BB-4E9C-89BD-1D7DEA0C7610}" name="Column7289"/>
    <tableColumn id="7295" xr3:uid="{7C40CA4E-6CF6-48F3-A1E7-BA625EC25213}" name="Column7290"/>
    <tableColumn id="7296" xr3:uid="{87863DA4-AE8B-44F5-BEFD-67A49F3EA6F5}" name="Column7291"/>
    <tableColumn id="7297" xr3:uid="{698B1FCB-8F60-41E0-9BA2-88A305942D2D}" name="Column7292"/>
    <tableColumn id="7298" xr3:uid="{AD2704A2-987A-4ADD-AF90-80817EEFB456}" name="Column7293"/>
    <tableColumn id="7299" xr3:uid="{3719545E-2EDF-4CCD-BB26-5781255A3C33}" name="Column7294"/>
    <tableColumn id="7300" xr3:uid="{4BE119B9-ED27-4A07-BEA9-725BD0A2B4D5}" name="Column7295"/>
    <tableColumn id="7301" xr3:uid="{7700932B-BD60-41AC-82C3-E1C0FA610A5C}" name="Column7296"/>
    <tableColumn id="7302" xr3:uid="{54E5DB05-9154-40A1-8DB1-C3F4C955C350}" name="Column7297"/>
    <tableColumn id="7303" xr3:uid="{87C80991-87E4-4424-8BEB-357908F820CB}" name="Column7298"/>
    <tableColumn id="7304" xr3:uid="{D1BE5E02-FD1C-45FE-A21B-CA2B55CDFFF7}" name="Column7299"/>
    <tableColumn id="7305" xr3:uid="{24450872-E4D5-438D-AE8A-493B99CD4F96}" name="Column7300"/>
    <tableColumn id="7306" xr3:uid="{99D747FE-3469-4DCD-9352-71063EF87414}" name="Column7301"/>
    <tableColumn id="7307" xr3:uid="{C0B9BD1E-0C9B-4D8E-88A3-D897F2E8EA7D}" name="Column7302"/>
    <tableColumn id="7308" xr3:uid="{BE867B40-2EC8-483A-ACCC-42954F456563}" name="Column7303"/>
    <tableColumn id="7309" xr3:uid="{88E6A0C2-6009-433D-8F55-79D0BE6CC021}" name="Column7304"/>
    <tableColumn id="7310" xr3:uid="{46AC0FF0-692D-49B9-8DBF-818DAF2D0E22}" name="Column7305"/>
    <tableColumn id="7311" xr3:uid="{91EB9C7D-3C9B-4062-B3E0-2E15523ABB50}" name="Column7306"/>
    <tableColumn id="7312" xr3:uid="{AEEA13D8-7686-4BB7-8160-2FD9AE78654F}" name="Column7307"/>
    <tableColumn id="7313" xr3:uid="{2967D2D4-549E-4766-B1EF-04159B6C6A96}" name="Column7308"/>
    <tableColumn id="7314" xr3:uid="{9C160C4D-4968-43BB-88CA-7B2EA41B8854}" name="Column7309"/>
    <tableColumn id="7315" xr3:uid="{20EF8677-EE15-44EC-9953-B51F78B072A6}" name="Column7310"/>
    <tableColumn id="7316" xr3:uid="{5BADCB24-79A7-4386-A8AD-EE1846E065A1}" name="Column7311"/>
    <tableColumn id="7317" xr3:uid="{19255996-738E-4C42-B345-1FCDFD93A9A3}" name="Column7312"/>
    <tableColumn id="7318" xr3:uid="{32698C55-EB8D-4FDA-BA9B-C44C5D610F64}" name="Column7313"/>
    <tableColumn id="7319" xr3:uid="{E8F96A78-0B56-47AF-99A2-A99906EE1104}" name="Column7314"/>
    <tableColumn id="7320" xr3:uid="{E7EB88E2-A38A-4B1D-86B4-47AC1839879A}" name="Column7315"/>
    <tableColumn id="7321" xr3:uid="{3876244B-9DBA-4738-95EE-1BB9DDB98132}" name="Column7316"/>
    <tableColumn id="7322" xr3:uid="{5FA87064-19E7-45CD-9CC1-BC4F315F3B7D}" name="Column7317"/>
    <tableColumn id="7323" xr3:uid="{4059FE79-8787-4952-ACB5-40B805AAF9B0}" name="Column7318"/>
    <tableColumn id="7324" xr3:uid="{BC3022BE-38D1-4B88-BE65-C30802F1F792}" name="Column7319"/>
    <tableColumn id="7325" xr3:uid="{92DFB2A7-936D-4EDC-82B7-49585D44427D}" name="Column7320"/>
    <tableColumn id="7326" xr3:uid="{A444F452-289E-40AE-919B-D6D5DABD3355}" name="Column7321"/>
    <tableColumn id="7327" xr3:uid="{CC2EE09D-DCF2-4DDD-B99E-169A34B18141}" name="Column7322"/>
    <tableColumn id="7328" xr3:uid="{7D9BB6F9-F859-4DC9-A25B-EA1AA8D26B0A}" name="Column7323"/>
    <tableColumn id="7329" xr3:uid="{CC3A3AA1-C4B4-4066-B140-63041CA3483A}" name="Column7324"/>
    <tableColumn id="7330" xr3:uid="{1677F01B-C728-4817-86E6-A62B074BDB9D}" name="Column7325"/>
    <tableColumn id="7331" xr3:uid="{0C023EE1-FFB0-442A-9219-0378687CB134}" name="Column7326"/>
    <tableColumn id="7332" xr3:uid="{132D6FD4-F804-46BD-AF9A-1A39EA00558E}" name="Column7327"/>
    <tableColumn id="7333" xr3:uid="{262AFD1B-4FE1-437B-AF0B-A66A578D3015}" name="Column7328"/>
    <tableColumn id="7334" xr3:uid="{8FE44EBD-9AB5-4338-9BC2-7B899C68ACAE}" name="Column7329"/>
    <tableColumn id="7335" xr3:uid="{D8DA4A4D-91B9-4FF7-8E97-8D788F47CAC9}" name="Column7330"/>
    <tableColumn id="7336" xr3:uid="{90DF9D8D-D8DD-45C1-87E2-6064A1392904}" name="Column7331"/>
    <tableColumn id="7337" xr3:uid="{467BFE69-B09C-49B4-AE49-2C36A57AAC18}" name="Column7332"/>
    <tableColumn id="7338" xr3:uid="{EE659EE4-0156-41DD-A8D1-4DF3C997455C}" name="Column7333"/>
    <tableColumn id="7339" xr3:uid="{1EF2A650-B1CF-43B5-9745-82378B497038}" name="Column7334"/>
    <tableColumn id="7340" xr3:uid="{F1F0B290-3EDC-4936-A8F2-B5D653105E0A}" name="Column7335"/>
    <tableColumn id="7341" xr3:uid="{EE908BE4-7873-496B-A01F-DF99E4AFFEFC}" name="Column7336"/>
    <tableColumn id="7342" xr3:uid="{AC18374C-8E9F-4BE8-8D4A-39DCA376E88E}" name="Column7337"/>
    <tableColumn id="7343" xr3:uid="{DC8D664B-C4F2-4C42-A3B9-9631A01EC2BA}" name="Column7338"/>
    <tableColumn id="7344" xr3:uid="{61044541-1C3F-40BC-B929-CD66F66B0B8E}" name="Column7339"/>
    <tableColumn id="7345" xr3:uid="{50EA12B9-03DA-4FA1-B4D3-20D98E3D3877}" name="Column7340"/>
    <tableColumn id="7346" xr3:uid="{8C2306FD-22A4-4DC4-A375-B5FD73455528}" name="Column7341"/>
    <tableColumn id="7347" xr3:uid="{50B7F1B9-FB89-493D-A878-BF202C473827}" name="Column7342"/>
    <tableColumn id="7348" xr3:uid="{3FCAB8EE-E073-4132-ADCB-AAC99E77212A}" name="Column7343"/>
    <tableColumn id="7349" xr3:uid="{96A96A1B-6575-4EAA-9DF3-8184FE46CE99}" name="Column7344"/>
    <tableColumn id="7350" xr3:uid="{F5973D11-E3C0-4AE4-9949-BBC36B85EB09}" name="Column7345"/>
    <tableColumn id="7351" xr3:uid="{E4615893-70CB-497B-B244-3BFFD0954CA4}" name="Column7346"/>
    <tableColumn id="7352" xr3:uid="{C0368A01-D2B6-4256-99A9-471F1CB7A10D}" name="Column7347"/>
    <tableColumn id="7353" xr3:uid="{2E982242-3576-44DF-935E-DDEC299AB984}" name="Column7348"/>
    <tableColumn id="7354" xr3:uid="{94C0EE3F-A624-49B2-AC6A-B590F4437F4E}" name="Column7349"/>
    <tableColumn id="7355" xr3:uid="{D0D0167B-52B7-49C0-8590-C080D3A3B5BD}" name="Column7350"/>
    <tableColumn id="7356" xr3:uid="{FE51134D-451D-4431-B8DE-1F1BB8808A51}" name="Column7351"/>
    <tableColumn id="7357" xr3:uid="{7C8B304E-4329-4C90-BDBB-B6F911575A7F}" name="Column7352"/>
    <tableColumn id="7358" xr3:uid="{55054018-17C1-4313-9BC4-2EAFCB2FA6BA}" name="Column7353"/>
    <tableColumn id="7359" xr3:uid="{7E2907FC-F97B-411E-93A1-503A8A25FF81}" name="Column7354"/>
    <tableColumn id="7360" xr3:uid="{06CF00C1-C48E-4815-ABB7-5D209555E649}" name="Column7355"/>
    <tableColumn id="7361" xr3:uid="{5A87E291-8620-41F0-9CC4-A5B7727622B7}" name="Column7356"/>
    <tableColumn id="7362" xr3:uid="{1A2BBA14-8CB1-48D4-8ED8-34F982B63D92}" name="Column7357"/>
    <tableColumn id="7363" xr3:uid="{DD262F7E-9C14-484F-9A8B-637ED0E9E01B}" name="Column7358"/>
    <tableColumn id="7364" xr3:uid="{A1231160-2FE7-4981-97E9-02B68F2E1CB1}" name="Column7359"/>
    <tableColumn id="7365" xr3:uid="{6FAF3B1F-DF72-43FE-BCFC-8BC1C9CFF284}" name="Column7360"/>
    <tableColumn id="7366" xr3:uid="{5D0BB152-7673-4F93-A153-24AB861D2183}" name="Column7361"/>
    <tableColumn id="7367" xr3:uid="{623DA3E9-CDAE-4CC4-833A-EFF0C9F76AA3}" name="Column7362"/>
    <tableColumn id="7368" xr3:uid="{FF42C741-FFC6-4DC3-B6AE-E063D7546677}" name="Column7363"/>
    <tableColumn id="7369" xr3:uid="{B90BA49E-FB01-416B-8552-580159C5779A}" name="Column7364"/>
    <tableColumn id="7370" xr3:uid="{D53A2AF4-326A-4A73-A6E9-4512A1725D0E}" name="Column7365"/>
    <tableColumn id="7371" xr3:uid="{9B5CE326-7718-4E53-8423-05431695943E}" name="Column7366"/>
    <tableColumn id="7372" xr3:uid="{539E21E0-41E6-4FE8-A90C-AE81D6FFAFD6}" name="Column7367"/>
    <tableColumn id="7373" xr3:uid="{C298BF7F-636B-4D89-8F37-062B2520B74C}" name="Column7368"/>
    <tableColumn id="7374" xr3:uid="{0F986B81-44A5-48AC-B7A8-CC1F566F1862}" name="Column7369"/>
    <tableColumn id="7375" xr3:uid="{ADF609BF-A0B7-408F-AD70-4B7FF812C45D}" name="Column7370"/>
    <tableColumn id="7376" xr3:uid="{BED3595D-8959-4DF1-9D23-F6CB2AD536B4}" name="Column7371"/>
    <tableColumn id="7377" xr3:uid="{91B518F2-41D6-4BB1-8672-007009F196BB}" name="Column7372"/>
    <tableColumn id="7378" xr3:uid="{005F366B-F4EC-497C-9613-4BEE56E3650B}" name="Column7373"/>
    <tableColumn id="7379" xr3:uid="{A7B79BA4-4D58-4A7E-BE0A-69BBB8DB386C}" name="Column7374"/>
    <tableColumn id="7380" xr3:uid="{96D7A78C-8F28-4AD5-ABB4-53DF2E93789A}" name="Column7375"/>
    <tableColumn id="7381" xr3:uid="{5B5DCA2D-6603-47E5-B65C-C9E0548A67FA}" name="Column7376"/>
    <tableColumn id="7382" xr3:uid="{93B9243B-A03F-4793-A60E-C3C877CEB933}" name="Column7377"/>
    <tableColumn id="7383" xr3:uid="{FA0926E2-6A50-4383-9291-9D59B7A35135}" name="Column7378"/>
    <tableColumn id="7384" xr3:uid="{182712AA-4FCA-4161-9673-F365D51F0673}" name="Column7379"/>
    <tableColumn id="7385" xr3:uid="{3F3542F9-2E83-4016-8C4D-09D5AF8F1BE5}" name="Column7380"/>
    <tableColumn id="7386" xr3:uid="{5A3C08B9-3185-47D2-AA91-5A14349F525A}" name="Column7381"/>
    <tableColumn id="7387" xr3:uid="{06AB2A31-F917-4178-A1B3-D9D65CAEB886}" name="Column7382"/>
    <tableColumn id="7388" xr3:uid="{3B34A77B-B0D9-4700-87AD-007EDD9FF55A}" name="Column7383"/>
    <tableColumn id="7389" xr3:uid="{60D5786A-6129-4910-8E41-AF07AE847449}" name="Column7384"/>
    <tableColumn id="7390" xr3:uid="{866B2AEF-AFDA-4F96-8CB7-7FFBEAE9695A}" name="Column7385"/>
    <tableColumn id="7391" xr3:uid="{B915BBA3-32FE-4B83-93C2-35C60C3D96C8}" name="Column7386"/>
    <tableColumn id="7392" xr3:uid="{94A96835-023B-4C44-ACF6-836AF22160E1}" name="Column7387"/>
    <tableColumn id="7393" xr3:uid="{9DCD2B77-52C7-4A2E-A472-A4DC75A9385E}" name="Column7388"/>
    <tableColumn id="7394" xr3:uid="{37BBCC98-544F-4F25-A148-9EF3242352DB}" name="Column7389"/>
    <tableColumn id="7395" xr3:uid="{DFF31F34-D290-48A8-8782-15908CD70B38}" name="Column7390"/>
    <tableColumn id="7396" xr3:uid="{894A44FC-9066-4AAC-A5E0-6C25CC26905C}" name="Column7391"/>
    <tableColumn id="7397" xr3:uid="{15D75F46-AF30-4867-9230-FE81ED8E636E}" name="Column7392"/>
    <tableColumn id="7398" xr3:uid="{1856B210-9C1E-4456-8BF0-A72D210301AD}" name="Column7393"/>
    <tableColumn id="7399" xr3:uid="{EF64A5F7-ECD6-47E9-A874-D33834BD6C01}" name="Column7394"/>
    <tableColumn id="7400" xr3:uid="{7ED7B082-244E-4819-A9C1-4CAEA979805E}" name="Column7395"/>
    <tableColumn id="7401" xr3:uid="{699FF0E7-A78C-4D78-BF7C-7F9E12C32B36}" name="Column7396"/>
    <tableColumn id="7402" xr3:uid="{A71ABF3F-FE27-42BB-9F29-9C7F99B658F7}" name="Column7397"/>
    <tableColumn id="7403" xr3:uid="{065ED678-B46A-4F14-AE3F-AF19753138D6}" name="Column7398"/>
    <tableColumn id="7404" xr3:uid="{E2B991FC-6CD6-4639-96EA-3BE6319545AE}" name="Column7399"/>
    <tableColumn id="7405" xr3:uid="{5B9A007A-268B-4B9F-9D3E-F24A80BABC7C}" name="Column7400"/>
    <tableColumn id="7406" xr3:uid="{6C87CB34-69A0-4A94-A15E-F4746FE98EBD}" name="Column7401"/>
    <tableColumn id="7407" xr3:uid="{B210B97F-0F75-4BE3-ADD3-700538127814}" name="Column7402"/>
    <tableColumn id="7408" xr3:uid="{12D1B289-8759-4860-B378-5D2DFA049383}" name="Column7403"/>
    <tableColumn id="7409" xr3:uid="{3F972BB7-3882-4003-A5F7-1DF6CC3D0A67}" name="Column7404"/>
    <tableColumn id="7410" xr3:uid="{A95100C8-9718-423B-B309-2562DF8A2A7F}" name="Column7405"/>
    <tableColumn id="7411" xr3:uid="{D419A836-A7F5-4F8D-91AE-EE4ED18FF5E7}" name="Column7406"/>
    <tableColumn id="7412" xr3:uid="{00DFF05B-1AB2-4C4F-B18B-6AF0078A0B39}" name="Column7407"/>
    <tableColumn id="7413" xr3:uid="{CB01B5D5-C253-4D51-93FC-C3A9A711CF80}" name="Column7408"/>
    <tableColumn id="7414" xr3:uid="{7B8D8C1B-26EF-443C-8077-2F38B7C792C6}" name="Column7409"/>
    <tableColumn id="7415" xr3:uid="{5AA0A145-1902-4CCA-938F-1B861A3DBA3C}" name="Column7410"/>
    <tableColumn id="7416" xr3:uid="{EF49BE22-1FAD-4B17-8DDE-6CD0A9F8B97A}" name="Column7411"/>
    <tableColumn id="7417" xr3:uid="{8F74B551-40B7-4B55-A627-EC18C5139A97}" name="Column7412"/>
    <tableColumn id="7418" xr3:uid="{AB4D84E9-8095-4E8F-AE72-9F92985FBEC0}" name="Column7413"/>
    <tableColumn id="7419" xr3:uid="{FFB48918-BBF2-459E-B958-1428645AC754}" name="Column7414"/>
    <tableColumn id="7420" xr3:uid="{462070AB-46BA-42B6-A754-0BA476E41B05}" name="Column7415"/>
    <tableColumn id="7421" xr3:uid="{140D985D-A54F-4F4F-97F1-3E63BA83FFA4}" name="Column7416"/>
    <tableColumn id="7422" xr3:uid="{2671A140-D7D4-4FF1-8B17-4F8AD9521CBE}" name="Column7417"/>
    <tableColumn id="7423" xr3:uid="{A63EAA86-5818-4FCB-B9F0-C42CD2B1B0F8}" name="Column7418"/>
    <tableColumn id="7424" xr3:uid="{A3D36CF6-4166-4877-A09B-F4BA1FB88F1C}" name="Column7419"/>
    <tableColumn id="7425" xr3:uid="{C67437A7-93FF-467B-91C0-205FBD9D2E39}" name="Column7420"/>
    <tableColumn id="7426" xr3:uid="{E18B4572-0729-4A8C-BF56-072A326043F8}" name="Column7421"/>
    <tableColumn id="7427" xr3:uid="{348D176F-25AA-460A-A090-603466CB091C}" name="Column7422"/>
    <tableColumn id="7428" xr3:uid="{6488E76C-73A0-4F2B-B9A8-679D3814F073}" name="Column7423"/>
    <tableColumn id="7429" xr3:uid="{DA93A94F-FA7D-49D0-9565-778D423FF5D9}" name="Column7424"/>
    <tableColumn id="7430" xr3:uid="{AEAAC058-16EC-4C04-B6A1-DB62A624345E}" name="Column7425"/>
    <tableColumn id="7431" xr3:uid="{561B7208-5EA6-48FF-9B63-EBACC7EDDA56}" name="Column7426"/>
    <tableColumn id="7432" xr3:uid="{44C1A115-04A3-4751-BBAB-4538B21951E7}" name="Column7427"/>
    <tableColumn id="7433" xr3:uid="{15A1F0DF-4887-4836-9D42-7927C17D67A6}" name="Column7428"/>
    <tableColumn id="7434" xr3:uid="{9D9FBD92-48A5-42E4-9B65-7841C70C1995}" name="Column7429"/>
    <tableColumn id="7435" xr3:uid="{F8411A64-A11E-49F1-B7ED-0378D81D213F}" name="Column7430"/>
    <tableColumn id="7436" xr3:uid="{E614400A-242C-4A4E-9435-A3D86A256BB2}" name="Column7431"/>
    <tableColumn id="7437" xr3:uid="{8CDBC789-7A47-440F-9CAD-E043DE11D029}" name="Column7432"/>
    <tableColumn id="7438" xr3:uid="{1A9A3A4E-F822-4AF7-BD55-24B872B6A25D}" name="Column7433"/>
    <tableColumn id="7439" xr3:uid="{5A00993C-90AD-4662-AA05-B8C82B6996DD}" name="Column7434"/>
    <tableColumn id="7440" xr3:uid="{7056E3F2-E34C-40FF-B4F8-BD80A6CB9FE5}" name="Column7435"/>
    <tableColumn id="7441" xr3:uid="{D91DDB84-1349-4D5C-87A4-1D7B21274605}" name="Column7436"/>
    <tableColumn id="7442" xr3:uid="{C14D3AE0-454B-4354-B64F-94F6EE7F2F58}" name="Column7437"/>
    <tableColumn id="7443" xr3:uid="{3825DAD4-823B-47F1-B9ED-E64163B9DB53}" name="Column7438"/>
    <tableColumn id="7444" xr3:uid="{3109D91D-DC0C-44D0-B08E-504A01B75090}" name="Column7439"/>
    <tableColumn id="7445" xr3:uid="{E066C3D0-990C-4158-A05D-1BED913DEFE1}" name="Column7440"/>
    <tableColumn id="7446" xr3:uid="{606DBC48-095A-45E4-9749-670FAE073C0B}" name="Column7441"/>
    <tableColumn id="7447" xr3:uid="{B2E62EEC-190D-4E36-9945-B4A4F24AB9D3}" name="Column7442"/>
    <tableColumn id="7448" xr3:uid="{753C5AD3-397D-4F7F-84A5-F94F12E09B7E}" name="Column7443"/>
    <tableColumn id="7449" xr3:uid="{225297F1-256A-4C67-A6D2-B62EDA27AB41}" name="Column7444"/>
    <tableColumn id="7450" xr3:uid="{9C251320-63DA-4A31-803D-2273ED7C0A0B}" name="Column7445"/>
    <tableColumn id="7451" xr3:uid="{FDEF0055-D987-4C50-8893-A9577EC5E3CC}" name="Column7446"/>
    <tableColumn id="7452" xr3:uid="{3DFA5D9C-0027-46F6-9AED-231489498BFA}" name="Column7447"/>
    <tableColumn id="7453" xr3:uid="{D946AB92-8DDA-47F9-8AF0-8895AD0430C0}" name="Column7448"/>
    <tableColumn id="7454" xr3:uid="{7AC7BF19-2049-42C4-95A9-A9DDF489F7BF}" name="Column7449"/>
    <tableColumn id="7455" xr3:uid="{68BDEFDA-50FD-4851-A07A-0B7BF62E5AB0}" name="Column7450"/>
    <tableColumn id="7456" xr3:uid="{156532B7-0F19-45E9-A3EC-7DC0AA100640}" name="Column7451"/>
    <tableColumn id="7457" xr3:uid="{F7EE6E7A-ED46-4884-9B70-4E6673AFE936}" name="Column7452"/>
    <tableColumn id="7458" xr3:uid="{CBE419F8-4220-48E8-B800-EB584FE6DFB6}" name="Column7453"/>
    <tableColumn id="7459" xr3:uid="{6F8AE2F9-1A27-4789-B539-A7BB1C3F6450}" name="Column7454"/>
    <tableColumn id="7460" xr3:uid="{A9FC5EF4-D80C-4051-9DA5-02EA1E652DB1}" name="Column7455"/>
    <tableColumn id="7461" xr3:uid="{9F8BEF4D-49E1-49E8-90F1-8404100650C9}" name="Column7456"/>
    <tableColumn id="7462" xr3:uid="{829A8B74-3AC2-4071-91C3-D5C84EA051F2}" name="Column7457"/>
    <tableColumn id="7463" xr3:uid="{74C20DF1-13B7-4498-B59A-FD5D459366A0}" name="Column7458"/>
    <tableColumn id="7464" xr3:uid="{A3337969-BDD8-4A77-A97A-345475BFB3B8}" name="Column7459"/>
    <tableColumn id="7465" xr3:uid="{8B00AEBA-B932-4C9C-865D-35D1735EBCB0}" name="Column7460"/>
    <tableColumn id="7466" xr3:uid="{C6CB4F77-A313-4935-A811-0C4863397BF2}" name="Column7461"/>
    <tableColumn id="7467" xr3:uid="{0726C91F-2B94-480A-819A-F45D3B1954F8}" name="Column7462"/>
    <tableColumn id="7468" xr3:uid="{864EB9CD-44BF-4FD2-AFB9-A4D230974C54}" name="Column7463"/>
    <tableColumn id="7469" xr3:uid="{40BAE23B-E21B-43C2-A330-5D22D7D9560C}" name="Column7464"/>
    <tableColumn id="7470" xr3:uid="{676319EC-42E6-41B4-8E92-4534EDBA5450}" name="Column7465"/>
    <tableColumn id="7471" xr3:uid="{FC387A93-4D4F-4912-97CF-B85B9586A1FE}" name="Column7466"/>
    <tableColumn id="7472" xr3:uid="{9C291E28-E7E7-47F9-BCC0-66A5B445FB3D}" name="Column7467"/>
    <tableColumn id="7473" xr3:uid="{79C61200-264A-4D50-AFF6-E6408E19C799}" name="Column7468"/>
    <tableColumn id="7474" xr3:uid="{BC5C4FD4-5544-4CF7-AC89-C09EF4C47C0C}" name="Column7469"/>
    <tableColumn id="7475" xr3:uid="{36E0F7F9-7F5D-460D-A9C8-84A3C103C867}" name="Column7470"/>
    <tableColumn id="7476" xr3:uid="{24BC1F2D-517F-4E28-832A-C74C23C3A708}" name="Column7471"/>
    <tableColumn id="7477" xr3:uid="{E235F46B-529D-4A57-B3D5-F9D271660EE2}" name="Column7472"/>
    <tableColumn id="7478" xr3:uid="{3DEC3741-E405-49E2-A99A-F911FBBD50FC}" name="Column7473"/>
    <tableColumn id="7479" xr3:uid="{11128A93-BB9F-4130-805F-350DE64D4BA8}" name="Column7474"/>
    <tableColumn id="7480" xr3:uid="{A367FFBC-401B-4CDF-8F5E-33507A55EB14}" name="Column7475"/>
    <tableColumn id="7481" xr3:uid="{D2D70235-1F99-4927-93B7-3706C1C52594}" name="Column7476"/>
    <tableColumn id="7482" xr3:uid="{4AC060A0-29EC-4E9B-8658-D3419CE3F978}" name="Column7477"/>
    <tableColumn id="7483" xr3:uid="{627805D9-FAA5-4376-B737-98022709754E}" name="Column7478"/>
    <tableColumn id="7484" xr3:uid="{5756AFD1-F16B-4425-A3D2-7C6E41C0C895}" name="Column7479"/>
    <tableColumn id="7485" xr3:uid="{7E820DEA-49BA-4FA8-B880-1083F6C01CFA}" name="Column7480"/>
    <tableColumn id="7486" xr3:uid="{A1910D12-AF40-4454-B1DB-029B530D9951}" name="Column7481"/>
    <tableColumn id="7487" xr3:uid="{B5938F40-2734-4091-8D58-F1AE4282A59A}" name="Column7482"/>
    <tableColumn id="7488" xr3:uid="{D5452E86-9143-43FE-8DF6-D9A3DF8603E9}" name="Column7483"/>
    <tableColumn id="7489" xr3:uid="{CE6C4C87-8DE3-4F01-943E-9972B7D71683}" name="Column7484"/>
    <tableColumn id="7490" xr3:uid="{8687A9E8-1ED6-4A53-977B-3F39DFA21E02}" name="Column7485"/>
    <tableColumn id="7491" xr3:uid="{9F245C2B-10D0-4A93-B247-1229CF44DEC2}" name="Column7486"/>
    <tableColumn id="7492" xr3:uid="{D81B53E2-9AE1-40D7-874E-8503B8D8A47E}" name="Column7487"/>
    <tableColumn id="7493" xr3:uid="{6DDC76C9-C8B1-4DDF-9B9B-EBFDC4F3FF67}" name="Column7488"/>
    <tableColumn id="7494" xr3:uid="{FBF28751-C0C6-4EFE-A1F9-79A812DF79B3}" name="Column7489"/>
    <tableColumn id="7495" xr3:uid="{071B122C-8C63-411E-8565-94A6E043FB94}" name="Column7490"/>
    <tableColumn id="7496" xr3:uid="{50C97D42-35E4-46A3-ADDE-D9BF928CA477}" name="Column7491"/>
    <tableColumn id="7497" xr3:uid="{F75AA45A-ABFE-4EAC-A4C6-77D52544A622}" name="Column7492"/>
    <tableColumn id="7498" xr3:uid="{8166C377-31B0-4E0D-8C15-1DADDFD23556}" name="Column7493"/>
    <tableColumn id="7499" xr3:uid="{EBC60883-20F3-4C90-A95C-1F4383FD2B23}" name="Column7494"/>
    <tableColumn id="7500" xr3:uid="{ABFDB96B-9638-47ED-A7CD-413347C5F5BB}" name="Column7495"/>
    <tableColumn id="7501" xr3:uid="{5C962471-FCA6-4C8A-B34B-25266E4047E9}" name="Column7496"/>
    <tableColumn id="7502" xr3:uid="{8FC2DF62-05A0-4414-8CE4-4FB84F16591F}" name="Column7497"/>
    <tableColumn id="7503" xr3:uid="{D438C788-0760-48D6-9F38-FC55997E911B}" name="Column7498"/>
    <tableColumn id="7504" xr3:uid="{9C5FA41F-D723-44D1-BFD3-8D3450EB18B9}" name="Column7499"/>
    <tableColumn id="7505" xr3:uid="{B95FFE8F-AA64-499C-AD7E-5B5FBD047753}" name="Column7500"/>
    <tableColumn id="7506" xr3:uid="{4AB27895-8B79-4193-8E45-3849C6A72828}" name="Column7501"/>
    <tableColumn id="7507" xr3:uid="{72B20F8D-E541-428B-8E4B-F9D07631EFE7}" name="Column7502"/>
    <tableColumn id="7508" xr3:uid="{71399267-CD9F-4EC9-A328-03257CDEA0A0}" name="Column7503"/>
    <tableColumn id="7509" xr3:uid="{323AC840-E55E-4FD7-BF0B-0ED732BEDC4E}" name="Column7504"/>
    <tableColumn id="7510" xr3:uid="{FA288A9A-D1A9-41ED-A7D1-E5174D6AC8E1}" name="Column7505"/>
    <tableColumn id="7511" xr3:uid="{A9B4C1E1-CB02-42E7-A38F-6E1A4D9867A4}" name="Column7506"/>
    <tableColumn id="7512" xr3:uid="{2AB78695-BD29-4AF1-8189-86FB53884C53}" name="Column7507"/>
    <tableColumn id="7513" xr3:uid="{C835CB37-6264-4908-BEFC-51AE0B235C54}" name="Column7508"/>
    <tableColumn id="7514" xr3:uid="{1297F9A0-7195-404C-BED9-A4402055CAD6}" name="Column7509"/>
    <tableColumn id="7515" xr3:uid="{FD686947-38D1-4DB9-9565-9FC65B91A225}" name="Column7510"/>
    <tableColumn id="7516" xr3:uid="{7A1A332A-C7DC-47AB-96A5-1C1276DDF56F}" name="Column7511"/>
    <tableColumn id="7517" xr3:uid="{D1E1EE67-4E12-470A-8FA7-4A592CF4EC6B}" name="Column7512"/>
    <tableColumn id="7518" xr3:uid="{AB6C94AF-16EC-429F-A08D-931809C96341}" name="Column7513"/>
    <tableColumn id="7519" xr3:uid="{B1C12D42-6285-4CD9-AD0F-92CBFCEE37D0}" name="Column7514"/>
    <tableColumn id="7520" xr3:uid="{4CC14C51-4AD8-41D0-B10C-8983FD5C4122}" name="Column7515"/>
    <tableColumn id="7521" xr3:uid="{B48E2A84-3F9C-4B23-8A87-9F697D3820AB}" name="Column7516"/>
    <tableColumn id="7522" xr3:uid="{93624A3B-5A25-454F-9ACD-DEAA564E167D}" name="Column7517"/>
    <tableColumn id="7523" xr3:uid="{D2A09C53-D1D5-4C99-B076-08BC97D1DE47}" name="Column7518"/>
    <tableColumn id="7524" xr3:uid="{7C85AD22-E031-4D29-8EB7-768ABF6260BE}" name="Column7519"/>
    <tableColumn id="7525" xr3:uid="{F37073A9-9A19-41DB-B1B1-CC5FF10A7F2D}" name="Column7520"/>
    <tableColumn id="7526" xr3:uid="{A892714F-94D0-4A2C-86DE-7F3C00606FAA}" name="Column7521"/>
    <tableColumn id="7527" xr3:uid="{909AE279-7410-4096-AD40-68B3AF7E9E0E}" name="Column7522"/>
    <tableColumn id="7528" xr3:uid="{7C687D39-C4B7-4F60-97CA-1E0A50E9A381}" name="Column7523"/>
    <tableColumn id="7529" xr3:uid="{FC8538E4-6446-4AF5-B465-E01AD61515AC}" name="Column7524"/>
    <tableColumn id="7530" xr3:uid="{FC844E10-944B-4D4D-A67F-A205375B5F8D}" name="Column7525"/>
    <tableColumn id="7531" xr3:uid="{9354CCCB-8933-4F37-9DBC-1E7D29C07BED}" name="Column7526"/>
    <tableColumn id="7532" xr3:uid="{4D0739DB-5B84-4341-A487-D7A7084BB43B}" name="Column7527"/>
    <tableColumn id="7533" xr3:uid="{8CF22C9C-ABFF-4084-B9A9-20F863E4F674}" name="Column7528"/>
    <tableColumn id="7534" xr3:uid="{DC98F095-7F60-4A56-BF08-7331E5545C00}" name="Column7529"/>
    <tableColumn id="7535" xr3:uid="{02552A96-F74F-4174-A4AC-77AA3333D2FF}" name="Column7530"/>
    <tableColumn id="7536" xr3:uid="{10F520CA-5616-42D2-86B1-3DA48A4DDE7D}" name="Column7531"/>
    <tableColumn id="7537" xr3:uid="{6950F9B3-4655-4294-B3D5-1A6CCF76399B}" name="Column7532"/>
    <tableColumn id="7538" xr3:uid="{93257CE1-9609-47F4-B281-C6175252B60B}" name="Column7533"/>
    <tableColumn id="7539" xr3:uid="{77D5B5F7-5DFE-4595-9A8E-D8BB8E80EB42}" name="Column7534"/>
    <tableColumn id="7540" xr3:uid="{3E848649-179B-4272-9EA7-176B68D871C2}" name="Column7535"/>
    <tableColumn id="7541" xr3:uid="{AF6FCBA6-168E-4C45-8FF2-7A0EB5E665C0}" name="Column7536"/>
    <tableColumn id="7542" xr3:uid="{DE342042-635F-4F4D-91F8-68DED1194B28}" name="Column7537"/>
    <tableColumn id="7543" xr3:uid="{168AB0EE-C367-4028-A80D-D8620C1B88B5}" name="Column7538"/>
    <tableColumn id="7544" xr3:uid="{CEC29C8D-C6E3-4E5E-BC22-70FFFBCA7F27}" name="Column7539"/>
    <tableColumn id="7545" xr3:uid="{BD772B72-2442-4D2C-9E7E-5E758662164B}" name="Column7540"/>
    <tableColumn id="7546" xr3:uid="{5686390B-EB34-4277-AB9B-1DC0A421A6E7}" name="Column7541"/>
    <tableColumn id="7547" xr3:uid="{B43A588D-B77C-44A8-A432-5E9CEC980F1B}" name="Column7542"/>
    <tableColumn id="7548" xr3:uid="{877CDB7E-62EB-4FAF-84B3-6B012C57A614}" name="Column7543"/>
    <tableColumn id="7549" xr3:uid="{0C76F1D1-ABEF-479A-BABE-67F5E9BF0E21}" name="Column7544"/>
    <tableColumn id="7550" xr3:uid="{4BC0D67C-7137-45E4-B198-31787222AB01}" name="Column7545"/>
    <tableColumn id="7551" xr3:uid="{605ECD9C-F24D-435B-BF40-5D95F90FBE59}" name="Column7546"/>
    <tableColumn id="7552" xr3:uid="{986155CD-09F2-4483-8AAF-4090DE26AA08}" name="Column7547"/>
    <tableColumn id="7553" xr3:uid="{6F905708-186A-48C2-B8A3-3562A2FFCADD}" name="Column7548"/>
    <tableColumn id="7554" xr3:uid="{E327E551-2C9F-4402-9B13-CCC1D03945D0}" name="Column7549"/>
    <tableColumn id="7555" xr3:uid="{B90FE4E1-0ED7-4BB9-B4D1-0EF3B1224113}" name="Column7550"/>
    <tableColumn id="7556" xr3:uid="{B58C6CE1-9359-4A58-8D4F-14AD5C7EF756}" name="Column7551"/>
    <tableColumn id="7557" xr3:uid="{34A72BE3-9CF0-4187-9E57-E417E3F74C7E}" name="Column7552"/>
    <tableColumn id="7558" xr3:uid="{E7385216-9C2B-48D4-98A6-91AB8D71F6FE}" name="Column7553"/>
    <tableColumn id="7559" xr3:uid="{51CB16D5-BF50-4DBF-A1F6-145E4A94E992}" name="Column7554"/>
    <tableColumn id="7560" xr3:uid="{14B5A1C2-71F1-476B-A055-8D8CADFC0796}" name="Column7555"/>
    <tableColumn id="7561" xr3:uid="{4742BC0D-AAE3-40DF-8566-BA38B92D569F}" name="Column7556"/>
    <tableColumn id="7562" xr3:uid="{D7261121-2E94-41D7-A2DC-8BC3AEF12C16}" name="Column7557"/>
    <tableColumn id="7563" xr3:uid="{B0DA2F9F-30F5-4FB7-BED0-354EE52737E5}" name="Column7558"/>
    <tableColumn id="7564" xr3:uid="{53CC7DCC-A2A4-41A0-BDF4-41CAA737B06C}" name="Column7559"/>
    <tableColumn id="7565" xr3:uid="{D86D9814-9F4E-47DF-A00C-12F0810755C8}" name="Column7560"/>
    <tableColumn id="7566" xr3:uid="{B756AC6A-D73E-4A81-B6A5-6131C27161D9}" name="Column7561"/>
    <tableColumn id="7567" xr3:uid="{2D6C0928-6644-42AF-A22A-C5D7B3FAA770}" name="Column7562"/>
    <tableColumn id="7568" xr3:uid="{A8A02417-A6B2-41A6-A74C-EA9FE9C86180}" name="Column7563"/>
    <tableColumn id="7569" xr3:uid="{9A51076A-5EE1-4288-B4D2-B57D8F6FECE1}" name="Column7564"/>
    <tableColumn id="7570" xr3:uid="{65548005-EF4F-469F-978E-21BB86DA36CD}" name="Column7565"/>
    <tableColumn id="7571" xr3:uid="{C5EC318A-26A2-4AF3-B07A-30CEC7AB68A3}" name="Column7566"/>
    <tableColumn id="7572" xr3:uid="{5D13F90B-F203-4FBE-B0F7-59B9B2608B89}" name="Column7567"/>
    <tableColumn id="7573" xr3:uid="{AC738664-2813-49DD-B55E-64919C618D98}" name="Column7568"/>
    <tableColumn id="7574" xr3:uid="{4105CE43-0B12-40EE-B2D0-AAC4AED5F276}" name="Column7569"/>
    <tableColumn id="7575" xr3:uid="{3EBA3305-3789-47C4-856E-88D949325EFE}" name="Column7570"/>
    <tableColumn id="7576" xr3:uid="{1D2A7544-C377-4545-8800-DDE5CE3CE0AC}" name="Column7571"/>
    <tableColumn id="7577" xr3:uid="{CE63CA5A-C86D-4BDB-A270-21F3417CEB8C}" name="Column7572"/>
    <tableColumn id="7578" xr3:uid="{7A5112BA-6D68-4FC6-BDE7-BF4438765450}" name="Column7573"/>
    <tableColumn id="7579" xr3:uid="{476D9F4A-2958-4EB3-A0B5-095ADEFB8E8A}" name="Column7574"/>
    <tableColumn id="7580" xr3:uid="{79CFDD6B-F408-4F0A-9BE5-30464FEADF51}" name="Column7575"/>
    <tableColumn id="7581" xr3:uid="{6AAAD5EF-BD56-4C15-8887-FBDB74756B50}" name="Column7576"/>
    <tableColumn id="7582" xr3:uid="{0260B13B-2778-45BD-8339-A91907D04648}" name="Column7577"/>
    <tableColumn id="7583" xr3:uid="{7C0F3BD9-4816-4D5F-8FFD-3FE51ACF5392}" name="Column7578"/>
    <tableColumn id="7584" xr3:uid="{735EAE29-F3EF-4AF0-8228-DA3A6B55CBDE}" name="Column7579"/>
    <tableColumn id="7585" xr3:uid="{CAAF9099-C9DE-4A69-8AAF-F196C81F20D7}" name="Column7580"/>
    <tableColumn id="7586" xr3:uid="{2BD6B655-E28D-42D5-8B92-7D9FBF2D38B0}" name="Column7581"/>
    <tableColumn id="7587" xr3:uid="{D9FD97DD-AF59-457A-BDC6-533B297DEC38}" name="Column7582"/>
    <tableColumn id="7588" xr3:uid="{65F6146F-D301-4AC4-95D4-B24F021BA557}" name="Column7583"/>
    <tableColumn id="7589" xr3:uid="{EAEE90EE-20BF-4EA0-92AD-628489C87D31}" name="Column7584"/>
    <tableColumn id="7590" xr3:uid="{3438139D-76CC-46A9-9207-BDE4577C34E1}" name="Column7585"/>
    <tableColumn id="7591" xr3:uid="{4E8E4DDC-4815-4BD8-B277-BC99B50BD46C}" name="Column7586"/>
    <tableColumn id="7592" xr3:uid="{61E11C47-6C2E-450F-AD47-54738EEE22CF}" name="Column7587"/>
    <tableColumn id="7593" xr3:uid="{6807DA54-9805-4C15-B8E2-A8BA39DB0F05}" name="Column7588"/>
    <tableColumn id="7594" xr3:uid="{B7DAEE71-EE39-44D6-A32D-BED1A79505AF}" name="Column7589"/>
    <tableColumn id="7595" xr3:uid="{3F03A811-3190-406E-ACAD-88B4CCA613FB}" name="Column7590"/>
    <tableColumn id="7596" xr3:uid="{07AA646D-E960-4391-895E-B59D30C84EAA}" name="Column7591"/>
    <tableColumn id="7597" xr3:uid="{9D45FBED-0503-40F1-A9CC-C65C16168FE3}" name="Column7592"/>
    <tableColumn id="7598" xr3:uid="{E7E81065-F2CB-43BC-A08F-9AB6F239DAFD}" name="Column7593"/>
    <tableColumn id="7599" xr3:uid="{B6E9A8E0-E4C6-448E-9E8F-A0FCF7092C8E}" name="Column7594"/>
    <tableColumn id="7600" xr3:uid="{1441F8B2-2714-4F57-9843-5EA29BDC6944}" name="Column7595"/>
    <tableColumn id="7601" xr3:uid="{AA5CD445-503F-4807-AE49-534B5CF41D7E}" name="Column7596"/>
    <tableColumn id="7602" xr3:uid="{08B9E57D-060C-461B-A333-753FC221D03E}" name="Column7597"/>
    <tableColumn id="7603" xr3:uid="{596EB6FB-3B98-4B7D-87C5-4A66B8CF1B4B}" name="Column7598"/>
    <tableColumn id="7604" xr3:uid="{10AE7C6B-8173-41C0-84E4-673386CC8803}" name="Column7599"/>
    <tableColumn id="7605" xr3:uid="{9B1AF410-C5A2-4B24-9C13-08B017D1DD93}" name="Column7600"/>
    <tableColumn id="7606" xr3:uid="{25DE04DB-4A47-4482-BE69-CC931B845D27}" name="Column7601"/>
    <tableColumn id="7607" xr3:uid="{437CF1CA-26EF-40D9-9087-26A263A67470}" name="Column7602"/>
    <tableColumn id="7608" xr3:uid="{970EC17F-523B-4A75-A7C6-63EE7A3CC34F}" name="Column7603"/>
    <tableColumn id="7609" xr3:uid="{EB16701F-390E-4F97-B10C-1A6095361BC6}" name="Column7604"/>
    <tableColumn id="7610" xr3:uid="{13F17087-51F5-4853-A88A-0772FDB6498E}" name="Column7605"/>
    <tableColumn id="7611" xr3:uid="{27E40DEA-A350-4171-9E9A-2A48C00997B6}" name="Column7606"/>
    <tableColumn id="7612" xr3:uid="{6D6E632D-0EE3-4106-B202-A8EAE846E8D6}" name="Column7607"/>
    <tableColumn id="7613" xr3:uid="{BC3D1CD7-95E5-4306-BEBC-C0AD679D76B2}" name="Column7608"/>
    <tableColumn id="7614" xr3:uid="{EEF31639-3467-408A-9274-184A994E7E2D}" name="Column7609"/>
    <tableColumn id="7615" xr3:uid="{B349C940-4A5D-4989-A3BD-9048CC5D9E20}" name="Column7610"/>
    <tableColumn id="7616" xr3:uid="{CDAC92D0-75A9-4FF5-A98E-2EB0BCF33BDA}" name="Column7611"/>
    <tableColumn id="7617" xr3:uid="{DFFD8811-D412-4B69-A1B8-0143E9A41437}" name="Column7612"/>
    <tableColumn id="7618" xr3:uid="{2C80AEB5-B7F2-4B7A-A2F7-7D2D62867AFF}" name="Column7613"/>
    <tableColumn id="7619" xr3:uid="{8E947B87-C067-4CD2-9DD6-6992FDDBC4F8}" name="Column7614"/>
    <tableColumn id="7620" xr3:uid="{796CAB29-77C1-4AEE-8F7C-12BA52FEFA2B}" name="Column7615"/>
    <tableColumn id="7621" xr3:uid="{30EF6155-9CEE-43B9-931E-6B5BB8C00E2D}" name="Column7616"/>
    <tableColumn id="7622" xr3:uid="{3AD92F09-E413-4985-B987-2A0DC7AC274B}" name="Column7617"/>
    <tableColumn id="7623" xr3:uid="{2EDD18CF-6A2B-496E-B43F-E2B5CB01E59A}" name="Column7618"/>
    <tableColumn id="7624" xr3:uid="{A8C363FD-4BA1-4306-9285-175945E9FD46}" name="Column7619"/>
    <tableColumn id="7625" xr3:uid="{CF5894A3-862B-4A87-95FB-A0810A259563}" name="Column7620"/>
    <tableColumn id="7626" xr3:uid="{491F0E6E-1531-414A-A676-8B07DC743D12}" name="Column7621"/>
    <tableColumn id="7627" xr3:uid="{53BC042C-7065-4E77-883E-E7FD97BBD995}" name="Column7622"/>
    <tableColumn id="7628" xr3:uid="{234BEEB9-ED23-4A95-948F-7B499CACB168}" name="Column7623"/>
    <tableColumn id="7629" xr3:uid="{C8EF6440-25A6-4EFD-A733-5D970A7A271A}" name="Column7624"/>
    <tableColumn id="7630" xr3:uid="{E654E757-B9D9-42DE-9F21-F1739F9085FA}" name="Column7625"/>
    <tableColumn id="7631" xr3:uid="{61976DC2-B9EF-4447-9632-FF349D493F1A}" name="Column7626"/>
    <tableColumn id="7632" xr3:uid="{9551288C-6D9B-40E5-9F81-65858A7408BA}" name="Column7627"/>
    <tableColumn id="7633" xr3:uid="{456CD564-DDD2-4212-84B1-E542F5658A64}" name="Column7628"/>
    <tableColumn id="7634" xr3:uid="{DBA047F8-F68D-4129-95B8-66C3ECEDE396}" name="Column7629"/>
    <tableColumn id="7635" xr3:uid="{72678345-A9F7-4D42-AB2D-537C82AD940B}" name="Column7630"/>
    <tableColumn id="7636" xr3:uid="{A8CEAFE8-9057-4EB6-AED1-BDF594A0403F}" name="Column7631"/>
    <tableColumn id="7637" xr3:uid="{16392753-E68A-4163-8914-D3063D988335}" name="Column7632"/>
    <tableColumn id="7638" xr3:uid="{6676BD6D-2878-4C53-8674-A296305609F5}" name="Column7633"/>
    <tableColumn id="7639" xr3:uid="{D853E510-3002-4B6E-952E-C49AC31E65EA}" name="Column7634"/>
    <tableColumn id="7640" xr3:uid="{DD47D576-9F56-48BF-87D9-A089C5D21BCC}" name="Column7635"/>
    <tableColumn id="7641" xr3:uid="{0581D9DC-2913-4C9C-A853-6BB1F8927E8F}" name="Column7636"/>
    <tableColumn id="7642" xr3:uid="{01D30F3A-8C95-448C-B299-5CB355FD4720}" name="Column7637"/>
    <tableColumn id="7643" xr3:uid="{BA1CAD6B-82BA-4146-829A-B46D3FF9E147}" name="Column7638"/>
    <tableColumn id="7644" xr3:uid="{CD15F814-530E-4653-A209-7DB1F90D75C8}" name="Column7639"/>
    <tableColumn id="7645" xr3:uid="{97B49610-5CEE-4641-B298-C26520B35C4F}" name="Column7640"/>
    <tableColumn id="7646" xr3:uid="{F428A6F7-E98C-460E-8A7B-C5A49B9CB7B5}" name="Column7641"/>
    <tableColumn id="7647" xr3:uid="{3E5F7D1B-1936-45BE-AF59-7C8EAC649AD9}" name="Column7642"/>
    <tableColumn id="7648" xr3:uid="{7F656FD4-FFF9-4675-A0E8-B51F234AFDE0}" name="Column7643"/>
    <tableColumn id="7649" xr3:uid="{BE68EE74-F4E7-48EE-8B49-E4E4AF658C11}" name="Column7644"/>
    <tableColumn id="7650" xr3:uid="{227B2E82-F926-48F8-B312-3C8BFAE7313B}" name="Column7645"/>
    <tableColumn id="7651" xr3:uid="{A1847D73-2F97-474E-BF94-AF5553AC28E1}" name="Column7646"/>
    <tableColumn id="7652" xr3:uid="{413F784F-402F-4DE3-B9FA-064DB815105F}" name="Column7647"/>
    <tableColumn id="7653" xr3:uid="{FF331A02-31EB-4606-8E32-0EC34887A901}" name="Column7648"/>
    <tableColumn id="7654" xr3:uid="{AF61A9A8-42E1-431C-B5AD-9F0F951E1D19}" name="Column7649"/>
    <tableColumn id="7655" xr3:uid="{5D80F07D-348C-4C0E-9651-F808D4632490}" name="Column7650"/>
    <tableColumn id="7656" xr3:uid="{E0AAE281-FFFE-43CD-968C-1446507DF5DF}" name="Column7651"/>
    <tableColumn id="7657" xr3:uid="{6B30A8CC-F173-4B8C-BE87-6B8664F68064}" name="Column7652"/>
    <tableColumn id="7658" xr3:uid="{26373A13-A69F-4025-BADA-9E4326DEB9AD}" name="Column7653"/>
    <tableColumn id="7659" xr3:uid="{42A5E4C5-9C5E-4546-893B-7C5AF2FC5440}" name="Column7654"/>
    <tableColumn id="7660" xr3:uid="{62E5D8F8-FB63-4FB0-8E6D-FC59F2A250C8}" name="Column7655"/>
    <tableColumn id="7661" xr3:uid="{1DA0524A-8549-4EEB-8B55-0C4928AD07D5}" name="Column7656"/>
    <tableColumn id="7662" xr3:uid="{81774FB9-9921-4FA2-8772-F58B6872F328}" name="Column7657"/>
    <tableColumn id="7663" xr3:uid="{F89C3509-9BC3-491A-939A-99F954E41AB8}" name="Column7658"/>
    <tableColumn id="7664" xr3:uid="{CE774F91-112A-4043-A054-51BD5CC486F0}" name="Column7659"/>
    <tableColumn id="7665" xr3:uid="{63121E57-39AF-4FC2-BD75-E3A16B208E0E}" name="Column7660"/>
    <tableColumn id="7666" xr3:uid="{0EFDA923-7942-4EC6-876A-BDA9C086BAA4}" name="Column7661"/>
    <tableColumn id="7667" xr3:uid="{E568F8D9-D2D4-43B7-8293-ACF59BAB9289}" name="Column7662"/>
    <tableColumn id="7668" xr3:uid="{92E0F894-FEF7-414D-BD12-58154EE56E87}" name="Column7663"/>
    <tableColumn id="7669" xr3:uid="{4D5FFF58-6CDD-46DA-AE58-02B477430D40}" name="Column7664"/>
    <tableColumn id="7670" xr3:uid="{B34D5D95-6680-44ED-907E-B1B896D5BC5F}" name="Column7665"/>
    <tableColumn id="7671" xr3:uid="{406A1130-263E-4977-A914-792BD71E7DF4}" name="Column7666"/>
    <tableColumn id="7672" xr3:uid="{A791DC93-7252-4752-BDCC-5D4EAC77E2B4}" name="Column7667"/>
    <tableColumn id="7673" xr3:uid="{DCB398F7-6008-4486-BDDF-DA2562071015}" name="Column7668"/>
    <tableColumn id="7674" xr3:uid="{8B70DBD1-950B-452C-AA09-EF7CBE887587}" name="Column7669"/>
    <tableColumn id="7675" xr3:uid="{8D362190-1565-4F0C-B79C-D39A0ACAB4B6}" name="Column7670"/>
    <tableColumn id="7676" xr3:uid="{B13F8154-2859-4B8C-A28B-3897295562B1}" name="Column7671"/>
    <tableColumn id="7677" xr3:uid="{DA7A1BBE-C987-41BB-9DBA-431EBFD6BC70}" name="Column7672"/>
    <tableColumn id="7678" xr3:uid="{558DEF9D-43A0-4184-876E-CBDD0F1CDE6E}" name="Column7673"/>
    <tableColumn id="7679" xr3:uid="{5CD34DDA-1CF6-41AC-BF53-69742F7EEDB4}" name="Column7674"/>
    <tableColumn id="7680" xr3:uid="{DEC509ED-E24B-4E73-9059-ABAB89A6AEF3}" name="Column7675"/>
    <tableColumn id="7681" xr3:uid="{6E174EF0-A7B8-483A-B3A2-3FF9ECDF3A45}" name="Column7676"/>
    <tableColumn id="7682" xr3:uid="{1574C08C-D696-463E-B951-C5B00518F06C}" name="Column7677"/>
    <tableColumn id="7683" xr3:uid="{5D454059-A674-4152-8AAA-9BE071947231}" name="Column7678"/>
    <tableColumn id="7684" xr3:uid="{63AB8632-DC91-45E3-B564-C2B1E30DA880}" name="Column7679"/>
    <tableColumn id="7685" xr3:uid="{16648D47-FCD3-4B4E-BCDD-A5EEDAA83DF0}" name="Column7680"/>
    <tableColumn id="7686" xr3:uid="{A36247A1-8EEC-47FA-B98F-19C33B7F8C22}" name="Column7681"/>
    <tableColumn id="7687" xr3:uid="{D78A7F7F-78FB-40D2-ABDC-4E37FC58AB91}" name="Column7682"/>
    <tableColumn id="7688" xr3:uid="{6D9B11EA-8A36-48BF-9056-A81D205417D2}" name="Column7683"/>
    <tableColumn id="7689" xr3:uid="{894AC63B-C4EB-42F6-882E-777B77C28C86}" name="Column7684"/>
    <tableColumn id="7690" xr3:uid="{A8D7A76F-8787-4D54-A6EE-F75B0BF11F99}" name="Column7685"/>
    <tableColumn id="7691" xr3:uid="{40A70C6E-6ECA-40E5-8482-3B0D46087C04}" name="Column7686"/>
    <tableColumn id="7692" xr3:uid="{C28138FD-61CB-4C08-8BF7-B3169F94FCD9}" name="Column7687"/>
    <tableColumn id="7693" xr3:uid="{91D03778-6EAC-4BA4-BF34-440C68DB88FF}" name="Column7688"/>
    <tableColumn id="7694" xr3:uid="{4ED36183-55CE-4A6D-BFAF-BEE0A2DF7BD3}" name="Column7689"/>
    <tableColumn id="7695" xr3:uid="{62FF04E7-8B44-47A2-AD1A-2DC51F4E9045}" name="Column7690"/>
    <tableColumn id="7696" xr3:uid="{DEB8AE56-0868-4AA8-8E43-4B4BE1B29462}" name="Column7691"/>
    <tableColumn id="7697" xr3:uid="{BFA27BFD-97E3-4AE4-B1FC-7BCC88D94C07}" name="Column7692"/>
    <tableColumn id="7698" xr3:uid="{434E2065-4645-4789-AAF1-CAFF236B974D}" name="Column7693"/>
    <tableColumn id="7699" xr3:uid="{F8DDDEDD-D93D-4EC1-A00B-FBA512383DC5}" name="Column7694"/>
    <tableColumn id="7700" xr3:uid="{2E30867E-3D6A-4CAB-B3AF-249C7F481A91}" name="Column7695"/>
    <tableColumn id="7701" xr3:uid="{FC9058AC-D190-4C3D-A6CD-8FD6C584F729}" name="Column7696"/>
    <tableColumn id="7702" xr3:uid="{92932AA9-7A99-4471-B38D-F3387361F565}" name="Column7697"/>
    <tableColumn id="7703" xr3:uid="{95A26FC7-2445-4911-AF71-AB1B083962A8}" name="Column7698"/>
    <tableColumn id="7704" xr3:uid="{284B42C0-47F5-4408-8EA4-B4DD58D969E9}" name="Column7699"/>
    <tableColumn id="7705" xr3:uid="{AB7921DD-1777-4221-9B4A-ED474F0DEF2D}" name="Column7700"/>
    <tableColumn id="7706" xr3:uid="{B2A06074-5AD5-4CF8-97D6-7E039E6CDC83}" name="Column7701"/>
    <tableColumn id="7707" xr3:uid="{FE44F78E-4712-48C6-96A9-266DF22A3E04}" name="Column7702"/>
    <tableColumn id="7708" xr3:uid="{97221FC6-FE64-43C2-962A-C3AC22C8038F}" name="Column7703"/>
    <tableColumn id="7709" xr3:uid="{B0EC7277-F445-4252-9F84-0131A3632323}" name="Column7704"/>
    <tableColumn id="7710" xr3:uid="{93269498-1540-43CF-BB1F-970738338DAD}" name="Column7705"/>
    <tableColumn id="7711" xr3:uid="{BA5D4BE0-0A6F-4019-A7B8-7C7B04B07DCE}" name="Column7706"/>
    <tableColumn id="7712" xr3:uid="{9965CC7B-DCDF-4661-B996-821E8651B3C3}" name="Column7707"/>
    <tableColumn id="7713" xr3:uid="{0E59C019-7CF4-4F3D-8045-22A6D975171C}" name="Column7708"/>
    <tableColumn id="7714" xr3:uid="{390AB652-7F39-44C0-A1A4-A212C18ACB45}" name="Column7709"/>
    <tableColumn id="7715" xr3:uid="{23A9AD59-DFE3-4908-B72E-987A12AF855B}" name="Column7710"/>
    <tableColumn id="7716" xr3:uid="{D0390F04-C6CA-4851-90DC-5C66C4EBD426}" name="Column7711"/>
    <tableColumn id="7717" xr3:uid="{D1F7F91F-F826-447C-BC63-612C29AC82EC}" name="Column7712"/>
    <tableColumn id="7718" xr3:uid="{996B71B3-4506-495E-ABDB-E6A376A3FD57}" name="Column7713"/>
    <tableColumn id="7719" xr3:uid="{1E95CFE9-2995-4326-8745-3CBF44E448B2}" name="Column7714"/>
    <tableColumn id="7720" xr3:uid="{9BBB7F7F-2D79-4F0F-BBDC-2CA9BD836F88}" name="Column7715"/>
    <tableColumn id="7721" xr3:uid="{782A9D06-0ED6-4421-83D0-DB522B3B7D65}" name="Column7716"/>
    <tableColumn id="7722" xr3:uid="{A39A848B-BD72-4671-93B9-BBC6A0F5208F}" name="Column7717"/>
    <tableColumn id="7723" xr3:uid="{F93CDCA8-6DAC-4BCC-A93F-748B05EBBDDD}" name="Column7718"/>
    <tableColumn id="7724" xr3:uid="{06A94C1A-76AA-4475-93F3-1B801319DF44}" name="Column7719"/>
    <tableColumn id="7725" xr3:uid="{F25F2DC9-C8EA-49F6-B4AD-032353AFC92F}" name="Column7720"/>
    <tableColumn id="7726" xr3:uid="{A3EC721B-59EB-4616-85C3-FF8606F1554B}" name="Column7721"/>
    <tableColumn id="7727" xr3:uid="{A3025397-6689-4072-81B3-7ED4B8F429B3}" name="Column7722"/>
    <tableColumn id="7728" xr3:uid="{4B55F254-3AF1-4EC3-A0C4-2D6B56E2AF09}" name="Column7723"/>
    <tableColumn id="7729" xr3:uid="{0A3D26CD-EB27-4F06-9BC8-F68737A618C1}" name="Column7724"/>
    <tableColumn id="7730" xr3:uid="{B32417A9-82BA-4F52-8E84-4F945F135069}" name="Column7725"/>
    <tableColumn id="7731" xr3:uid="{4E31D742-4E6D-4CEF-BD01-4DED8DE46C2F}" name="Column7726"/>
    <tableColumn id="7732" xr3:uid="{DA09CA04-156C-40A2-81A0-A3E6B8F85FAC}" name="Column7727"/>
    <tableColumn id="7733" xr3:uid="{A983C655-665E-4B50-9692-43384B4423E6}" name="Column7728"/>
    <tableColumn id="7734" xr3:uid="{6B5F1B17-1BA4-4DDD-B055-47A71BCE3098}" name="Column7729"/>
    <tableColumn id="7735" xr3:uid="{C41EE50E-2642-4A5D-B71F-C2CFF11A6DA3}" name="Column7730"/>
    <tableColumn id="7736" xr3:uid="{7D1D4B0D-7422-475F-8DBD-1C2A2B70FDA9}" name="Column7731"/>
    <tableColumn id="7737" xr3:uid="{F322D7BB-5C95-4E6B-B992-6082BDDAC8EC}" name="Column7732"/>
    <tableColumn id="7738" xr3:uid="{67DE8847-8287-44F4-9DFC-39A3DAC173AA}" name="Column7733"/>
    <tableColumn id="7739" xr3:uid="{527DDF9E-FD0B-47A3-9292-725D29E31B0A}" name="Column7734"/>
    <tableColumn id="7740" xr3:uid="{14080437-41D7-46D4-90EE-26B6F605E36C}" name="Column7735"/>
    <tableColumn id="7741" xr3:uid="{D58DB62E-A319-47DF-82B5-69CD0092D220}" name="Column7736"/>
    <tableColumn id="7742" xr3:uid="{BC42307B-4682-420B-9393-6B1CAF98024A}" name="Column7737"/>
    <tableColumn id="7743" xr3:uid="{665F5FBE-0AD3-4E13-8A90-EA8BCD007D9B}" name="Column7738"/>
    <tableColumn id="7744" xr3:uid="{12D44F1A-5E78-4C3D-A213-2951144E3372}" name="Column7739"/>
    <tableColumn id="7745" xr3:uid="{2B982256-FA00-45EA-A94B-4B7FA8920510}" name="Column7740"/>
    <tableColumn id="7746" xr3:uid="{F8A27CCF-D4C1-4797-9797-FFAF9F1984B7}" name="Column7741"/>
    <tableColumn id="7747" xr3:uid="{09CBE92C-2BEE-4146-8F0C-06883C0F9BAA}" name="Column7742"/>
    <tableColumn id="7748" xr3:uid="{6BD5A7C0-6D11-49FE-8DFD-3A69C1C5D9D2}" name="Column7743"/>
    <tableColumn id="7749" xr3:uid="{0980927B-2594-48B4-9777-C92CB5EA5C68}" name="Column7744"/>
    <tableColumn id="7750" xr3:uid="{0254287A-E74C-43BF-8ECC-BE4A7DE5759B}" name="Column7745"/>
    <tableColumn id="7751" xr3:uid="{545BD549-C0EB-4A0C-B6C3-B06A308FFDBD}" name="Column7746"/>
    <tableColumn id="7752" xr3:uid="{7FA5F41A-37AC-4623-A755-C59D235E5F11}" name="Column7747"/>
    <tableColumn id="7753" xr3:uid="{9DEE3ECD-22E0-405A-88A2-6CE5F7DE724D}" name="Column7748"/>
    <tableColumn id="7754" xr3:uid="{4A12A39F-6E24-461C-BB9C-4A023B6B5C6C}" name="Column7749"/>
    <tableColumn id="7755" xr3:uid="{37B2E7FF-14F3-45CA-A1CC-A2994352F755}" name="Column7750"/>
    <tableColumn id="7756" xr3:uid="{AE96C416-5B82-4224-9792-1BBE267EB783}" name="Column7751"/>
    <tableColumn id="7757" xr3:uid="{D06D13F6-06A0-4BD9-8344-0F43241EC26F}" name="Column7752"/>
    <tableColumn id="7758" xr3:uid="{76FEE73F-9A66-4166-AEED-C3E3544085AA}" name="Column7753"/>
    <tableColumn id="7759" xr3:uid="{83B1B725-6FD6-484D-9543-211638642997}" name="Column7754"/>
    <tableColumn id="7760" xr3:uid="{940F6F20-7AD8-43C7-BC0F-E367D07749AA}" name="Column7755"/>
    <tableColumn id="7761" xr3:uid="{B1073B9B-A612-4A05-9F33-F6812B56293D}" name="Column7756"/>
    <tableColumn id="7762" xr3:uid="{729D2764-1A80-40B6-9D9E-C93872F2C5B4}" name="Column7757"/>
    <tableColumn id="7763" xr3:uid="{ECACC6CD-93D4-4493-BE07-095974DD1348}" name="Column7758"/>
    <tableColumn id="7764" xr3:uid="{61A9BC03-65EA-4EB7-BB2D-66FFEFE364A7}" name="Column7759"/>
    <tableColumn id="7765" xr3:uid="{FB66A6AB-DA51-4C14-AC30-9B528FF6AAB1}" name="Column7760"/>
    <tableColumn id="7766" xr3:uid="{8AEDF9FB-A1D9-4CB6-87FA-361B72AE226F}" name="Column7761"/>
    <tableColumn id="7767" xr3:uid="{46966A3B-B780-454C-9A48-52EC37C01BDA}" name="Column7762"/>
    <tableColumn id="7768" xr3:uid="{CA17460A-B481-4C30-A9C1-3DA346A0DC74}" name="Column7763"/>
    <tableColumn id="7769" xr3:uid="{7266A7F1-369E-4A93-8C0D-0045963DBEB4}" name="Column7764"/>
    <tableColumn id="7770" xr3:uid="{6EFEBED7-4964-485A-9717-0E79ABECC2E9}" name="Column7765"/>
    <tableColumn id="7771" xr3:uid="{61744EF9-1C86-4E16-ABF8-84F60AF29A69}" name="Column7766"/>
    <tableColumn id="7772" xr3:uid="{CE01C025-8C80-4B95-8248-18FFC4B925E2}" name="Column7767"/>
    <tableColumn id="7773" xr3:uid="{16CDBB72-1A10-4B18-AF9B-E2BD2A02B04B}" name="Column7768"/>
    <tableColumn id="7774" xr3:uid="{EDDD23E0-57EF-4021-9920-FD1BA956D6DE}" name="Column7769"/>
    <tableColumn id="7775" xr3:uid="{5D6639FE-2133-4723-80FE-B52675881756}" name="Column7770"/>
    <tableColumn id="7776" xr3:uid="{32B6C372-28BB-469F-A98F-2993CEA696EA}" name="Column7771"/>
    <tableColumn id="7777" xr3:uid="{F710FC00-0DDC-4540-A4F0-B0190BC85899}" name="Column7772"/>
    <tableColumn id="7778" xr3:uid="{B7FC715E-327F-4C22-828A-5A35F9D4C23F}" name="Column7773"/>
    <tableColumn id="7779" xr3:uid="{422773B7-2AB4-430E-8AE4-EB02E3C0646A}" name="Column7774"/>
    <tableColumn id="7780" xr3:uid="{A05BD3A2-A856-416A-884A-6CF1D73A30C3}" name="Column7775"/>
    <tableColumn id="7781" xr3:uid="{4EE65D59-A8D9-47D7-9458-FA6E7DAAD077}" name="Column7776"/>
    <tableColumn id="7782" xr3:uid="{29F619F4-4CDC-4559-BC05-4FCA6A22B205}" name="Column7777"/>
    <tableColumn id="7783" xr3:uid="{E5DB0D26-36E0-43B3-92A3-3AED9B5350F8}" name="Column7778"/>
    <tableColumn id="7784" xr3:uid="{823BE250-95E0-42D5-8700-900EEFD2E5C2}" name="Column7779"/>
    <tableColumn id="7785" xr3:uid="{EDB95359-4EA8-4520-8EDD-9084E8E4ACAE}" name="Column7780"/>
    <tableColumn id="7786" xr3:uid="{1E58C105-6822-4766-A4ED-18C008D22ACA}" name="Column7781"/>
    <tableColumn id="7787" xr3:uid="{9D7EC8A7-8563-478D-AFA6-0D23A63BA241}" name="Column7782"/>
    <tableColumn id="7788" xr3:uid="{06580092-9E02-46C4-9F69-4ADEEC2A0640}" name="Column7783"/>
    <tableColumn id="7789" xr3:uid="{136BFEC1-92AD-41FF-AAC5-02D33F92E77C}" name="Column7784"/>
    <tableColumn id="7790" xr3:uid="{BF17F9A2-3512-416F-9F72-358776207814}" name="Column7785"/>
    <tableColumn id="7791" xr3:uid="{ACDD76F4-62A8-4F69-ABBB-EB56B8CC7042}" name="Column7786"/>
    <tableColumn id="7792" xr3:uid="{EB1EF942-12BE-4C10-8BC2-2EF191A724D6}" name="Column7787"/>
    <tableColumn id="7793" xr3:uid="{84B01AD1-9721-4BFC-A408-31EC91AEC176}" name="Column7788"/>
    <tableColumn id="7794" xr3:uid="{160B8F17-C078-4D20-A2AD-8A917BEDBF23}" name="Column7789"/>
    <tableColumn id="7795" xr3:uid="{E7109D3A-7230-4FEF-80AB-832B519CE9B4}" name="Column7790"/>
    <tableColumn id="7796" xr3:uid="{03BE099C-473C-4571-B957-461E5258697D}" name="Column7791"/>
    <tableColumn id="7797" xr3:uid="{8BF2C3EF-7EEA-44D9-A452-26AF913327A8}" name="Column7792"/>
    <tableColumn id="7798" xr3:uid="{DEBB46B2-3D97-4437-8241-03185710A897}" name="Column7793"/>
    <tableColumn id="7799" xr3:uid="{3C357A3E-5708-47FD-922D-44B6D970315A}" name="Column7794"/>
    <tableColumn id="7800" xr3:uid="{F55F8CAF-67B7-48F9-A0CD-311500ABC75C}" name="Column7795"/>
    <tableColumn id="7801" xr3:uid="{9C3EB2C9-FB9B-42EA-B46A-CD9E421E9580}" name="Column7796"/>
    <tableColumn id="7802" xr3:uid="{D2E5DE07-93DF-46C3-82E4-E26D678EFEEC}" name="Column7797"/>
    <tableColumn id="7803" xr3:uid="{80B5136F-80A6-4F23-9F57-C250B67FBED1}" name="Column7798"/>
    <tableColumn id="7804" xr3:uid="{81664C01-61FB-4FF7-83E8-9EBF7F91DE9B}" name="Column7799"/>
    <tableColumn id="7805" xr3:uid="{CC823566-E713-4F18-9E00-47B68358BDDE}" name="Column7800"/>
    <tableColumn id="7806" xr3:uid="{07A02241-70C5-4885-B896-A27FADFDFCFE}" name="Column7801"/>
    <tableColumn id="7807" xr3:uid="{51B6F411-B1C3-4F98-879A-5529465B96A1}" name="Column7802"/>
    <tableColumn id="7808" xr3:uid="{45635A22-2EEF-4145-95E6-ACFED0EB864C}" name="Column7803"/>
    <tableColumn id="7809" xr3:uid="{4BCEC0BE-A734-4401-800A-8739F176F621}" name="Column7804"/>
    <tableColumn id="7810" xr3:uid="{00ED298C-DFDF-4B42-A2C5-73E56205CF58}" name="Column7805"/>
    <tableColumn id="7811" xr3:uid="{B06C7F44-F569-4335-9465-299F932AF97D}" name="Column7806"/>
    <tableColumn id="7812" xr3:uid="{70E25247-5D3F-4A42-A956-74ECA4B238AF}" name="Column7807"/>
    <tableColumn id="7813" xr3:uid="{EC1A99FE-C736-4E83-B352-6F2C36788341}" name="Column7808"/>
    <tableColumn id="7814" xr3:uid="{4CA2C0AC-CA45-429C-B302-984F9ED85165}" name="Column7809"/>
    <tableColumn id="7815" xr3:uid="{0B60E510-B39E-4951-92E1-CD3B3A8AFDC1}" name="Column7810"/>
    <tableColumn id="7816" xr3:uid="{83BA3A0B-710F-4AF2-957A-358891F75DE6}" name="Column7811"/>
    <tableColumn id="7817" xr3:uid="{84D95EE1-DB3B-40A8-BB0B-29C01EA65AE1}" name="Column7812"/>
    <tableColumn id="7818" xr3:uid="{26813429-FBAA-4571-BA66-434BE8ECB8BC}" name="Column7813"/>
    <tableColumn id="7819" xr3:uid="{F63F1351-6C6D-4BE1-B3CE-6EB2D016A53D}" name="Column7814"/>
    <tableColumn id="7820" xr3:uid="{C7493544-1C8F-4DCC-BE6F-605BB09010E2}" name="Column7815"/>
    <tableColumn id="7821" xr3:uid="{7278DA88-95E8-4CB8-B6EC-861B5AF12AA2}" name="Column7816"/>
    <tableColumn id="7822" xr3:uid="{68F97AD9-FE4F-4FFD-91A9-5AA72673F962}" name="Column7817"/>
    <tableColumn id="7823" xr3:uid="{AACFF9B7-5AE1-49F8-808B-9B7AC5B4A829}" name="Column7818"/>
    <tableColumn id="7824" xr3:uid="{2F3A475A-F693-419A-97A5-41776634422D}" name="Column7819"/>
    <tableColumn id="7825" xr3:uid="{B980C7FE-6921-4ABF-AC74-0E7223D9F974}" name="Column7820"/>
    <tableColumn id="7826" xr3:uid="{04EDD54E-6A40-40C9-BB20-A8EFC4801971}" name="Column7821"/>
    <tableColumn id="7827" xr3:uid="{38D7A9D4-C794-4B3A-8945-A9DA9D7A423A}" name="Column7822"/>
    <tableColumn id="7828" xr3:uid="{99B091D3-987B-42B3-AA38-BC5511100986}" name="Column7823"/>
    <tableColumn id="7829" xr3:uid="{26A3C6AD-9B90-44B0-ACA0-92859BFB738A}" name="Column7824"/>
    <tableColumn id="7830" xr3:uid="{FB14742E-34AF-4E2E-A22E-C0D569EEF296}" name="Column7825"/>
    <tableColumn id="7831" xr3:uid="{B8C8D0FE-F935-4A88-96D0-202CF1678FE4}" name="Column7826"/>
    <tableColumn id="7832" xr3:uid="{982096A2-4B6F-4715-9449-3003080167EC}" name="Column7827"/>
    <tableColumn id="7833" xr3:uid="{47AFBB5F-99AA-4322-A5A1-87E25965E582}" name="Column7828"/>
    <tableColumn id="7834" xr3:uid="{1329CA0F-BDDD-4BFB-AEC0-B3552FA83ED0}" name="Column7829"/>
    <tableColumn id="7835" xr3:uid="{148F63DA-DC22-490A-A439-A24F8E687BC7}" name="Column7830"/>
    <tableColumn id="7836" xr3:uid="{8601D192-7C95-4736-BF50-2FA66FEE35AB}" name="Column7831"/>
    <tableColumn id="7837" xr3:uid="{D34E3050-265D-4972-B214-18061A48F3AB}" name="Column7832"/>
    <tableColumn id="7838" xr3:uid="{2D721AE6-44EB-4C52-82A6-1873D2B2C6E1}" name="Column7833"/>
    <tableColumn id="7839" xr3:uid="{43BFA08E-3FD2-47E7-AB19-C857DD65EB99}" name="Column7834"/>
    <tableColumn id="7840" xr3:uid="{743A6520-DD4A-4AF1-AE2A-23A3AEE599BA}" name="Column7835"/>
    <tableColumn id="7841" xr3:uid="{698E015B-4392-4790-A5E6-C86B226184DA}" name="Column7836"/>
    <tableColumn id="7842" xr3:uid="{0603EA18-0964-41DD-A79C-2A205999B1E5}" name="Column7837"/>
    <tableColumn id="7843" xr3:uid="{B1AAEAFF-D4C5-4F35-91A8-50DA1A958384}" name="Column7838"/>
    <tableColumn id="7844" xr3:uid="{8C339542-FB07-4F83-9917-AC8098E514B4}" name="Column7839"/>
    <tableColumn id="7845" xr3:uid="{F61906C3-90BC-42CB-BEAB-BF8B4030FBC8}" name="Column7840"/>
    <tableColumn id="7846" xr3:uid="{0B3844B0-4C7E-4E85-8494-DF23B54E381D}" name="Column7841"/>
    <tableColumn id="7847" xr3:uid="{51372A07-3C6B-46AA-A94F-1699138CDEE8}" name="Column7842"/>
    <tableColumn id="7848" xr3:uid="{D31129AC-152B-4A55-ABA0-4B3E4B65BD14}" name="Column7843"/>
    <tableColumn id="7849" xr3:uid="{C5F02406-E407-433B-9B2F-DEB9CE196E89}" name="Column7844"/>
    <tableColumn id="7850" xr3:uid="{0A894DDE-4DD2-4861-9990-F0E328F132DD}" name="Column7845"/>
    <tableColumn id="7851" xr3:uid="{063155CA-69C8-4F60-BE91-A8942CBE328E}" name="Column7846"/>
    <tableColumn id="7852" xr3:uid="{7C6BA3EE-342F-4B1E-91AD-AAB26D760F82}" name="Column7847"/>
    <tableColumn id="7853" xr3:uid="{83C6E080-65E1-4A8E-B04F-17F8CAFECE3C}" name="Column7848"/>
    <tableColumn id="7854" xr3:uid="{07C1B151-4771-4942-9F7D-3E6830C33585}" name="Column7849"/>
    <tableColumn id="7855" xr3:uid="{10483E04-155B-4808-8160-A67DFD041083}" name="Column7850"/>
    <tableColumn id="7856" xr3:uid="{5A6EC92E-67DA-4996-AFB5-704A6ACCB73A}" name="Column7851"/>
    <tableColumn id="7857" xr3:uid="{618B7961-FFA7-4161-8277-8FE1BA62739F}" name="Column7852"/>
    <tableColumn id="7858" xr3:uid="{138FD048-01BA-42C8-B039-A68942FFE4B8}" name="Column7853"/>
    <tableColumn id="7859" xr3:uid="{8B5F2021-1528-457A-BC6F-D0A12421C0C1}" name="Column7854"/>
    <tableColumn id="7860" xr3:uid="{448BEE49-67A4-4C5C-B9D2-2265D349AA1E}" name="Column7855"/>
    <tableColumn id="7861" xr3:uid="{E56E58CD-4F50-4DD9-92A3-E71BCDB9336A}" name="Column7856"/>
    <tableColumn id="7862" xr3:uid="{1ADFE74F-FACE-469F-90C8-4AEEF80B70AB}" name="Column7857"/>
    <tableColumn id="7863" xr3:uid="{76FE8E72-B533-4649-B516-D87728FED26A}" name="Column7858"/>
    <tableColumn id="7864" xr3:uid="{E93E77C1-663D-4E09-A977-16DD88CAC375}" name="Column7859"/>
    <tableColumn id="7865" xr3:uid="{3EADF15C-2ACC-49FC-ACFB-76FBBC3822F3}" name="Column7860"/>
    <tableColumn id="7866" xr3:uid="{C660A99B-CB28-4CC3-9D43-AD050C4BFB49}" name="Column7861"/>
    <tableColumn id="7867" xr3:uid="{169E4822-3693-4C17-A750-6E13AAC6E457}" name="Column7862"/>
    <tableColumn id="7868" xr3:uid="{87611A28-9F5D-4990-B3E3-A07683BF1E8B}" name="Column7863"/>
    <tableColumn id="7869" xr3:uid="{45D8E63A-3EE0-4CDA-AF79-0FFBEC7B0B6A}" name="Column7864"/>
    <tableColumn id="7870" xr3:uid="{07A70F08-7C40-48F3-BA0C-1C76F7044C29}" name="Column7865"/>
    <tableColumn id="7871" xr3:uid="{D61D2E3C-DD5E-411E-995F-46F0775764B0}" name="Column7866"/>
    <tableColumn id="7872" xr3:uid="{A776A2E2-1123-4D0E-9C22-77D68C9F7D3B}" name="Column7867"/>
    <tableColumn id="7873" xr3:uid="{BB71DFB4-D625-4D68-AE2C-E290013EC8D1}" name="Column7868"/>
    <tableColumn id="7874" xr3:uid="{BC793434-BB60-4808-B692-A5DDF73EEC05}" name="Column7869"/>
    <tableColumn id="7875" xr3:uid="{A2FD222F-3D8C-4339-BA88-E7742531D874}" name="Column7870"/>
    <tableColumn id="7876" xr3:uid="{E2543A3F-A443-403A-80AA-5AC1B1CEA1C8}" name="Column7871"/>
    <tableColumn id="7877" xr3:uid="{BA67CFE0-E688-4B66-9B17-56654675D69D}" name="Column7872"/>
    <tableColumn id="7878" xr3:uid="{425AB9EF-21CB-4B39-9352-E5C4D2C6A965}" name="Column7873"/>
    <tableColumn id="7879" xr3:uid="{2CEFA292-4EBD-4CC5-B086-676A7DAE8865}" name="Column7874"/>
    <tableColumn id="7880" xr3:uid="{DD67618E-86FC-475B-8ED7-843D5CE6DBF7}" name="Column7875"/>
    <tableColumn id="7881" xr3:uid="{C47D5485-A87C-49E1-9EC7-3E52591458AA}" name="Column7876"/>
    <tableColumn id="7882" xr3:uid="{083D7B2A-F0EA-4EAB-94FD-ED5E8BA3A1A6}" name="Column7877"/>
    <tableColumn id="7883" xr3:uid="{34EE8961-373C-4FB9-AED2-5039E398A588}" name="Column7878"/>
    <tableColumn id="7884" xr3:uid="{6D4FEC75-462D-4BE1-8B46-A41C775C9D6A}" name="Column7879"/>
    <tableColumn id="7885" xr3:uid="{A74AD660-CB67-4D74-B4EB-FB7E9D1323FB}" name="Column7880"/>
    <tableColumn id="7886" xr3:uid="{EA717E96-4A4D-4B78-98F4-E4C9004D30D9}" name="Column7881"/>
    <tableColumn id="7887" xr3:uid="{752CF7F0-A2F0-4688-86EA-F54DAF68B1C2}" name="Column7882"/>
    <tableColumn id="7888" xr3:uid="{78C4DC91-11DE-4592-8B1C-97ECBE8BF034}" name="Column7883"/>
    <tableColumn id="7889" xr3:uid="{D7F39DDC-491F-4FFF-85F2-47A64F2F5C33}" name="Column7884"/>
    <tableColumn id="7890" xr3:uid="{45BAA89F-5C44-4323-BAB5-F126DB2C689D}" name="Column7885"/>
    <tableColumn id="7891" xr3:uid="{78B34F6F-EFC4-45EA-A28D-A1143B778D26}" name="Column7886"/>
    <tableColumn id="7892" xr3:uid="{1A56D352-BA56-4C68-BD94-46C1EA3EA7E6}" name="Column7887"/>
    <tableColumn id="7893" xr3:uid="{9DCCDBF2-22E5-476C-BFD1-4F1BA55D6625}" name="Column7888"/>
    <tableColumn id="7894" xr3:uid="{53985875-ACBE-4FC5-9BEF-9050FC1BE019}" name="Column7889"/>
    <tableColumn id="7895" xr3:uid="{B9CE641B-2C4A-4667-B6B6-33617B830D93}" name="Column7890"/>
    <tableColumn id="7896" xr3:uid="{F54CFB6A-8861-4CB0-A3F2-650EA28F90B8}" name="Column7891"/>
    <tableColumn id="7897" xr3:uid="{F2AD62CF-0F6D-4058-884C-658A3EAC7B7A}" name="Column7892"/>
    <tableColumn id="7898" xr3:uid="{83EFA905-6B74-4DA9-9AC9-84CCDB118588}" name="Column7893"/>
    <tableColumn id="7899" xr3:uid="{6E0F37EF-638B-42B1-810F-62DE09E72860}" name="Column7894"/>
    <tableColumn id="7900" xr3:uid="{2ACED2A3-4B62-42C9-A82E-D38B72EE4EBD}" name="Column7895"/>
    <tableColumn id="7901" xr3:uid="{AFCAF8D2-71FD-4C3F-9DC1-648A0F74FA5F}" name="Column7896"/>
    <tableColumn id="7902" xr3:uid="{66E40330-4381-45D0-9FC5-6FBB1182C2C6}" name="Column7897"/>
    <tableColumn id="7903" xr3:uid="{2D1D4C53-4987-42D8-ADA9-E2C68B05F4F2}" name="Column7898"/>
    <tableColumn id="7904" xr3:uid="{FE0FDC30-CD80-40E5-8688-BE74E5638302}" name="Column7899"/>
    <tableColumn id="7905" xr3:uid="{23B57B49-04C4-4B06-9453-D0C0FF733360}" name="Column7900"/>
    <tableColumn id="7906" xr3:uid="{1176E712-5C5A-41CE-93DB-E5540AF2D4B0}" name="Column7901"/>
    <tableColumn id="7907" xr3:uid="{EF0B0EEA-EC4F-4305-BBCF-16826DDA11FF}" name="Column7902"/>
    <tableColumn id="7908" xr3:uid="{B13E9ECD-2A4A-4E7A-9A24-1DA1AE0F76BC}" name="Column7903"/>
    <tableColumn id="7909" xr3:uid="{8A371279-00B1-4D07-BDA5-61EE7D6A9083}" name="Column7904"/>
    <tableColumn id="7910" xr3:uid="{E7FB46F3-92CD-4F9C-85A1-F3016DD89C66}" name="Column7905"/>
    <tableColumn id="7911" xr3:uid="{64BFA577-CB9C-441A-9C7B-A0249B71E342}" name="Column7906"/>
    <tableColumn id="7912" xr3:uid="{E20A59E7-F9CC-4B9F-941A-2EE831A0F615}" name="Column7907"/>
    <tableColumn id="7913" xr3:uid="{80CCE617-B748-4FA6-A1CB-C8E8DA8F2B4F}" name="Column7908"/>
    <tableColumn id="7914" xr3:uid="{DDF90288-0EB0-4260-A3EC-5B17C15AB445}" name="Column7909"/>
    <tableColumn id="7915" xr3:uid="{C6A319F7-DD32-4B21-85CE-FE6CF457A5A7}" name="Column7910"/>
    <tableColumn id="7916" xr3:uid="{58BEEB80-8DB5-4D27-8C29-FDE93B15795E}" name="Column7911"/>
    <tableColumn id="7917" xr3:uid="{A8BD0A10-7686-45FE-B052-22F310765548}" name="Column7912"/>
    <tableColumn id="7918" xr3:uid="{C4FE7BB2-BBC2-454B-9FF3-DF52F02B67FA}" name="Column7913"/>
    <tableColumn id="7919" xr3:uid="{3AAA3B71-6957-4DF4-AFDD-6CA323F23F8F}" name="Column7914"/>
    <tableColumn id="7920" xr3:uid="{C6299230-7257-49B9-9E20-B3633E6089D8}" name="Column7915"/>
    <tableColumn id="7921" xr3:uid="{F8E93F27-1E5E-416F-B2D0-1CB14A6FF693}" name="Column7916"/>
    <tableColumn id="7922" xr3:uid="{606BB286-4035-4E3D-8FD9-46AA163E206C}" name="Column7917"/>
    <tableColumn id="7923" xr3:uid="{ED72B0B1-5BDA-4009-9E92-4912B19A9E21}" name="Column7918"/>
    <tableColumn id="7924" xr3:uid="{0C82FF7C-66AA-4BF2-A565-888C6B22D1E7}" name="Column7919"/>
    <tableColumn id="7925" xr3:uid="{3F0BF18C-19FE-431F-A102-0DCEAD5E6684}" name="Column7920"/>
    <tableColumn id="7926" xr3:uid="{A2215867-E746-4443-8F5C-CDB527B57C39}" name="Column7921"/>
    <tableColumn id="7927" xr3:uid="{833A97BF-ACE2-4A20-8F4E-3305B58CE1E9}" name="Column7922"/>
    <tableColumn id="7928" xr3:uid="{016F98CC-AF6E-4B93-A59D-94D4225772E5}" name="Column7923"/>
    <tableColumn id="7929" xr3:uid="{7777DEFE-BCC3-4C76-9A80-463D83513878}" name="Column7924"/>
    <tableColumn id="7930" xr3:uid="{3BB6CA49-2100-4AD9-8C3F-6A1C04D7EDB8}" name="Column7925"/>
    <tableColumn id="7931" xr3:uid="{EBA0EE7A-2BC4-439B-98FC-7BAB1B1511EF}" name="Column7926"/>
    <tableColumn id="7932" xr3:uid="{EE6F2962-94BF-4B30-93E8-79471CCE898B}" name="Column7927"/>
    <tableColumn id="7933" xr3:uid="{294FC166-8E01-4424-A147-A248D2223966}" name="Column7928"/>
    <tableColumn id="7934" xr3:uid="{F99CEF06-E84A-4F0B-BF4E-19DB511C3545}" name="Column7929"/>
    <tableColumn id="7935" xr3:uid="{CA1ACAF8-10ED-445C-953C-29C7EACB0317}" name="Column7930"/>
    <tableColumn id="7936" xr3:uid="{D218037C-9EDD-41BC-8AB2-C33D2999D139}" name="Column7931"/>
    <tableColumn id="7937" xr3:uid="{C7194F86-1684-4239-83E2-5C57D982FCB9}" name="Column7932"/>
    <tableColumn id="7938" xr3:uid="{32165D5F-C27F-477C-B3CE-5B5D8306E5E1}" name="Column7933"/>
    <tableColumn id="7939" xr3:uid="{B8222710-B2AA-40C9-82E9-5B5A825D98AA}" name="Column7934"/>
    <tableColumn id="7940" xr3:uid="{0255483B-413B-426D-BD13-784E90E55DFD}" name="Column7935"/>
    <tableColumn id="7941" xr3:uid="{3B05DCB9-5B3E-4BCF-AB44-E17014481282}" name="Column7936"/>
    <tableColumn id="7942" xr3:uid="{7AD6A8D2-6A4F-4B7F-A916-87DB8A80B828}" name="Column7937"/>
    <tableColumn id="7943" xr3:uid="{C6143F56-30D4-44F8-B4D4-047D5F5DAC7C}" name="Column7938"/>
    <tableColumn id="7944" xr3:uid="{3E90FEBD-F339-41D5-A8B8-C25E77A0E2E3}" name="Column7939"/>
    <tableColumn id="7945" xr3:uid="{C78296AD-D8FF-440B-B7FC-2C09D8AE2942}" name="Column7940"/>
    <tableColumn id="7946" xr3:uid="{0524A6D7-70D8-4952-93A3-0240F2F6B187}" name="Column7941"/>
    <tableColumn id="7947" xr3:uid="{9FFE1E0F-036B-42C9-9955-FCA7CC178D0C}" name="Column7942"/>
    <tableColumn id="7948" xr3:uid="{421ACF92-398F-4E81-8ED6-DDB1392E5DB4}" name="Column7943"/>
    <tableColumn id="7949" xr3:uid="{E4B03C11-747B-485F-A264-A8281B43DCEE}" name="Column7944"/>
    <tableColumn id="7950" xr3:uid="{8CF07923-4D24-4995-B78D-1B0EAA32451A}" name="Column7945"/>
    <tableColumn id="7951" xr3:uid="{FA755EA9-CA0D-4125-846A-FED7405E845D}" name="Column7946"/>
    <tableColumn id="7952" xr3:uid="{579BA111-67A4-4DB7-840C-83EB27F5916E}" name="Column7947"/>
    <tableColumn id="7953" xr3:uid="{535A431C-6D29-4475-9C92-1F4A70178B32}" name="Column7948"/>
    <tableColumn id="7954" xr3:uid="{CF785A1A-7738-4299-A959-15D4C8A9275A}" name="Column7949"/>
    <tableColumn id="7955" xr3:uid="{15EEC06A-221E-4979-82AE-FEDB5DA0384B}" name="Column7950"/>
    <tableColumn id="7956" xr3:uid="{507B58BB-9B6C-4203-8B39-9F0AC6242A63}" name="Column7951"/>
    <tableColumn id="7957" xr3:uid="{1B6568E7-8AC6-4E6F-8C34-BD6F565074EC}" name="Column7952"/>
    <tableColumn id="7958" xr3:uid="{046E5442-1B12-4A34-99A1-8BAD801DA18D}" name="Column7953"/>
    <tableColumn id="7959" xr3:uid="{5F7F8511-A9C2-4160-B50E-A4C04671D6DF}" name="Column7954"/>
    <tableColumn id="7960" xr3:uid="{DF2E9A78-6CD2-4AB7-B08C-E1FEA3127AEB}" name="Column7955"/>
    <tableColumn id="7961" xr3:uid="{DE7D890E-1A9F-496C-8B75-874B34FE593C}" name="Column7956"/>
    <tableColumn id="7962" xr3:uid="{E480A364-946E-4DA6-BA25-3584E789E8D9}" name="Column7957"/>
    <tableColumn id="7963" xr3:uid="{71CA3378-F34C-4E25-A881-A4441A19DF7D}" name="Column7958"/>
    <tableColumn id="7964" xr3:uid="{5DD376BC-CF42-4EA3-BDA4-EC53FC94D022}" name="Column7959"/>
    <tableColumn id="7965" xr3:uid="{303ADB8D-0BFB-44AC-9C15-CE6D5459254B}" name="Column7960"/>
    <tableColumn id="7966" xr3:uid="{8A5DF7E2-10A8-4457-A3F5-96713A617A19}" name="Column7961"/>
    <tableColumn id="7967" xr3:uid="{FB9ABF87-B076-41A7-A245-7EDF9C8F0B1E}" name="Column7962"/>
    <tableColumn id="7968" xr3:uid="{D0FF0FA3-28E9-4004-8B15-693166F0BEFC}" name="Column7963"/>
    <tableColumn id="7969" xr3:uid="{64918409-4025-45B5-A2B7-8FD92A425640}" name="Column7964"/>
    <tableColumn id="7970" xr3:uid="{BFC5B3F3-F5DD-4199-BCF7-8D19A30E4E59}" name="Column7965"/>
    <tableColumn id="7971" xr3:uid="{EBF35FCC-C396-47AF-BD35-9D278BB80799}" name="Column7966"/>
    <tableColumn id="7972" xr3:uid="{E908C0C5-A901-46C6-A91C-0F52812919EC}" name="Column7967"/>
    <tableColumn id="7973" xr3:uid="{051C2602-FDEE-48D0-8FB8-B9787374E7A0}" name="Column7968"/>
    <tableColumn id="7974" xr3:uid="{FE877F6C-143F-4E0D-81BD-8C06A6B31446}" name="Column7969"/>
    <tableColumn id="7975" xr3:uid="{CBEBABE5-1CB0-403C-93CB-B81C4791FFC3}" name="Column7970"/>
    <tableColumn id="7976" xr3:uid="{F0B95B3C-63C5-424F-887D-8EB9DCA489C4}" name="Column7971"/>
    <tableColumn id="7977" xr3:uid="{9CF6045F-8138-4BC5-BD32-C9DA8E6430A9}" name="Column7972"/>
    <tableColumn id="7978" xr3:uid="{9A0C50B8-B126-4C2A-9DDC-0C9533D1E200}" name="Column7973"/>
    <tableColumn id="7979" xr3:uid="{1A669A70-4799-4767-85D6-FC6509962233}" name="Column7974"/>
    <tableColumn id="7980" xr3:uid="{E7B2C4CF-C56A-4686-B982-0CEFBAD9D5AA}" name="Column7975"/>
    <tableColumn id="7981" xr3:uid="{C16981E3-6575-4717-91A2-ACB2910D3D0D}" name="Column7976"/>
    <tableColumn id="7982" xr3:uid="{FB3A4B75-46AA-42F8-AD61-15E4ACC3F96C}" name="Column7977"/>
    <tableColumn id="7983" xr3:uid="{DF0F2A05-0550-49BD-A7B7-2DECAADFD842}" name="Column7978"/>
    <tableColumn id="7984" xr3:uid="{D4BF7110-F9C4-4C6C-BD6C-C23BE962D26C}" name="Column7979"/>
    <tableColumn id="7985" xr3:uid="{350E056B-C4C4-4DCE-9ACB-029FD4F711A4}" name="Column7980"/>
    <tableColumn id="7986" xr3:uid="{29A014C9-86FD-401C-A9FC-7734AB14ACF9}" name="Column7981"/>
    <tableColumn id="7987" xr3:uid="{833B1FC3-B667-4FDA-8A02-1769AF2D2DF7}" name="Column7982"/>
    <tableColumn id="7988" xr3:uid="{C444F320-1ABD-49AE-B58C-C6CEC2D1B421}" name="Column7983"/>
    <tableColumn id="7989" xr3:uid="{2DCF15EC-28A7-4CA7-B515-062D6EE57982}" name="Column7984"/>
    <tableColumn id="7990" xr3:uid="{B3A730D0-49C2-4225-A3BF-5E0678FAE457}" name="Column7985"/>
    <tableColumn id="7991" xr3:uid="{DBC0E6E4-D4FB-4090-A381-89ABB3FFD3A0}" name="Column7986"/>
    <tableColumn id="7992" xr3:uid="{83CA16A0-73EE-4563-A295-7F8D4B4E9C1F}" name="Column7987"/>
    <tableColumn id="7993" xr3:uid="{0F233FC1-8A29-4563-B625-CC22F02590C0}" name="Column7988"/>
    <tableColumn id="7994" xr3:uid="{04B1D1BB-2AEC-43D3-932F-5FA5EC01F26C}" name="Column7989"/>
    <tableColumn id="7995" xr3:uid="{92E19F34-7205-4439-982D-932356F3CA3A}" name="Column7990"/>
    <tableColumn id="7996" xr3:uid="{29A4E417-C933-4B76-A1A7-EFF0F414E484}" name="Column7991"/>
    <tableColumn id="7997" xr3:uid="{2C119FBD-E1CB-4891-AEC2-5F355EA6F9FE}" name="Column7992"/>
    <tableColumn id="7998" xr3:uid="{5848FF4F-54EF-4704-B906-242E45277869}" name="Column7993"/>
    <tableColumn id="7999" xr3:uid="{C4EBB728-FD23-4374-B5E0-2BF3A13B2B55}" name="Column7994"/>
    <tableColumn id="8000" xr3:uid="{480CED28-67CF-4965-A182-182919CD6EF5}" name="Column7995"/>
    <tableColumn id="8001" xr3:uid="{F0853C07-A198-4BF0-9A34-F7EEFFF662B0}" name="Column7996"/>
    <tableColumn id="8002" xr3:uid="{D414FE74-6B45-4119-85C8-EB0A8679E6EC}" name="Column7997"/>
    <tableColumn id="8003" xr3:uid="{D82B3ED9-C102-4D51-8B42-DBEBCC173415}" name="Column7998"/>
    <tableColumn id="8004" xr3:uid="{280C1157-AE83-43B8-AE10-4533A6701B6A}" name="Column7999"/>
    <tableColumn id="8005" xr3:uid="{0843E360-BE91-4056-ACEA-917DDC659041}" name="Column8000"/>
    <tableColumn id="8006" xr3:uid="{FB7FF99A-DCE5-47F4-9550-4098FFF32B12}" name="Column8001"/>
    <tableColumn id="8007" xr3:uid="{6A193CEB-81DE-410B-AE95-4C64A44C461A}" name="Column8002"/>
    <tableColumn id="8008" xr3:uid="{4FB43DA5-C28A-4212-95D1-3813CD8CFF82}" name="Column8003"/>
    <tableColumn id="8009" xr3:uid="{AD362E1B-0965-439F-9B31-42F0A19F45E2}" name="Column8004"/>
    <tableColumn id="8010" xr3:uid="{478F34FB-D54B-45A7-97B4-BD43BA664318}" name="Column8005"/>
    <tableColumn id="8011" xr3:uid="{3C388B13-D897-4571-86EC-B49CD88DA094}" name="Column8006"/>
    <tableColumn id="8012" xr3:uid="{0746AE4E-979E-4695-8CC2-D45DFC4FD271}" name="Column8007"/>
    <tableColumn id="8013" xr3:uid="{41AC7B91-819B-48AD-BC2D-2EE62E302579}" name="Column8008"/>
    <tableColumn id="8014" xr3:uid="{D61D15B7-0772-44BB-8449-FB1DA04E86A3}" name="Column8009"/>
    <tableColumn id="8015" xr3:uid="{91373391-A0CC-4673-A3D6-8C7E421DFE45}" name="Column8010"/>
    <tableColumn id="8016" xr3:uid="{00984E5E-C3A0-4CA8-9E07-7C06F61D5E0D}" name="Column8011"/>
    <tableColumn id="8017" xr3:uid="{5C714293-4DA4-4122-9DF6-DB0C179AB0B1}" name="Column8012"/>
    <tableColumn id="8018" xr3:uid="{446FA194-B69A-480D-BE5E-E45866DEF5F3}" name="Column8013"/>
    <tableColumn id="8019" xr3:uid="{46F3E7F7-9A41-437D-AA19-1038AA6D6F65}" name="Column8014"/>
    <tableColumn id="8020" xr3:uid="{9C8C8516-45AA-48FF-A7D6-64CF1DCED09B}" name="Column8015"/>
    <tableColumn id="8021" xr3:uid="{9BF4DA4F-9BDA-499A-A948-6790C49E3E5C}" name="Column8016"/>
    <tableColumn id="8022" xr3:uid="{A96DE12E-857F-4391-ADE5-8FCE71AF75B7}" name="Column8017"/>
    <tableColumn id="8023" xr3:uid="{61CBDDA4-9A80-4F0A-A6D0-CD0A74A49FD7}" name="Column8018"/>
    <tableColumn id="8024" xr3:uid="{0BF5BA8B-B948-4CAD-8409-489FD4099C08}" name="Column8019"/>
    <tableColumn id="8025" xr3:uid="{281B8CC6-4948-4539-ACF6-E66C8103D9DF}" name="Column8020"/>
    <tableColumn id="8026" xr3:uid="{4CC9F5E3-E888-4924-8A46-83CE7201D02B}" name="Column8021"/>
    <tableColumn id="8027" xr3:uid="{7BDCD2E8-9438-4398-9914-C07B78A92CD3}" name="Column8022"/>
    <tableColumn id="8028" xr3:uid="{782EAEF9-E66B-4640-8356-2CC9A9E6A137}" name="Column8023"/>
    <tableColumn id="8029" xr3:uid="{3A484EE7-B8C1-4E5A-B89E-C74FF369F349}" name="Column8024"/>
    <tableColumn id="8030" xr3:uid="{9F8F9CB5-D0F9-4CF7-8794-53A365C6557D}" name="Column8025"/>
    <tableColumn id="8031" xr3:uid="{3FDAA58E-381B-488E-BBC8-A59AB94AD701}" name="Column8026"/>
    <tableColumn id="8032" xr3:uid="{1FB099C6-F2C6-490B-8B1B-5E66F4FFAFC9}" name="Column8027"/>
    <tableColumn id="8033" xr3:uid="{6C3AB237-CF9D-4501-92C9-95FBD806BC31}" name="Column8028"/>
    <tableColumn id="8034" xr3:uid="{EA64F77D-372F-4B97-A2B4-41214E80FC38}" name="Column8029"/>
    <tableColumn id="8035" xr3:uid="{8AF88AD5-A6AD-4553-8FFC-DCA189E98011}" name="Column8030"/>
    <tableColumn id="8036" xr3:uid="{0D9F84DF-E676-4643-B8A1-7C7B9CDEADAE}" name="Column8031"/>
    <tableColumn id="8037" xr3:uid="{34BE42DA-46FB-459B-A712-1BBE267AB802}" name="Column8032"/>
    <tableColumn id="8038" xr3:uid="{9406C9E0-A7B8-4DFF-96F2-C078EE646A14}" name="Column8033"/>
    <tableColumn id="8039" xr3:uid="{79855943-4817-4A7B-9D3F-1CF58DF954AB}" name="Column8034"/>
    <tableColumn id="8040" xr3:uid="{9B57E4A9-9878-499D-AA16-15244D4D07DF}" name="Column8035"/>
    <tableColumn id="8041" xr3:uid="{681B1128-BDCB-4D29-A7B3-A293629EEDF7}" name="Column8036"/>
    <tableColumn id="8042" xr3:uid="{BD8F30C7-4651-4482-A157-D2EA2E92D13A}" name="Column8037"/>
    <tableColumn id="8043" xr3:uid="{C7CE3924-FDA1-4BAE-B991-86C2497EA1BC}" name="Column8038"/>
    <tableColumn id="8044" xr3:uid="{CC15C7CC-B767-463E-AE29-11F14E7F51A0}" name="Column8039"/>
    <tableColumn id="8045" xr3:uid="{9F70E3F1-2103-4FFB-A11A-FA320CC7F2A6}" name="Column8040"/>
    <tableColumn id="8046" xr3:uid="{E524FF86-035F-46D0-A589-CED0A7FFCF67}" name="Column8041"/>
    <tableColumn id="8047" xr3:uid="{1BCDEF90-3D32-44CF-A42C-91044703B0E0}" name="Column8042"/>
    <tableColumn id="8048" xr3:uid="{09E91D72-E486-4372-9BAF-596D9A2CFD13}" name="Column8043"/>
    <tableColumn id="8049" xr3:uid="{8356F60B-BA52-4497-8FFD-CDE3B2D2D377}" name="Column8044"/>
    <tableColumn id="8050" xr3:uid="{1DA75552-E927-4C42-A783-F418E1BAAD29}" name="Column8045"/>
    <tableColumn id="8051" xr3:uid="{126C664B-8A64-4202-B4F0-87DEF5DE3E13}" name="Column8046"/>
    <tableColumn id="8052" xr3:uid="{A43B2944-13D7-4D7A-B656-24D3A7ACEAB3}" name="Column8047"/>
    <tableColumn id="8053" xr3:uid="{6A7B35D3-7A8F-4FFF-901F-568F26423FF6}" name="Column8048"/>
    <tableColumn id="8054" xr3:uid="{742482CA-5D71-4C15-9BCF-DF0FC7590D5C}" name="Column8049"/>
    <tableColumn id="8055" xr3:uid="{8BA1E023-B4CA-4FB0-872F-F85D42C6DD42}" name="Column8050"/>
    <tableColumn id="8056" xr3:uid="{0F971A62-89C9-4F94-875B-0A3A00F5E4A8}" name="Column8051"/>
    <tableColumn id="8057" xr3:uid="{1F9D5284-8225-4AD4-9D18-B8D042F71E03}" name="Column8052"/>
    <tableColumn id="8058" xr3:uid="{1867E377-8514-4411-A577-C0ED19F83AB0}" name="Column8053"/>
    <tableColumn id="8059" xr3:uid="{1F703726-7C28-4C3D-AA7F-EB26F8D22BFD}" name="Column8054"/>
    <tableColumn id="8060" xr3:uid="{34ED6903-8ECF-4B0A-80D9-4958C88D56E8}" name="Column8055"/>
    <tableColumn id="8061" xr3:uid="{55F7E94C-5AFD-4A66-AC2F-10A9DCD1F411}" name="Column8056"/>
    <tableColumn id="8062" xr3:uid="{D5FF389D-2CB6-48E6-8B34-4F65454B563D}" name="Column8057"/>
    <tableColumn id="8063" xr3:uid="{CBF72F00-8C32-48A2-9C2F-8FD3C2621901}" name="Column8058"/>
    <tableColumn id="8064" xr3:uid="{547A9A45-5A18-459D-B549-6E00DCE760BC}" name="Column8059"/>
    <tableColumn id="8065" xr3:uid="{C36975BC-F057-436F-9120-1F323C47CEFD}" name="Column8060"/>
    <tableColumn id="8066" xr3:uid="{3EB7C1B6-3F45-4E58-B045-47A42632A09D}" name="Column8061"/>
    <tableColumn id="8067" xr3:uid="{BD1A33BD-3440-4F1C-94B9-8C91921CB1C4}" name="Column8062"/>
    <tableColumn id="8068" xr3:uid="{E2FD0EFA-A1A8-451B-8F58-C7BBC99B3047}" name="Column8063"/>
    <tableColumn id="8069" xr3:uid="{7AA01A8B-DA3B-4440-AAFD-0FBD3C39CEEB}" name="Column8064"/>
    <tableColumn id="8070" xr3:uid="{5EDD2D17-6F61-4E69-8AE0-C09876EC9862}" name="Column8065"/>
    <tableColumn id="8071" xr3:uid="{12351081-5F84-4B2A-A46B-B7B978CF29E5}" name="Column8066"/>
    <tableColumn id="8072" xr3:uid="{14830A92-F342-474F-850D-311ABB43D680}" name="Column8067"/>
    <tableColumn id="8073" xr3:uid="{811772E6-CB19-471C-8C28-EE9121741118}" name="Column8068"/>
    <tableColumn id="8074" xr3:uid="{D3AEDFA4-DF43-43DF-B8CD-1CEDC09B6BA5}" name="Column8069"/>
    <tableColumn id="8075" xr3:uid="{552318C1-BB7B-4D4E-BBF8-BDDCA733368E}" name="Column8070"/>
    <tableColumn id="8076" xr3:uid="{4938E743-E00B-4FD8-BE7F-42541F8124E6}" name="Column8071"/>
    <tableColumn id="8077" xr3:uid="{92D0DDD1-473F-4643-97BD-FB0D53F0FD43}" name="Column8072"/>
    <tableColumn id="8078" xr3:uid="{C19270BA-C529-44C8-8CB3-9CCE31F3B84A}" name="Column8073"/>
    <tableColumn id="8079" xr3:uid="{D4B94D6E-D07B-4B87-834E-E15C533D38E5}" name="Column8074"/>
    <tableColumn id="8080" xr3:uid="{F3E5D107-5BDB-4DE6-9A00-FCF024FF7CA3}" name="Column8075"/>
    <tableColumn id="8081" xr3:uid="{BCC31D5D-885D-4035-9915-AF29B5B001C0}" name="Column8076"/>
    <tableColumn id="8082" xr3:uid="{07FF5552-0225-4CCD-9E54-213479BFC284}" name="Column8077"/>
    <tableColumn id="8083" xr3:uid="{35D34D11-46BC-450F-AE44-C203AD0EB0FB}" name="Column8078"/>
    <tableColumn id="8084" xr3:uid="{110B9818-0D72-4083-A1B5-B84044CEDF50}" name="Column8079"/>
    <tableColumn id="8085" xr3:uid="{10471969-B458-4739-8654-4C9EB3B1C2A1}" name="Column8080"/>
    <tableColumn id="8086" xr3:uid="{FE104329-970E-49C7-AE86-5E040622ECE6}" name="Column8081"/>
    <tableColumn id="8087" xr3:uid="{1C6BB9A0-95BB-4289-9521-3BE3A348D58C}" name="Column8082"/>
    <tableColumn id="8088" xr3:uid="{BD5189BC-CDB6-4155-8421-4FB4D3AC83B1}" name="Column8083"/>
    <tableColumn id="8089" xr3:uid="{0D0E9F55-9A09-4754-AD32-778216CEA926}" name="Column8084"/>
    <tableColumn id="8090" xr3:uid="{6DCC209E-EF1F-4265-A279-A5721D017FB7}" name="Column8085"/>
    <tableColumn id="8091" xr3:uid="{06D5A7ED-4F28-451C-8B15-6A520B8E98D6}" name="Column8086"/>
    <tableColumn id="8092" xr3:uid="{02B5CD48-2763-40EC-B231-4B96EBA53929}" name="Column8087"/>
    <tableColumn id="8093" xr3:uid="{3375EE2E-E0AB-4131-B116-579C5DD0219C}" name="Column8088"/>
    <tableColumn id="8094" xr3:uid="{66E2D0DD-02A2-4BCB-B321-741B9D0B4B47}" name="Column8089"/>
    <tableColumn id="8095" xr3:uid="{F44D306C-8E34-493E-8CD6-70344A8E8121}" name="Column8090"/>
    <tableColumn id="8096" xr3:uid="{A1042DAA-A3D3-4E4F-89F5-4C33C1A3EECD}" name="Column8091"/>
    <tableColumn id="8097" xr3:uid="{84458DE3-88F4-4D37-86DA-5F5890FD2B92}" name="Column8092"/>
    <tableColumn id="8098" xr3:uid="{325F3917-213C-4DBC-B68D-1AFBC8B93FE6}" name="Column8093"/>
    <tableColumn id="8099" xr3:uid="{84CF8019-0636-4BEB-82AB-D3C8C9863420}" name="Column8094"/>
    <tableColumn id="8100" xr3:uid="{C4A5ECAD-5680-4BA4-B803-BAA9028799B2}" name="Column8095"/>
    <tableColumn id="8101" xr3:uid="{30EF0A31-CA78-4A71-8FB0-C0C758469D0E}" name="Column8096"/>
    <tableColumn id="8102" xr3:uid="{4049B720-A940-4A15-89A8-F985447199BA}" name="Column8097"/>
    <tableColumn id="8103" xr3:uid="{DFBE7E9C-956F-48B9-9C18-2A3F7814212B}" name="Column8098"/>
    <tableColumn id="8104" xr3:uid="{C2421682-C6BB-46A4-92CD-A621DF439324}" name="Column8099"/>
    <tableColumn id="8105" xr3:uid="{D94AA30F-9028-4F1E-892E-4A51BD24C483}" name="Column8100"/>
    <tableColumn id="8106" xr3:uid="{A2C64226-51EF-4CE3-88EE-036C7315D149}" name="Column8101"/>
    <tableColumn id="8107" xr3:uid="{07366FCA-2F68-45FD-9BBC-A66D167ADEFF}" name="Column8102"/>
    <tableColumn id="8108" xr3:uid="{C47706AE-DA9A-4415-83AF-624AE7BC9330}" name="Column8103"/>
    <tableColumn id="8109" xr3:uid="{545FF5A8-47DF-4634-A7C5-CB1FDD8F6FC1}" name="Column8104"/>
    <tableColumn id="8110" xr3:uid="{925E089C-BF0B-47B1-B179-56EDC7DCFA6F}" name="Column8105"/>
    <tableColumn id="8111" xr3:uid="{867B85E5-5E26-40EA-8DFF-0089ABBEC94F}" name="Column8106"/>
    <tableColumn id="8112" xr3:uid="{A0E5BEBB-1DB4-450D-8395-A56875565008}" name="Column8107"/>
    <tableColumn id="8113" xr3:uid="{AE894135-A7D0-4B97-825F-64FCB04E3CFA}" name="Column8108"/>
    <tableColumn id="8114" xr3:uid="{635AB491-1ABD-4563-B219-3015AABEE985}" name="Column8109"/>
    <tableColumn id="8115" xr3:uid="{1F270F54-6ABD-4D41-A74D-E5C338C81824}" name="Column8110"/>
    <tableColumn id="8116" xr3:uid="{2DA106B5-9503-48DD-B38D-FDBD4F502683}" name="Column8111"/>
    <tableColumn id="8117" xr3:uid="{D16A6FAA-B9EE-4262-BF30-719CF630FC75}" name="Column8112"/>
    <tableColumn id="8118" xr3:uid="{D855C21A-C1A8-424A-9C5A-6FEEEE6092E5}" name="Column8113"/>
    <tableColumn id="8119" xr3:uid="{5B17EFAD-EA17-4987-8908-5AF79961DEAD}" name="Column8114"/>
    <tableColumn id="8120" xr3:uid="{A4CEB442-50A3-4FDE-80EE-17526527C520}" name="Column8115"/>
    <tableColumn id="8121" xr3:uid="{C91EB99C-DDDA-443C-BF6B-643358051E1B}" name="Column8116"/>
    <tableColumn id="8122" xr3:uid="{A896AC50-BF37-4E1F-B4A2-2742C32A7C0B}" name="Column8117"/>
    <tableColumn id="8123" xr3:uid="{3C9EC210-BD1F-49C7-BC48-74524A3B68A4}" name="Column8118"/>
    <tableColumn id="8124" xr3:uid="{7E8B803C-23E7-468C-8C80-EEC8685741BA}" name="Column8119"/>
    <tableColumn id="8125" xr3:uid="{FF8D7EA4-70BB-42BC-8C39-1F63CD7FC859}" name="Column8120"/>
    <tableColumn id="8126" xr3:uid="{D0A086F8-3577-43A8-9874-E18B0FE03F4B}" name="Column8121"/>
    <tableColumn id="8127" xr3:uid="{277238C9-D8E8-4E67-BE56-A7C26CCC0260}" name="Column8122"/>
    <tableColumn id="8128" xr3:uid="{B07110F1-41CE-4E61-99DC-CF4443B593A7}" name="Column8123"/>
    <tableColumn id="8129" xr3:uid="{0492CA61-55D3-4296-91AC-95E7C59AE933}" name="Column8124"/>
    <tableColumn id="8130" xr3:uid="{3AC09F7D-207A-4AFE-877E-9FC5BF4E5329}" name="Column8125"/>
    <tableColumn id="8131" xr3:uid="{E67A36CC-5DFE-4133-8AC9-E810D34D2ABC}" name="Column8126"/>
    <tableColumn id="8132" xr3:uid="{3C17070A-2741-4F52-ABED-A843C488122A}" name="Column8127"/>
    <tableColumn id="8133" xr3:uid="{673998F1-63B8-43B4-94E5-7BD8B087E70D}" name="Column8128"/>
    <tableColumn id="8134" xr3:uid="{4777BBED-D04E-47D3-B351-BC24C0581C1D}" name="Column8129"/>
    <tableColumn id="8135" xr3:uid="{9FAE6914-D80B-48F8-A030-E2A0F9AC14DB}" name="Column8130"/>
    <tableColumn id="8136" xr3:uid="{5F833255-8F1C-48D9-8A5E-CB0BE57E96CD}" name="Column8131"/>
    <tableColumn id="8137" xr3:uid="{E56B2C4D-90BC-4C6D-8EC5-5FC502615DC9}" name="Column8132"/>
    <tableColumn id="8138" xr3:uid="{47046F70-1D5B-4476-A17B-E4709B2A4B97}" name="Column8133"/>
    <tableColumn id="8139" xr3:uid="{4D719D83-4CA4-4404-A1D7-13FC80EA94DD}" name="Column8134"/>
    <tableColumn id="8140" xr3:uid="{AA65566D-4097-4D11-8690-32F7B40FC38B}" name="Column8135"/>
    <tableColumn id="8141" xr3:uid="{9BBACB4D-A70F-432B-BB1B-4E55289CF3DC}" name="Column8136"/>
    <tableColumn id="8142" xr3:uid="{35466742-7EC7-4EB0-82A2-334621A4D092}" name="Column8137"/>
    <tableColumn id="8143" xr3:uid="{3ECC641E-F7AF-4FCB-B66F-8B29604A5846}" name="Column8138"/>
    <tableColumn id="8144" xr3:uid="{52608FF7-9062-4281-AEF3-981501B59428}" name="Column8139"/>
    <tableColumn id="8145" xr3:uid="{745E2DE0-F791-4B8E-8E07-EF8549C2A49B}" name="Column8140"/>
    <tableColumn id="8146" xr3:uid="{90690721-9D4C-421A-8398-46C543DE189B}" name="Column8141"/>
    <tableColumn id="8147" xr3:uid="{F5288EAF-5A96-4D35-B6EB-4677CCC20927}" name="Column8142"/>
    <tableColumn id="8148" xr3:uid="{4990F7DB-1DCD-4801-899E-5C618D65EAF0}" name="Column8143"/>
    <tableColumn id="8149" xr3:uid="{9E57C3F1-0D8C-4322-AE81-17E973F8E12B}" name="Column8144"/>
    <tableColumn id="8150" xr3:uid="{B6046AEE-2720-433F-8C65-64A18E64B504}" name="Column8145"/>
    <tableColumn id="8151" xr3:uid="{F5BDF3F3-E211-4F11-81D3-D20445B6F4FF}" name="Column8146"/>
    <tableColumn id="8152" xr3:uid="{FCF3E9C7-1AE2-45F5-8B7E-6633877D6E67}" name="Column8147"/>
    <tableColumn id="8153" xr3:uid="{1B98C999-569F-48E8-A66B-4CFD6E078183}" name="Column8148"/>
    <tableColumn id="8154" xr3:uid="{53D468B9-D750-48F1-9722-4AEF276630E7}" name="Column8149"/>
    <tableColumn id="8155" xr3:uid="{190FA44B-8364-48A5-A87B-EA1D47FA5351}" name="Column8150"/>
    <tableColumn id="8156" xr3:uid="{1A2EA680-0434-47F8-AF69-665E071AAC4D}" name="Column8151"/>
    <tableColumn id="8157" xr3:uid="{A3DCCC42-BFDD-48A9-90F7-3D8A2E5CF045}" name="Column8152"/>
    <tableColumn id="8158" xr3:uid="{A2F7F3AE-308C-4B4F-80CD-206BB4034213}" name="Column8153"/>
    <tableColumn id="8159" xr3:uid="{13367F01-E953-4844-8E87-C5682E98EE19}" name="Column8154"/>
    <tableColumn id="8160" xr3:uid="{773479ED-D5D5-42EB-BC04-60FF1EAE4C92}" name="Column8155"/>
    <tableColumn id="8161" xr3:uid="{7B90013C-25AB-469F-A7AA-3ACD5FB5E629}" name="Column8156"/>
    <tableColumn id="8162" xr3:uid="{0FC7745E-A7FC-4BA8-B840-32A22174622A}" name="Column8157"/>
    <tableColumn id="8163" xr3:uid="{28BC6669-4A5B-48CE-836E-DC15E741697D}" name="Column8158"/>
    <tableColumn id="8164" xr3:uid="{B9B13387-9252-4A15-80BC-571BB580595D}" name="Column8159"/>
    <tableColumn id="8165" xr3:uid="{D0397B17-F57E-439E-9AF8-7347FF01AAB8}" name="Column8160"/>
    <tableColumn id="8166" xr3:uid="{17E81299-2345-4CF6-BCC3-54B5BD473424}" name="Column8161"/>
    <tableColumn id="8167" xr3:uid="{52021E76-1F40-444B-8A49-8DB98E683176}" name="Column8162"/>
    <tableColumn id="8168" xr3:uid="{A1702323-4CEF-4796-97AD-241EF379BEBA}" name="Column8163"/>
    <tableColumn id="8169" xr3:uid="{744028C6-9CB3-4F49-A7D4-488B02D8F5BE}" name="Column8164"/>
    <tableColumn id="8170" xr3:uid="{C4CA4CE6-AFB6-4210-A3F3-91B185ED8C43}" name="Column8165"/>
    <tableColumn id="8171" xr3:uid="{535A30BC-9583-4B27-A3D1-639AD8F90DAA}" name="Column8166"/>
    <tableColumn id="8172" xr3:uid="{1008D3B4-89B8-49D0-A2F3-2026A00AFFB1}" name="Column8167"/>
    <tableColumn id="8173" xr3:uid="{EFBAA5A4-A783-4A0A-8498-A47D2BDE1CF4}" name="Column8168"/>
    <tableColumn id="8174" xr3:uid="{4D72C5AC-9734-4125-B1B0-66C68E956F7B}" name="Column8169"/>
    <tableColumn id="8175" xr3:uid="{1D2782E0-152C-4F4A-BDEB-A0F98293FBA5}" name="Column8170"/>
    <tableColumn id="8176" xr3:uid="{8510D0BD-1F0F-49AB-955A-DAD8CD8CC127}" name="Column8171"/>
    <tableColumn id="8177" xr3:uid="{1D2A6C8D-864E-456C-A579-E14214E1729D}" name="Column8172"/>
    <tableColumn id="8178" xr3:uid="{62893D93-3689-407C-9208-A69D02F3556D}" name="Column8173"/>
    <tableColumn id="8179" xr3:uid="{74ECB594-E658-4787-9E9B-4B375F03CB2A}" name="Column8174"/>
    <tableColumn id="8180" xr3:uid="{2F0DD883-C2EA-4780-B61D-65B06BBF74EA}" name="Column8175"/>
    <tableColumn id="8181" xr3:uid="{6AEC7823-00AC-416E-9356-A707144206B0}" name="Column8176"/>
    <tableColumn id="8182" xr3:uid="{B22AC893-3869-4DE1-99BD-A4D6C42EE154}" name="Column8177"/>
    <tableColumn id="8183" xr3:uid="{0609C92F-48E8-4DAE-A625-936632FE2871}" name="Column8178"/>
    <tableColumn id="8184" xr3:uid="{716A658E-7C7D-4D25-BEB2-E9DEE2CED64E}" name="Column8179"/>
    <tableColumn id="8185" xr3:uid="{E59DD60A-DC51-47E0-953F-4BC817718BD6}" name="Column8180"/>
    <tableColumn id="8186" xr3:uid="{038D1322-0EF6-4B34-98C9-D9900CF9C664}" name="Column8181"/>
    <tableColumn id="8187" xr3:uid="{4B692ACB-4AEB-47B1-96AF-AE89A4234E51}" name="Column8182"/>
    <tableColumn id="8188" xr3:uid="{C23C8354-1ABB-43F0-B67E-2286491C71EF}" name="Column8183"/>
    <tableColumn id="8189" xr3:uid="{6E0AB8BA-1A6E-4E95-B379-2E0EDD789F14}" name="Column8184"/>
    <tableColumn id="8190" xr3:uid="{D59809C8-B70A-4152-BA50-9FF2C91C1C53}" name="Column8185"/>
    <tableColumn id="8191" xr3:uid="{C7C2E829-9E49-472D-8C53-8088906424D2}" name="Column8186"/>
    <tableColumn id="8192" xr3:uid="{9F00FB6F-9246-42C1-8429-313A488CB2FE}" name="Column8187"/>
    <tableColumn id="8193" xr3:uid="{FCB2A94A-C791-4A2D-804F-E99F4953CE3C}" name="Column8188"/>
    <tableColumn id="8194" xr3:uid="{2B7958FA-B4A0-4EDB-9260-4B16CEB5AB46}" name="Column8189"/>
    <tableColumn id="8195" xr3:uid="{2939A3BA-B9E2-498A-BF8C-86B7626D2956}" name="Column8190"/>
    <tableColumn id="8196" xr3:uid="{07B98EC3-13EA-449E-94D0-804515055B49}" name="Column8191"/>
    <tableColumn id="8197" xr3:uid="{993CD01E-FB56-40DB-8908-46F76E584D70}" name="Column8192"/>
    <tableColumn id="8198" xr3:uid="{8CFD7A78-ABAA-4AB0-982B-6C35EFB8C3C8}" name="Column8193"/>
    <tableColumn id="8199" xr3:uid="{71B93D8B-9C82-439F-8ACB-66136E59BB90}" name="Column8194"/>
    <tableColumn id="8200" xr3:uid="{677A3678-2715-481F-9A35-7614C599BD8A}" name="Column8195"/>
    <tableColumn id="8201" xr3:uid="{C1400DEC-9342-47AF-AE4B-0BC479D17247}" name="Column8196"/>
    <tableColumn id="8202" xr3:uid="{E2BAEAA5-9ED0-41DC-9B28-A98E88BF397A}" name="Column8197"/>
    <tableColumn id="8203" xr3:uid="{4EDF8570-D004-4559-843B-9991133E6271}" name="Column8198"/>
    <tableColumn id="8204" xr3:uid="{A2CEDEF0-FB3D-4325-98BC-6F3CD25A35FE}" name="Column8199"/>
    <tableColumn id="8205" xr3:uid="{49F0216F-B0D3-4988-945F-7437EB86E0B3}" name="Column8200"/>
    <tableColumn id="8206" xr3:uid="{817C40C0-FBFC-47AB-8D19-7DDE95B12709}" name="Column8201"/>
    <tableColumn id="8207" xr3:uid="{70D3F9D7-FBD2-4E2D-98E9-EB799B90C8E2}" name="Column8202"/>
    <tableColumn id="8208" xr3:uid="{9FF2E485-5763-4328-BB0C-76CAD1FC064A}" name="Column8203"/>
    <tableColumn id="8209" xr3:uid="{85E71350-DFC6-4E5A-8DEE-93D5EF782C7E}" name="Column8204"/>
    <tableColumn id="8210" xr3:uid="{A506FD76-783B-411E-A4E6-D256C579F0C2}" name="Column8205"/>
    <tableColumn id="8211" xr3:uid="{1E51542A-06C5-4444-972B-EB69DBB9D072}" name="Column8206"/>
    <tableColumn id="8212" xr3:uid="{CB71AA0D-4286-4337-A8F4-2C17D4DA512C}" name="Column8207"/>
    <tableColumn id="8213" xr3:uid="{723A1C76-C94C-4600-A7C9-CABC5F9BCAC2}" name="Column8208"/>
    <tableColumn id="8214" xr3:uid="{E388E6C3-002B-4A05-96FA-EE55944689BF}" name="Column8209"/>
    <tableColumn id="8215" xr3:uid="{48A3E5C4-D209-4BFD-9D75-B260134D6ED9}" name="Column8210"/>
    <tableColumn id="8216" xr3:uid="{2297A822-AD46-4C43-B407-1756C3523233}" name="Column8211"/>
    <tableColumn id="8217" xr3:uid="{8C355764-E33D-4059-BE2D-DB7BB2BBA733}" name="Column8212"/>
    <tableColumn id="8218" xr3:uid="{A2092CE8-7530-46D3-8180-817AEE3E3047}" name="Column8213"/>
    <tableColumn id="8219" xr3:uid="{756E0D14-2455-4EC5-B72B-EF260D78394C}" name="Column8214"/>
    <tableColumn id="8220" xr3:uid="{B91E3AD8-0A77-4A9D-BE3B-01B1AE62A9E6}" name="Column8215"/>
    <tableColumn id="8221" xr3:uid="{DEFF53D0-03C4-4F50-9CB6-06CA0051ED3B}" name="Column8216"/>
    <tableColumn id="8222" xr3:uid="{3844B4B9-7863-4644-A91F-84C50FE71F6B}" name="Column8217"/>
    <tableColumn id="8223" xr3:uid="{53F626A0-9E57-4D58-B939-0B00FAA13C90}" name="Column8218"/>
    <tableColumn id="8224" xr3:uid="{6423C9F9-B687-4A4B-8BD5-E7A3677D5887}" name="Column8219"/>
    <tableColumn id="8225" xr3:uid="{6470248D-35B7-45A2-8BD5-81B86DF0C987}" name="Column8220"/>
    <tableColumn id="8226" xr3:uid="{D3B20EDC-5883-40A7-93E0-12B2535FDDDC}" name="Column8221"/>
    <tableColumn id="8227" xr3:uid="{44FF284C-957C-4260-9301-DC081664EFFF}" name="Column8222"/>
    <tableColumn id="8228" xr3:uid="{32171208-78E9-4BBA-BC5B-BF553A275999}" name="Column8223"/>
    <tableColumn id="8229" xr3:uid="{3011DF82-B43A-411D-B79A-F123A76F1BB8}" name="Column8224"/>
    <tableColumn id="8230" xr3:uid="{53C9E495-B1E6-4F39-8A5F-33B0D23D1784}" name="Column8225"/>
    <tableColumn id="8231" xr3:uid="{10A375AF-8E15-4C71-9707-8085F90D2353}" name="Column8226"/>
    <tableColumn id="8232" xr3:uid="{11487F3F-5682-49DF-B0CC-D96B52FF8A2B}" name="Column8227"/>
    <tableColumn id="8233" xr3:uid="{BFC7D9A9-8968-490C-8544-1B60D2505110}" name="Column8228"/>
    <tableColumn id="8234" xr3:uid="{AA581831-17F6-4ECD-8289-2D6EC52E3295}" name="Column8229"/>
    <tableColumn id="8235" xr3:uid="{5973ED16-5223-4F9D-B6A2-E97BB9C334D9}" name="Column8230"/>
    <tableColumn id="8236" xr3:uid="{C85E7629-B8CC-4BA4-93E4-76CB029DE88E}" name="Column8231"/>
    <tableColumn id="8237" xr3:uid="{C613B088-4956-406F-A992-1ED76EAF1227}" name="Column8232"/>
    <tableColumn id="8238" xr3:uid="{C8E5C122-DAAE-4817-AEB8-12A85D63DF8F}" name="Column8233"/>
    <tableColumn id="8239" xr3:uid="{9D54F707-DAB4-47BB-A690-1306E9C382FD}" name="Column8234"/>
    <tableColumn id="8240" xr3:uid="{E4F3C540-6FF7-4C79-B8A0-755EC35990D4}" name="Column8235"/>
    <tableColumn id="8241" xr3:uid="{9926064D-444D-4EC7-BD7F-99B3ED5CCB42}" name="Column8236"/>
    <tableColumn id="8242" xr3:uid="{5532B5B7-9F9F-485B-BB18-4A97571756F2}" name="Column8237"/>
    <tableColumn id="8243" xr3:uid="{F25637EE-7035-4B6F-84BB-4CF293667EBD}" name="Column8238"/>
    <tableColumn id="8244" xr3:uid="{47074DA0-48D1-4918-9407-C3C2EF19D8AC}" name="Column8239"/>
    <tableColumn id="8245" xr3:uid="{5816561E-7E4A-46AE-A8D1-5DD846B23437}" name="Column8240"/>
    <tableColumn id="8246" xr3:uid="{98B71F4A-87B6-4FD0-942C-F713B007E9F1}" name="Column8241"/>
    <tableColumn id="8247" xr3:uid="{0CE59085-11F0-45A2-98D2-F756658F4BAC}" name="Column8242"/>
    <tableColumn id="8248" xr3:uid="{73DF3902-142E-43E4-A87F-53DAC0B20AE1}" name="Column8243"/>
    <tableColumn id="8249" xr3:uid="{8A53BA7A-4D20-4E08-A3D6-2879C15FA43B}" name="Column8244"/>
    <tableColumn id="8250" xr3:uid="{2CA09D0B-062E-4EBF-9284-2EF0F633E1EE}" name="Column8245"/>
    <tableColumn id="8251" xr3:uid="{CDE3E799-6AAC-41BB-898C-5691EA397143}" name="Column8246"/>
    <tableColumn id="8252" xr3:uid="{6524F435-3860-45DD-9940-19A5B525CB2F}" name="Column8247"/>
    <tableColumn id="8253" xr3:uid="{A666F4F6-A0D9-4153-820C-28F201715946}" name="Column8248"/>
    <tableColumn id="8254" xr3:uid="{57BF2790-8AA9-4172-8687-CA18D1DF83CF}" name="Column8249"/>
    <tableColumn id="8255" xr3:uid="{9CE94941-D6B2-473D-8E1D-DD89F4F3F558}" name="Column8250"/>
    <tableColumn id="8256" xr3:uid="{C6A21596-FCAC-47A9-90E1-79FDF53751BA}" name="Column8251"/>
    <tableColumn id="8257" xr3:uid="{3E6B2E78-9435-446C-AF52-3F84B38E4203}" name="Column8252"/>
    <tableColumn id="8258" xr3:uid="{3805D50F-B1B1-4EEF-9AAA-A38B8B9A1042}" name="Column8253"/>
    <tableColumn id="8259" xr3:uid="{F12A31E0-D055-4682-B218-A7D461C9D23C}" name="Column8254"/>
    <tableColumn id="8260" xr3:uid="{5502B4CF-647B-4C89-B109-2E22F380D8E3}" name="Column8255"/>
    <tableColumn id="8261" xr3:uid="{E95EFDE4-0BD0-42A7-84EB-3F82D421214C}" name="Column8256"/>
    <tableColumn id="8262" xr3:uid="{977BC604-6FB5-4CF9-8AEF-0313D7885162}" name="Column8257"/>
    <tableColumn id="8263" xr3:uid="{B5F3A0AB-0D30-4D6F-9C85-0159CFBA29D5}" name="Column8258"/>
    <tableColumn id="8264" xr3:uid="{7A2DE197-599A-4C3A-84DA-E84F2C92CFCF}" name="Column8259"/>
    <tableColumn id="8265" xr3:uid="{06D7B6E5-222A-4840-BC2A-105353BD4895}" name="Column8260"/>
    <tableColumn id="8266" xr3:uid="{51E94DA9-61F1-4BBE-A689-08759E3483B5}" name="Column8261"/>
    <tableColumn id="8267" xr3:uid="{DAF76059-63D6-4F83-9EBA-B29B11019A84}" name="Column8262"/>
    <tableColumn id="8268" xr3:uid="{6CD34BEB-76CF-4D74-95AF-1FA96E990F8F}" name="Column8263"/>
    <tableColumn id="8269" xr3:uid="{61977D29-E9DD-4464-BFFB-5DB4FBC2767C}" name="Column8264"/>
    <tableColumn id="8270" xr3:uid="{F07D7F7A-AA45-40B8-8ADA-D152583EE912}" name="Column8265"/>
    <tableColumn id="8271" xr3:uid="{1469845F-152D-40C6-80A3-06EC250C015F}" name="Column8266"/>
    <tableColumn id="8272" xr3:uid="{35FDEE0F-8250-4360-8574-ECA75F3FFCC0}" name="Column8267"/>
    <tableColumn id="8273" xr3:uid="{F0E628B5-CC36-48BD-AC21-3349194244A2}" name="Column8268"/>
    <tableColumn id="8274" xr3:uid="{A6093820-5367-42D9-91AF-965FA68FDEE1}" name="Column8269"/>
    <tableColumn id="8275" xr3:uid="{11DBB6D5-DAE4-498F-9D8D-7B3979C53D54}" name="Column8270"/>
    <tableColumn id="8276" xr3:uid="{F1EA9153-FE56-4675-ACAF-B18529CB4D15}" name="Column8271"/>
    <tableColumn id="8277" xr3:uid="{B5BD91CC-2E33-4DA1-9C07-D88B1E61CE93}" name="Column8272"/>
    <tableColumn id="8278" xr3:uid="{46DFCE40-70EB-4FC7-8264-D4A51C8197AD}" name="Column8273"/>
    <tableColumn id="8279" xr3:uid="{7DB779EC-191A-4F9D-A2FC-7AC84CCA553C}" name="Column8274"/>
    <tableColumn id="8280" xr3:uid="{40A87929-ED45-47CD-8B56-6DABA5123B74}" name="Column8275"/>
    <tableColumn id="8281" xr3:uid="{BB3A5F12-6C9A-4BD6-BA32-E09427E9E9B5}" name="Column8276"/>
    <tableColumn id="8282" xr3:uid="{8B28DD84-FBC1-45D5-A974-170C98C4ABDF}" name="Column8277"/>
    <tableColumn id="8283" xr3:uid="{97151319-3B98-4CCB-AD66-37EA039DCE31}" name="Column8278"/>
    <tableColumn id="8284" xr3:uid="{56D30790-9A5C-45D9-BCBF-91B6668BF931}" name="Column8279"/>
    <tableColumn id="8285" xr3:uid="{4D0374AF-CB16-4D96-B613-C342DBC8CEB9}" name="Column8280"/>
    <tableColumn id="8286" xr3:uid="{78ECB8CC-C0EE-4239-94A6-689306B3738D}" name="Column8281"/>
    <tableColumn id="8287" xr3:uid="{D44C4E8A-A1F8-49A2-BE90-4A33F3D8C33B}" name="Column8282"/>
    <tableColumn id="8288" xr3:uid="{675B7A07-0FDB-4517-A9BE-D2C9346A9B25}" name="Column8283"/>
    <tableColumn id="8289" xr3:uid="{53ABFBA4-582E-4633-87CB-E19A9EEF142E}" name="Column8284"/>
    <tableColumn id="8290" xr3:uid="{D4578380-D55E-4F42-A28D-162C0B4D82D9}" name="Column8285"/>
    <tableColumn id="8291" xr3:uid="{792AEF33-12FA-448D-A505-920FFB067AC3}" name="Column8286"/>
    <tableColumn id="8292" xr3:uid="{7C5DCEE7-9FFF-498E-8B4C-E7CA091DF4CD}" name="Column8287"/>
    <tableColumn id="8293" xr3:uid="{FC22C8FC-3DFC-42D0-ACA4-5DFE5408811A}" name="Column8288"/>
    <tableColumn id="8294" xr3:uid="{5D324DAB-166F-4C2B-9791-D380E73C69A9}" name="Column8289"/>
    <tableColumn id="8295" xr3:uid="{DCE6967B-35BA-4095-81FE-E5F79944F7CF}" name="Column8290"/>
    <tableColumn id="8296" xr3:uid="{98A2B3F8-9D94-40D5-ADC2-AC84B2D5B09A}" name="Column8291"/>
    <tableColumn id="8297" xr3:uid="{A657FB28-C085-43B3-8A61-7E5F620B220F}" name="Column8292"/>
    <tableColumn id="8298" xr3:uid="{B6B2B43E-0431-4373-9F06-6DF523E35770}" name="Column8293"/>
    <tableColumn id="8299" xr3:uid="{C5075BEF-A8DB-42CD-A8CB-E75DD4C9DC95}" name="Column8294"/>
    <tableColumn id="8300" xr3:uid="{966B09D8-5FFD-4971-BAAA-A1558E777F3D}" name="Column8295"/>
    <tableColumn id="8301" xr3:uid="{F79E2F07-8F9B-4EAC-A288-EAB340EDB109}" name="Column8296"/>
    <tableColumn id="8302" xr3:uid="{1CDBF734-C715-4C2C-B677-A3DD5BB291F4}" name="Column8297"/>
    <tableColumn id="8303" xr3:uid="{A0322861-8080-41D8-ABE1-F7E6608A10EF}" name="Column8298"/>
    <tableColumn id="8304" xr3:uid="{BD15D33A-5CAC-4638-A2C3-01E4C4DE62D2}" name="Column8299"/>
    <tableColumn id="8305" xr3:uid="{1A351F1D-795D-47AD-9680-81382B83CB8B}" name="Column8300"/>
    <tableColumn id="8306" xr3:uid="{145F7AE2-69F3-443E-9266-9F1C59EF5977}" name="Column8301"/>
    <tableColumn id="8307" xr3:uid="{98CAA379-3EBA-4983-AC7F-D86FCDEF6CF3}" name="Column8302"/>
    <tableColumn id="8308" xr3:uid="{9E9B2B70-513C-4FF2-ADA4-FEF6407004CC}" name="Column8303"/>
    <tableColumn id="8309" xr3:uid="{9519D46E-247E-4564-8477-1C392D3F0D48}" name="Column8304"/>
    <tableColumn id="8310" xr3:uid="{71C52653-7C55-40B5-B99A-60C8D2DD7D9F}" name="Column8305"/>
    <tableColumn id="8311" xr3:uid="{DCBA033D-DD12-4C54-AF43-01AAC23EED32}" name="Column8306"/>
    <tableColumn id="8312" xr3:uid="{E2A9E184-6AEC-48E7-89DB-1C74D4A61593}" name="Column8307"/>
    <tableColumn id="8313" xr3:uid="{D3B61A28-0604-496A-9A1E-E25409B81104}" name="Column8308"/>
    <tableColumn id="8314" xr3:uid="{1664A589-209C-4F65-A444-1D887337B03C}" name="Column8309"/>
    <tableColumn id="8315" xr3:uid="{406F85E7-3BAE-4055-ACF1-CB1349C93F0A}" name="Column8310"/>
    <tableColumn id="8316" xr3:uid="{B5E499AD-41C5-450B-90A3-C2DCB47599C2}" name="Column8311"/>
    <tableColumn id="8317" xr3:uid="{B81FA167-1C4A-460D-BD33-C9709D5BB390}" name="Column8312"/>
    <tableColumn id="8318" xr3:uid="{10E0B215-3333-495B-93ED-569E98FC6A18}" name="Column8313"/>
    <tableColumn id="8319" xr3:uid="{D4C33F2D-9AE2-4F5B-8179-373C00DAA4EB}" name="Column8314"/>
    <tableColumn id="8320" xr3:uid="{BB300C80-0DD2-41E4-9FD2-697E385C169A}" name="Column8315"/>
    <tableColumn id="8321" xr3:uid="{9915ED1F-3696-493E-B0B4-D9C58AE6CACB}" name="Column8316"/>
    <tableColumn id="8322" xr3:uid="{143F6015-D063-4411-9F46-0F5BEBF65DEE}" name="Column8317"/>
    <tableColumn id="8323" xr3:uid="{464F13EF-42BE-428B-9289-7295A500399A}" name="Column8318"/>
    <tableColumn id="8324" xr3:uid="{81C28A9B-D461-4380-A5DD-BE0A3AA5BC36}" name="Column8319"/>
    <tableColumn id="8325" xr3:uid="{D25526A2-103C-445C-9412-75DC761D834F}" name="Column8320"/>
    <tableColumn id="8326" xr3:uid="{D1B5E565-81FD-4F40-B4A0-6AE4A6718383}" name="Column8321"/>
    <tableColumn id="8327" xr3:uid="{F8EC4839-998F-4445-AB04-6379418EC682}" name="Column8322"/>
    <tableColumn id="8328" xr3:uid="{C4556CEA-93A7-434E-9158-0A47C6C8229D}" name="Column8323"/>
    <tableColumn id="8329" xr3:uid="{D55CC867-8966-44A6-8542-1F86FA59627F}" name="Column8324"/>
    <tableColumn id="8330" xr3:uid="{3C90CB8F-B58B-4259-81A2-FF6FF3028EC5}" name="Column8325"/>
    <tableColumn id="8331" xr3:uid="{A3AFCD3E-B4E0-4D9E-A0EC-EB89620CE624}" name="Column8326"/>
    <tableColumn id="8332" xr3:uid="{3D837A12-828E-4FFF-ADF5-6CE2673034AB}" name="Column8327"/>
    <tableColumn id="8333" xr3:uid="{88366026-74DD-4C77-A479-741817002614}" name="Column8328"/>
    <tableColumn id="8334" xr3:uid="{0C3371DE-8CF6-4677-809C-13B7C9C5CC70}" name="Column8329"/>
    <tableColumn id="8335" xr3:uid="{30FCB368-AB83-4A7A-85AE-772C75D127B7}" name="Column8330"/>
    <tableColumn id="8336" xr3:uid="{0CCB853A-8696-4843-BE64-58625701FD56}" name="Column8331"/>
    <tableColumn id="8337" xr3:uid="{777556B1-4C0C-4E40-90BE-0496636A673A}" name="Column8332"/>
    <tableColumn id="8338" xr3:uid="{8986FAF1-96A6-401B-8D43-24BC8E0BFFE1}" name="Column8333"/>
    <tableColumn id="8339" xr3:uid="{DF2D3120-3DA4-4935-A9D6-DB9C0CB325E7}" name="Column8334"/>
    <tableColumn id="8340" xr3:uid="{6B1E8827-0B6E-4567-8385-E65294FEDFC5}" name="Column8335"/>
    <tableColumn id="8341" xr3:uid="{F9FF6E2E-B906-47D7-BD85-68759E024D53}" name="Column8336"/>
    <tableColumn id="8342" xr3:uid="{2A6AC33E-9234-44FA-B470-DCE4457FA832}" name="Column8337"/>
    <tableColumn id="8343" xr3:uid="{1805E5D1-4919-4166-8E3F-90BBAEE12C87}" name="Column8338"/>
    <tableColumn id="8344" xr3:uid="{3595B94D-E281-41F4-8240-F5C37B5520D2}" name="Column8339"/>
    <tableColumn id="8345" xr3:uid="{82BF9857-C373-4C46-8931-B9B17CE535CA}" name="Column8340"/>
    <tableColumn id="8346" xr3:uid="{EFBE38EE-EBC3-4376-BEFC-7E7F84589CC0}" name="Column8341"/>
    <tableColumn id="8347" xr3:uid="{8817C9CF-A0CC-4A5F-BD49-1CF5436ADC10}" name="Column8342"/>
    <tableColumn id="8348" xr3:uid="{CC2B6DB3-D880-4B97-AB0C-419DA63DD7B5}" name="Column8343"/>
    <tableColumn id="8349" xr3:uid="{E6FC4204-AD2C-4712-9824-A018B1EB85A8}" name="Column8344"/>
    <tableColumn id="8350" xr3:uid="{4BD5E3E8-474F-4165-AB2B-0E855D52868B}" name="Column8345"/>
    <tableColumn id="8351" xr3:uid="{405BC868-9A10-4956-887C-FBB275EFAA7D}" name="Column8346"/>
    <tableColumn id="8352" xr3:uid="{4FF9BDB0-77D5-4868-B6E3-38C236D903A1}" name="Column8347"/>
    <tableColumn id="8353" xr3:uid="{55E013A3-F4D2-4053-8681-25044160A24F}" name="Column8348"/>
    <tableColumn id="8354" xr3:uid="{4B144283-71F4-4C1F-9A8C-C357E1328A41}" name="Column8349"/>
    <tableColumn id="8355" xr3:uid="{385F7B7B-2109-47D3-8BE7-2C416F269B2C}" name="Column8350"/>
    <tableColumn id="8356" xr3:uid="{03D32DE5-473A-4C93-A4AB-A4193BD4E815}" name="Column8351"/>
    <tableColumn id="8357" xr3:uid="{7CF84125-4BBB-4D4F-8244-3E721E1320F8}" name="Column8352"/>
    <tableColumn id="8358" xr3:uid="{F0E5AE51-3A0D-4FAD-8D1B-1F37692F21C9}" name="Column8353"/>
    <tableColumn id="8359" xr3:uid="{C4082A8C-5F23-4596-9217-F6C987391DEB}" name="Column8354"/>
    <tableColumn id="8360" xr3:uid="{87E31FD0-8E37-486F-A5A1-4F88FC8C80E3}" name="Column8355"/>
    <tableColumn id="8361" xr3:uid="{B3C285FF-1AFC-4DD9-8B86-496D08135C55}" name="Column8356"/>
    <tableColumn id="8362" xr3:uid="{BF35039A-3E8D-47D4-95B0-6A112D4EE991}" name="Column8357"/>
    <tableColumn id="8363" xr3:uid="{6F5E7CEA-4735-4E15-B417-A258055CEBC4}" name="Column8358"/>
    <tableColumn id="8364" xr3:uid="{A8A78255-A540-45BA-A140-9669FFAD8683}" name="Column8359"/>
    <tableColumn id="8365" xr3:uid="{933C382B-2378-44FD-B46C-D30D33A6C41D}" name="Column8360"/>
    <tableColumn id="8366" xr3:uid="{DF981849-6A0B-461C-BE6E-013A8E0491F6}" name="Column8361"/>
    <tableColumn id="8367" xr3:uid="{BC1E3B98-77B9-4629-876C-E48827A1FB6D}" name="Column8362"/>
    <tableColumn id="8368" xr3:uid="{2000F262-F7AB-40A1-8FF4-21F1050EBC57}" name="Column8363"/>
    <tableColumn id="8369" xr3:uid="{A857F673-72E5-44A4-BC28-256E57DCA092}" name="Column8364"/>
    <tableColumn id="8370" xr3:uid="{287D045C-A875-4BD0-A611-44EC7F5C672C}" name="Column8365"/>
    <tableColumn id="8371" xr3:uid="{26B4A9BA-950E-4B2A-B258-BBCDF76EF6A3}" name="Column8366"/>
    <tableColumn id="8372" xr3:uid="{329E45A9-6C43-4B71-BE3F-4D60B20923E2}" name="Column8367"/>
    <tableColumn id="8373" xr3:uid="{FC0EDFA9-B412-41D8-94B9-64353CAA632A}" name="Column8368"/>
    <tableColumn id="8374" xr3:uid="{593A510F-C8F5-4B66-8B59-DC3D2A9A5CBE}" name="Column8369"/>
    <tableColumn id="8375" xr3:uid="{AD1D6ED0-088E-4A58-AC60-6BA29CB732AD}" name="Column8370"/>
    <tableColumn id="8376" xr3:uid="{82C8DC93-789E-418C-8FB5-BADC84102430}" name="Column8371"/>
    <tableColumn id="8377" xr3:uid="{814A637F-918A-46B8-BD5E-9E53380AEC51}" name="Column8372"/>
    <tableColumn id="8378" xr3:uid="{0B40EB17-D8C7-4567-B795-D654B9EA790B}" name="Column8373"/>
    <tableColumn id="8379" xr3:uid="{24E1D2D8-5386-4CEC-A46A-C02D0BB8D4E9}" name="Column8374"/>
    <tableColumn id="8380" xr3:uid="{351B4F0B-174F-4CCD-B1A4-7A5B19DF6EE6}" name="Column8375"/>
    <tableColumn id="8381" xr3:uid="{BE6B2D28-8008-4CED-A3E3-3C1FB8163AD0}" name="Column8376"/>
    <tableColumn id="8382" xr3:uid="{973B8194-C8A2-491F-84E4-E5468BE1DBC9}" name="Column8377"/>
    <tableColumn id="8383" xr3:uid="{38BE98B7-7068-40AC-A008-D82A4685A13D}" name="Column8378"/>
    <tableColumn id="8384" xr3:uid="{DD5DDF3D-0AE5-473A-ADE6-3A51DDC24015}" name="Column8379"/>
    <tableColumn id="8385" xr3:uid="{5A18F218-B18F-4634-8FF7-F70616830D84}" name="Column8380"/>
    <tableColumn id="8386" xr3:uid="{32FA9092-ACFD-4F26-934B-037902173621}" name="Column8381"/>
    <tableColumn id="8387" xr3:uid="{C8068013-B21F-4DF1-AEC4-C1525DF585EE}" name="Column8382"/>
    <tableColumn id="8388" xr3:uid="{5B92F6EE-EED0-45B1-8598-DC669D135305}" name="Column8383"/>
    <tableColumn id="8389" xr3:uid="{69A17A7E-6364-4CA3-89C9-EE5939DA8FD7}" name="Column8384"/>
    <tableColumn id="8390" xr3:uid="{A9A149BF-6001-433B-9B6E-2938163A3DAB}" name="Column8385"/>
    <tableColumn id="8391" xr3:uid="{1A12BD3D-F749-4425-BDCB-3B100563C468}" name="Column8386"/>
    <tableColumn id="8392" xr3:uid="{B52E0047-EAFE-4F66-BD93-C12FE8B38E4C}" name="Column8387"/>
    <tableColumn id="8393" xr3:uid="{F9C30BE3-050E-4D1D-8839-C1C18C072498}" name="Column8388"/>
    <tableColumn id="8394" xr3:uid="{C6CFEE2B-D981-414C-BE4C-D1971C77CE2A}" name="Column8389"/>
    <tableColumn id="8395" xr3:uid="{FE048173-DF1D-4C08-B00B-C7A67F24F0D7}" name="Column8390"/>
    <tableColumn id="8396" xr3:uid="{C04CCDF3-E082-4DC4-9F63-D8DEE7995CD0}" name="Column8391"/>
    <tableColumn id="8397" xr3:uid="{838BC16B-C39B-479A-88A6-0FEE4C2CDED6}" name="Column8392"/>
    <tableColumn id="8398" xr3:uid="{9D988AD9-9C04-415F-A1FC-B69374DE6241}" name="Column8393"/>
    <tableColumn id="8399" xr3:uid="{A4E5338E-B372-4CA6-802C-788F7BC9A9F9}" name="Column8394"/>
    <tableColumn id="8400" xr3:uid="{D03ACFCB-7BF3-4C3D-9787-A3D68949BC3B}" name="Column8395"/>
    <tableColumn id="8401" xr3:uid="{E1AAE22F-5C3B-4725-A9FE-888356EC8D21}" name="Column8396"/>
    <tableColumn id="8402" xr3:uid="{807045C3-D917-4834-9BC0-76155C57FC40}" name="Column8397"/>
    <tableColumn id="8403" xr3:uid="{A10B7CA1-14CC-4C4F-9548-DEBCFE767048}" name="Column8398"/>
    <tableColumn id="8404" xr3:uid="{B41111D2-7228-4366-93C2-9100D8E4BDF4}" name="Column8399"/>
    <tableColumn id="8405" xr3:uid="{5B6A3B68-F52F-4BBC-8282-3ACE2E28C97D}" name="Column8400"/>
    <tableColumn id="8406" xr3:uid="{18C8073C-36B4-4076-89E8-ECEF1B49670C}" name="Column8401"/>
    <tableColumn id="8407" xr3:uid="{92FC83EF-1D88-4CDA-AB05-36251514E44B}" name="Column8402"/>
    <tableColumn id="8408" xr3:uid="{99B8270E-369B-473D-8BB7-7CB4D26E5898}" name="Column8403"/>
    <tableColumn id="8409" xr3:uid="{65158ADF-E579-4826-AFCA-B7CE1DA5B6C1}" name="Column8404"/>
    <tableColumn id="8410" xr3:uid="{A2756AF8-D6A8-4954-AB20-40C2C807CA8A}" name="Column8405"/>
    <tableColumn id="8411" xr3:uid="{2F9B22FA-44E1-467E-84F7-13805908CC0E}" name="Column8406"/>
    <tableColumn id="8412" xr3:uid="{2A73120E-BFFE-4F9E-9F89-E1AC767D87B4}" name="Column8407"/>
    <tableColumn id="8413" xr3:uid="{CA5098A5-7841-402E-ADE4-DCB704FD862B}" name="Column8408"/>
    <tableColumn id="8414" xr3:uid="{62F0572F-991B-46DF-97EA-6D23D29F2429}" name="Column8409"/>
    <tableColumn id="8415" xr3:uid="{E7FDEFD5-18E0-4A4D-A241-C98ED0BA60AE}" name="Column8410"/>
    <tableColumn id="8416" xr3:uid="{F492042F-7E35-45BD-BB94-DA8CFB125831}" name="Column8411"/>
    <tableColumn id="8417" xr3:uid="{A2A86DB8-1CEC-43CE-85EE-EC9C3BAB24F5}" name="Column8412"/>
    <tableColumn id="8418" xr3:uid="{E261DFC2-8C20-4C96-BD0E-72F512D86DFB}" name="Column8413"/>
    <tableColumn id="8419" xr3:uid="{34F2CA34-E17E-41F1-B41B-975A4D8F2878}" name="Column8414"/>
    <tableColumn id="8420" xr3:uid="{EEDEED5A-8CB6-44E2-9E32-32867B99D5FA}" name="Column8415"/>
    <tableColumn id="8421" xr3:uid="{4958C08E-49E5-4607-9835-2A44911C7BA0}" name="Column8416"/>
    <tableColumn id="8422" xr3:uid="{8EFD1CAF-4210-47B3-B4CB-7B05FCC68FC8}" name="Column8417"/>
    <tableColumn id="8423" xr3:uid="{2F9BFE9D-CF7B-44E2-B4C5-C8141A058FAD}" name="Column8418"/>
    <tableColumn id="8424" xr3:uid="{B8A35F4F-5BA5-4EDA-A81D-1A045EFCAAB9}" name="Column8419"/>
    <tableColumn id="8425" xr3:uid="{AB175A13-ADB3-4EEB-A950-A3F56F84BF8C}" name="Column8420"/>
    <tableColumn id="8426" xr3:uid="{2365A72D-C56F-47AE-BF50-262CC0683A4A}" name="Column8421"/>
    <tableColumn id="8427" xr3:uid="{31D74DF4-A765-4FAC-848F-6DE6EFE27CAE}" name="Column8422"/>
    <tableColumn id="8428" xr3:uid="{748D7105-B849-4D20-A8B1-6FE141C5358E}" name="Column8423"/>
    <tableColumn id="8429" xr3:uid="{2BC47D9A-12AF-4F5A-9A96-180A0A5C2BF9}" name="Column8424"/>
    <tableColumn id="8430" xr3:uid="{9ADA5B0E-889C-4872-AA8F-FF4FBB944B72}" name="Column8425"/>
    <tableColumn id="8431" xr3:uid="{163AE9C5-2D12-4393-BFF3-061EAA19E99E}" name="Column8426"/>
    <tableColumn id="8432" xr3:uid="{E3CC37C9-E565-4CED-97CB-3E9361A00B6D}" name="Column8427"/>
    <tableColumn id="8433" xr3:uid="{174C4E28-7D2E-4776-9245-8C9B906994DC}" name="Column8428"/>
    <tableColumn id="8434" xr3:uid="{AE13816C-6215-4DB3-A8A4-357A4C19087A}" name="Column8429"/>
    <tableColumn id="8435" xr3:uid="{42E78CF8-ED2A-478D-AF4A-8C92F3EEBD42}" name="Column8430"/>
    <tableColumn id="8436" xr3:uid="{2F73DD90-D244-4900-89E0-83CD90AD14C8}" name="Column8431"/>
    <tableColumn id="8437" xr3:uid="{44D231EC-4F7D-4343-8574-9898A4E41456}" name="Column8432"/>
    <tableColumn id="8438" xr3:uid="{562B0C79-4E0A-4E96-9998-E4DAA8CF1A37}" name="Column8433"/>
    <tableColumn id="8439" xr3:uid="{EA180345-97BF-4574-821B-8A37D5142E38}" name="Column8434"/>
    <tableColumn id="8440" xr3:uid="{FF4EF5A0-5EDC-4AA0-AED4-E599FB6A8DCC}" name="Column8435"/>
    <tableColumn id="8441" xr3:uid="{A0E218D7-EF71-4790-B814-545DE8DA7E1A}" name="Column8436"/>
    <tableColumn id="8442" xr3:uid="{3FF11493-92F1-419F-AC6B-3428BE3B2D91}" name="Column8437"/>
    <tableColumn id="8443" xr3:uid="{4B4FEC02-4F7A-43AA-B8A0-316FA7069909}" name="Column8438"/>
    <tableColumn id="8444" xr3:uid="{251CE206-226A-445A-B78E-4341A8D1C524}" name="Column8439"/>
    <tableColumn id="8445" xr3:uid="{0BCE3149-5936-470E-85B2-DA139FAB2039}" name="Column8440"/>
    <tableColumn id="8446" xr3:uid="{F1288D54-0C47-46C3-9863-D78E077A13A7}" name="Column8441"/>
    <tableColumn id="8447" xr3:uid="{8FCEEC8E-E35E-4B91-ADCE-A43D9028E9D5}" name="Column8442"/>
    <tableColumn id="8448" xr3:uid="{31B83D1E-D867-4136-AA43-97730D9EDAF7}" name="Column8443"/>
    <tableColumn id="8449" xr3:uid="{A283F064-7DA4-4E34-A22B-75A3CC394CFF}" name="Column8444"/>
    <tableColumn id="8450" xr3:uid="{B389281F-9640-4825-A0E8-C1D8A8729297}" name="Column8445"/>
    <tableColumn id="8451" xr3:uid="{FF4D7FD1-AD2E-47E3-A910-C15676F7D123}" name="Column8446"/>
    <tableColumn id="8452" xr3:uid="{0937F9E1-73C3-439D-8CDA-C661E3AF844A}" name="Column8447"/>
    <tableColumn id="8453" xr3:uid="{C32E2907-C4C4-41F2-84DF-760F022ADC5A}" name="Column8448"/>
    <tableColumn id="8454" xr3:uid="{4EC3AA92-8636-47A7-B4FF-48775FA11EA9}" name="Column8449"/>
    <tableColumn id="8455" xr3:uid="{785AD9D1-2D2C-4ACD-8A3A-C3F1901747A2}" name="Column8450"/>
    <tableColumn id="8456" xr3:uid="{04A9C681-F195-4C8B-A84D-7B10B9939AC8}" name="Column8451"/>
    <tableColumn id="8457" xr3:uid="{C749DB9B-4066-4F14-9432-7B809B867340}" name="Column8452"/>
    <tableColumn id="8458" xr3:uid="{23693EEE-FADC-4890-9247-D11572C81970}" name="Column8453"/>
    <tableColumn id="8459" xr3:uid="{2545BDAE-B6D1-4B13-A1CA-2263A1989D57}" name="Column8454"/>
    <tableColumn id="8460" xr3:uid="{EF1D0973-43DF-4423-92C4-A03504858197}" name="Column8455"/>
    <tableColumn id="8461" xr3:uid="{77776AD2-4F2B-49E7-AC66-7C12A8FCFE6E}" name="Column8456"/>
    <tableColumn id="8462" xr3:uid="{F8A88750-7757-43E0-B848-9B120CA15C69}" name="Column8457"/>
    <tableColumn id="8463" xr3:uid="{C57D2CCC-41D2-44F6-BE68-83BEFF15DA40}" name="Column8458"/>
    <tableColumn id="8464" xr3:uid="{D8648442-1E45-4F4D-9450-B494FFF7BC6E}" name="Column8459"/>
    <tableColumn id="8465" xr3:uid="{5527C5DA-413D-4172-A238-4C72F2301BDE}" name="Column8460"/>
    <tableColumn id="8466" xr3:uid="{8A0188CB-835D-4684-AE87-00A27749A587}" name="Column8461"/>
    <tableColumn id="8467" xr3:uid="{36491A67-E7AD-4DDD-A9EA-05EC5E1B09FD}" name="Column8462"/>
    <tableColumn id="8468" xr3:uid="{FCDF9E02-8ECB-4049-A244-109425D7512D}" name="Column8463"/>
    <tableColumn id="8469" xr3:uid="{7D7783F1-2E50-4C26-A717-56B6450018CC}" name="Column8464"/>
    <tableColumn id="8470" xr3:uid="{3F3F05EB-C4BC-4216-A8DE-F1D6158A1CBD}" name="Column8465"/>
    <tableColumn id="8471" xr3:uid="{49074553-86E0-4914-8C4D-D36BAD0B5E5A}" name="Column8466"/>
    <tableColumn id="8472" xr3:uid="{761B1E85-EF04-4B55-B296-38CE8ED5845C}" name="Column8467"/>
    <tableColumn id="8473" xr3:uid="{75BE86CA-7A5D-497D-BB9A-A50D2E1C6D08}" name="Column8468"/>
    <tableColumn id="8474" xr3:uid="{1A07F214-D650-4E73-8F84-52B081DCC5AA}" name="Column8469"/>
    <tableColumn id="8475" xr3:uid="{5D5DA287-F277-4E1A-8F85-8FD4AE5395B2}" name="Column8470"/>
    <tableColumn id="8476" xr3:uid="{E19E1E22-F16E-4352-AA43-1400657D9C46}" name="Column8471"/>
    <tableColumn id="8477" xr3:uid="{D0CFC14C-EEDC-4ABF-B19C-DFD71B3B881A}" name="Column8472"/>
    <tableColumn id="8478" xr3:uid="{5D193CB2-6673-41A0-96CF-1C5AD63F5E4D}" name="Column8473"/>
    <tableColumn id="8479" xr3:uid="{8AC78444-209B-4C96-BDC5-FFCC552FCDE1}" name="Column8474"/>
    <tableColumn id="8480" xr3:uid="{E5725116-BBE0-406A-8EEB-13153384DEA5}" name="Column8475"/>
    <tableColumn id="8481" xr3:uid="{16190E33-6DCB-48BB-A6CA-87ABF22AC644}" name="Column8476"/>
    <tableColumn id="8482" xr3:uid="{00F3F543-5B81-4427-86EF-A646FDA52BAA}" name="Column8477"/>
    <tableColumn id="8483" xr3:uid="{35713A9A-9F82-42E0-BD8D-D1E3F1687691}" name="Column8478"/>
    <tableColumn id="8484" xr3:uid="{84901CD9-41CF-467C-89C9-B5DF3E74E7C9}" name="Column8479"/>
    <tableColumn id="8485" xr3:uid="{DA3B4F54-0192-4D91-AF00-1D812E448E77}" name="Column8480"/>
    <tableColumn id="8486" xr3:uid="{DCF678B3-9DA7-4F26-93F1-29DB9562AA60}" name="Column8481"/>
    <tableColumn id="8487" xr3:uid="{6C809F8F-CCD4-4F4A-9D94-7719420C0198}" name="Column8482"/>
    <tableColumn id="8488" xr3:uid="{96F8472F-44C5-4A41-84D4-EC5FD43C6A07}" name="Column8483"/>
    <tableColumn id="8489" xr3:uid="{5CE9D38A-A78C-4CFD-B00C-6766859B4A64}" name="Column8484"/>
    <tableColumn id="8490" xr3:uid="{48BE7E0A-6FFA-4FEB-8DF4-B50530C3B59F}" name="Column8485"/>
    <tableColumn id="8491" xr3:uid="{63DAA8DE-691D-42E5-8BA4-C8A08723DB87}" name="Column8486"/>
    <tableColumn id="8492" xr3:uid="{363BF8C0-CCA3-4AC1-8BAC-99B0D5CBBAE7}" name="Column8487"/>
    <tableColumn id="8493" xr3:uid="{08E329B2-DFDC-4B6D-B973-C8E48978E1EE}" name="Column8488"/>
    <tableColumn id="8494" xr3:uid="{D666EDBA-C378-404A-93BB-5D24B062548E}" name="Column8489"/>
    <tableColumn id="8495" xr3:uid="{39A37A80-0262-4E62-A7E7-9A2A95B6D5BF}" name="Column8490"/>
    <tableColumn id="8496" xr3:uid="{F589951A-3C1E-4256-A45C-1098E437942F}" name="Column8491"/>
    <tableColumn id="8497" xr3:uid="{6A2A8811-C1B6-44E8-B440-5A55912D4D0D}" name="Column8492"/>
    <tableColumn id="8498" xr3:uid="{131E9AA2-C8B9-422B-AE41-0797BD0A8D70}" name="Column8493"/>
    <tableColumn id="8499" xr3:uid="{3DCF576F-E998-4AE2-8F84-FB5FE0FF2770}" name="Column8494"/>
    <tableColumn id="8500" xr3:uid="{CFB4D357-CD4F-4CAB-87A1-E665B1518C4D}" name="Column8495"/>
    <tableColumn id="8501" xr3:uid="{C19B1A45-9B03-4156-A1CB-324A5B6CD9A8}" name="Column8496"/>
    <tableColumn id="8502" xr3:uid="{3E590D07-6056-4690-96F0-65916007CBF1}" name="Column8497"/>
    <tableColumn id="8503" xr3:uid="{092399AF-DF0B-4BDE-ACF1-6F45448EB404}" name="Column8498"/>
    <tableColumn id="8504" xr3:uid="{F6C96853-E289-4AF7-98F5-8EB0CCB5B7EC}" name="Column8499"/>
    <tableColumn id="8505" xr3:uid="{19392D79-78F5-4819-BB70-EECB1D023179}" name="Column8500"/>
    <tableColumn id="8506" xr3:uid="{385F7FA5-4189-4BF1-96BB-1884736760B4}" name="Column8501"/>
    <tableColumn id="8507" xr3:uid="{FAA2AD52-22F1-42F4-8979-6A79D659C2EA}" name="Column8502"/>
    <tableColumn id="8508" xr3:uid="{561C23FF-1964-4FB5-950D-A2F916526786}" name="Column8503"/>
    <tableColumn id="8509" xr3:uid="{63B87A4C-CC1A-49BB-AAA7-5D18365D1C95}" name="Column8504"/>
    <tableColumn id="8510" xr3:uid="{E2547216-4D33-4C83-8184-3A9C9E249B9D}" name="Column8505"/>
    <tableColumn id="8511" xr3:uid="{BE2DB7BE-F4C5-41FB-9564-E424E8782B63}" name="Column8506"/>
    <tableColumn id="8512" xr3:uid="{96F6B987-F543-4179-9FF2-B1D2846A63AF}" name="Column8507"/>
    <tableColumn id="8513" xr3:uid="{BC32E1DA-725C-4E79-8EE4-FCDB5A81D51C}" name="Column8508"/>
    <tableColumn id="8514" xr3:uid="{5DADDD6D-3FA2-4578-A3FE-5033DD7743EA}" name="Column8509"/>
    <tableColumn id="8515" xr3:uid="{D01F0D5A-821A-49C4-B15F-044AEC6DAAAC}" name="Column8510"/>
    <tableColumn id="8516" xr3:uid="{DA48F44B-E6FB-440F-80B3-AC1A6F0BA30C}" name="Column8511"/>
    <tableColumn id="8517" xr3:uid="{BC5E2831-730E-4067-8160-CC2C1221DCFC}" name="Column8512"/>
    <tableColumn id="8518" xr3:uid="{37185087-21D8-496D-8270-3549F83FFA07}" name="Column8513"/>
    <tableColumn id="8519" xr3:uid="{4CE5C0CA-BB6A-43AC-8CE2-7E756B32A861}" name="Column8514"/>
    <tableColumn id="8520" xr3:uid="{FFE95F0C-2D16-4E03-8970-D096D81F583F}" name="Column8515"/>
    <tableColumn id="8521" xr3:uid="{FEAE93AC-D896-4EFC-B4FC-6CC89463B09C}" name="Column8516"/>
    <tableColumn id="8522" xr3:uid="{0C1CFD2C-16C8-4638-A400-401B12DDF0A2}" name="Column8517"/>
    <tableColumn id="8523" xr3:uid="{69CCF138-BF54-4E49-A372-5474079DAED6}" name="Column8518"/>
    <tableColumn id="8524" xr3:uid="{E364D103-4144-49E1-9E1E-AC98EB63C48C}" name="Column8519"/>
    <tableColumn id="8525" xr3:uid="{782FA128-1A21-4C69-8895-9BF6986B2A4B}" name="Column8520"/>
    <tableColumn id="8526" xr3:uid="{952B460D-2995-466E-ADEE-C8095C0C62ED}" name="Column8521"/>
    <tableColumn id="8527" xr3:uid="{B27F231C-98D1-4A21-892C-BA455ABC7A9E}" name="Column8522"/>
    <tableColumn id="8528" xr3:uid="{6A0AFAC2-5F24-4707-9E40-095094C9297D}" name="Column8523"/>
    <tableColumn id="8529" xr3:uid="{AF26371F-E96D-4E06-AD56-A2109F98CDCB}" name="Column8524"/>
    <tableColumn id="8530" xr3:uid="{1738ADFF-C242-4167-AAE6-058A338A6D42}" name="Column8525"/>
    <tableColumn id="8531" xr3:uid="{E7CF68ED-C14F-4FE1-8CCB-0EC36533E791}" name="Column8526"/>
    <tableColumn id="8532" xr3:uid="{751D549F-5A0D-4307-92BA-CB10B99D142B}" name="Column8527"/>
    <tableColumn id="8533" xr3:uid="{A57FA415-1475-4559-9573-4A6BD8C349FE}" name="Column8528"/>
    <tableColumn id="8534" xr3:uid="{8C221380-A52C-492B-9284-825C3F5F55E4}" name="Column8529"/>
    <tableColumn id="8535" xr3:uid="{69950801-92A2-4594-ADA1-ADCE540FD80A}" name="Column8530"/>
    <tableColumn id="8536" xr3:uid="{73E837FA-51B4-45E5-A018-695FC1FA3C52}" name="Column8531"/>
    <tableColumn id="8537" xr3:uid="{41D76A32-6CBA-419E-94C9-2E69F83246C1}" name="Column8532"/>
    <tableColumn id="8538" xr3:uid="{B6A85422-75C8-4659-AA04-52B53E7A5193}" name="Column8533"/>
    <tableColumn id="8539" xr3:uid="{6990D993-AD10-4B55-8822-555874E0B008}" name="Column8534"/>
    <tableColumn id="8540" xr3:uid="{0BA7AD50-7F43-4C98-A032-8A2629EB2B70}" name="Column8535"/>
    <tableColumn id="8541" xr3:uid="{D252828C-2AB0-40F9-802D-55649FB4C768}" name="Column8536"/>
    <tableColumn id="8542" xr3:uid="{32EB8DF4-59E6-485F-B8CC-681D6F7BEFFB}" name="Column8537"/>
    <tableColumn id="8543" xr3:uid="{29ED2177-0EB4-4C58-9492-961EC0A2EAB7}" name="Column8538"/>
    <tableColumn id="8544" xr3:uid="{C74B1EB1-CE3F-4D0D-8FF3-86627CFF0116}" name="Column8539"/>
    <tableColumn id="8545" xr3:uid="{3BEC92F2-EB24-4FE2-9D21-D000DF464D84}" name="Column8540"/>
    <tableColumn id="8546" xr3:uid="{63981973-D22E-4FDC-8C6D-BA078CCCDBA9}" name="Column8541"/>
    <tableColumn id="8547" xr3:uid="{85896D47-7C44-48CB-B824-746A6E171511}" name="Column8542"/>
    <tableColumn id="8548" xr3:uid="{60BB0F93-C2A9-4C28-B5ED-0AF5C7BA1505}" name="Column8543"/>
    <tableColumn id="8549" xr3:uid="{60CB8121-86BD-47D8-9858-31856216C476}" name="Column8544"/>
    <tableColumn id="8550" xr3:uid="{CFFE9E57-0C9A-490E-832E-74069C4633C3}" name="Column8545"/>
    <tableColumn id="8551" xr3:uid="{E164BCA8-BD96-4156-880C-0B8496E3835B}" name="Column8546"/>
    <tableColumn id="8552" xr3:uid="{AD98C872-BA65-4E02-A785-B119183AFA56}" name="Column8547"/>
    <tableColumn id="8553" xr3:uid="{A52311CA-9C0C-4AC1-BDF7-C7DD17EEA4CE}" name="Column8548"/>
    <tableColumn id="8554" xr3:uid="{ECF6F473-5595-47ED-A819-1D26321DE500}" name="Column8549"/>
    <tableColumn id="8555" xr3:uid="{EF00FD18-8EBA-4620-BE21-FECB27ACB6C0}" name="Column8550"/>
    <tableColumn id="8556" xr3:uid="{87C6B1B0-D88C-4D06-809F-FCF315C00E9B}" name="Column8551"/>
    <tableColumn id="8557" xr3:uid="{B094F282-8271-4629-BC18-AC21A9732DDE}" name="Column8552"/>
    <tableColumn id="8558" xr3:uid="{5DF78967-B0EC-4DF7-9AA4-8022530FD9A3}" name="Column8553"/>
    <tableColumn id="8559" xr3:uid="{E8CB6059-DDD2-413E-8251-44E5301B9203}" name="Column8554"/>
    <tableColumn id="8560" xr3:uid="{741635C0-CA7D-4BFF-B123-C8C2D35F366E}" name="Column8555"/>
    <tableColumn id="8561" xr3:uid="{1E870A3B-1AA9-4587-BC9F-6EE18759062B}" name="Column8556"/>
    <tableColumn id="8562" xr3:uid="{0A768B81-19BD-4E9A-B8F3-E1BD63A5D52A}" name="Column8557"/>
    <tableColumn id="8563" xr3:uid="{D0DF6324-EF6E-4C64-8CBC-A77C359771C0}" name="Column8558"/>
    <tableColumn id="8564" xr3:uid="{5C10B4A8-95AA-43A4-867D-6EB8F427AD4C}" name="Column8559"/>
    <tableColumn id="8565" xr3:uid="{E41E7642-C18F-42D2-8281-170F270E042F}" name="Column8560"/>
    <tableColumn id="8566" xr3:uid="{A9A4EA58-6414-4294-9FD3-48A13CF8554E}" name="Column8561"/>
    <tableColumn id="8567" xr3:uid="{4F5656D5-F4A2-4180-ACAB-0884931092C2}" name="Column8562"/>
    <tableColumn id="8568" xr3:uid="{1DCEE2B4-D5E3-4266-BC3C-64B381CA00AC}" name="Column8563"/>
    <tableColumn id="8569" xr3:uid="{C228A771-DBBF-4F37-8831-7167AAAD90E3}" name="Column8564"/>
    <tableColumn id="8570" xr3:uid="{835DB9C6-6B9F-4E5E-9B9F-BFE46557C392}" name="Column8565"/>
    <tableColumn id="8571" xr3:uid="{CCDC8256-9457-496E-8AFB-C5E48BD96825}" name="Column8566"/>
    <tableColumn id="8572" xr3:uid="{28739B18-A976-4457-8BBD-1BE02DAF12F1}" name="Column8567"/>
    <tableColumn id="8573" xr3:uid="{85F3AAFA-6733-4888-9ECA-667F2F3C76AB}" name="Column8568"/>
    <tableColumn id="8574" xr3:uid="{3F9D2F6E-6FE7-4C40-A172-B4A2EAC0EEA3}" name="Column8569"/>
    <tableColumn id="8575" xr3:uid="{E2BCA03E-777F-4240-993F-02FCCE749C8C}" name="Column8570"/>
    <tableColumn id="8576" xr3:uid="{962743CD-8923-4B81-8E94-52D981C4E2E8}" name="Column8571"/>
    <tableColumn id="8577" xr3:uid="{B57C18BD-E4F8-4F10-AE94-04B7EC35C1D7}" name="Column8572"/>
    <tableColumn id="8578" xr3:uid="{83A6089C-FE2A-4CEF-ACC1-EB107B9A86E4}" name="Column8573"/>
    <tableColumn id="8579" xr3:uid="{B37212FF-818F-4857-A7B1-15A7EED587AD}" name="Column8574"/>
    <tableColumn id="8580" xr3:uid="{8CB2B383-D11F-4981-959B-EC7824B7EF55}" name="Column8575"/>
    <tableColumn id="8581" xr3:uid="{CE869318-B4DB-4D2B-8E48-442AC4C60289}" name="Column8576"/>
    <tableColumn id="8582" xr3:uid="{B82E784C-4C4F-43E9-AAF3-B010C740039A}" name="Column8577"/>
    <tableColumn id="8583" xr3:uid="{871827A7-405E-4317-9AB6-07DB4BA56BFF}" name="Column8578"/>
    <tableColumn id="8584" xr3:uid="{009B7E40-A10F-48E4-A898-9B9A3A3EFFC9}" name="Column8579"/>
    <tableColumn id="8585" xr3:uid="{B806E03A-5AA8-4105-B806-A712AAB07A76}" name="Column8580"/>
    <tableColumn id="8586" xr3:uid="{35DC1BEF-5EB4-4B1E-BB33-E143AABF128D}" name="Column8581"/>
    <tableColumn id="8587" xr3:uid="{F066F57A-897B-4D07-8991-FD1A26A31B6B}" name="Column8582"/>
    <tableColumn id="8588" xr3:uid="{567BD020-9BA0-4D1C-A361-9629B50D1DEF}" name="Column8583"/>
    <tableColumn id="8589" xr3:uid="{3A7E55AE-6014-4325-B50E-EEC60C5C28C2}" name="Column8584"/>
    <tableColumn id="8590" xr3:uid="{59EF57B1-D08C-496E-A66E-6C65F1D00817}" name="Column8585"/>
    <tableColumn id="8591" xr3:uid="{A63F98F3-F9A5-484F-A9E0-D3A68034D563}" name="Column8586"/>
    <tableColumn id="8592" xr3:uid="{B2456695-6CBA-4243-B4DD-9246DC7ED631}" name="Column8587"/>
    <tableColumn id="8593" xr3:uid="{15186CA8-787A-409D-8AE4-53F8190ACE3F}" name="Column8588"/>
    <tableColumn id="8594" xr3:uid="{4FD05BBB-FABC-4F04-A173-6142CC515C4D}" name="Column8589"/>
    <tableColumn id="8595" xr3:uid="{92CC575C-D73E-48D6-9094-B9C15FDEF48F}" name="Column8590"/>
    <tableColumn id="8596" xr3:uid="{EB1E3AE6-2AF5-466D-AA83-57E9C8BBCC54}" name="Column8591"/>
    <tableColumn id="8597" xr3:uid="{8510F2BC-67FD-49EC-8342-83A048784B3B}" name="Column8592"/>
    <tableColumn id="8598" xr3:uid="{C24D6403-4266-4F46-B813-F46C15590923}" name="Column8593"/>
    <tableColumn id="8599" xr3:uid="{971232D4-27F1-4081-A85F-E8E0A4E9AF73}" name="Column8594"/>
    <tableColumn id="8600" xr3:uid="{F47CEF2A-53C8-44CF-A3AD-F82D5EC6E3E2}" name="Column8595"/>
    <tableColumn id="8601" xr3:uid="{50823AE6-1A25-4270-ADEB-645E19F05872}" name="Column8596"/>
    <tableColumn id="8602" xr3:uid="{A8B0456A-0FC5-4E0E-834F-7BA526C3BCC2}" name="Column8597"/>
    <tableColumn id="8603" xr3:uid="{4B8B1A23-F20C-4E8E-B9AB-11DE35000780}" name="Column8598"/>
    <tableColumn id="8604" xr3:uid="{2374094B-928B-46FF-87EE-479095F635F7}" name="Column8599"/>
    <tableColumn id="8605" xr3:uid="{2F342506-554B-4B92-84B2-E166E32A2A22}" name="Column8600"/>
    <tableColumn id="8606" xr3:uid="{AF0FDE8D-794A-46B2-A305-3D289C90473A}" name="Column8601"/>
    <tableColumn id="8607" xr3:uid="{94F4AAF1-8AF3-43C8-ACCE-FF6E77E38C28}" name="Column8602"/>
    <tableColumn id="8608" xr3:uid="{BB9A7D63-DF54-4AE3-BE3A-42AE2F678542}" name="Column8603"/>
    <tableColumn id="8609" xr3:uid="{AC7551F1-8D1F-4AA4-81DF-926556EEEA7A}" name="Column8604"/>
    <tableColumn id="8610" xr3:uid="{5D3ECE12-26FF-4C5B-ADAA-30844933A969}" name="Column8605"/>
    <tableColumn id="8611" xr3:uid="{3BB82945-5DA0-437F-BEC4-39D98D859AD9}" name="Column8606"/>
    <tableColumn id="8612" xr3:uid="{050AF16E-95E6-458A-B252-5027F95AA5FB}" name="Column8607"/>
    <tableColumn id="8613" xr3:uid="{DC08C61A-C340-4B43-9221-314119CF99B2}" name="Column8608"/>
    <tableColumn id="8614" xr3:uid="{5068B454-8E86-4658-837E-F212172CD0D5}" name="Column8609"/>
    <tableColumn id="8615" xr3:uid="{5777FDA6-8680-4C70-8BDD-272857B73B89}" name="Column8610"/>
    <tableColumn id="8616" xr3:uid="{8F7E03B2-4A80-4529-90D1-05D71B142AAE}" name="Column8611"/>
    <tableColumn id="8617" xr3:uid="{1D47F87C-99E0-49AC-8E0C-23FA49212001}" name="Column8612"/>
    <tableColumn id="8618" xr3:uid="{6CF1A06B-0800-48CD-B079-73CBB843E489}" name="Column8613"/>
    <tableColumn id="8619" xr3:uid="{549188FD-77A2-4E3C-9577-1D525EBEA2B9}" name="Column8614"/>
    <tableColumn id="8620" xr3:uid="{D5F714A4-1A6D-47AA-8B10-08FB0E5404E7}" name="Column8615"/>
    <tableColumn id="8621" xr3:uid="{78398F16-8B4B-426A-9683-D23736C53DD5}" name="Column8616"/>
    <tableColumn id="8622" xr3:uid="{D7F50B97-3CB8-4CC3-99EE-71AD97D81A90}" name="Column8617"/>
    <tableColumn id="8623" xr3:uid="{C8D57501-022E-42A8-9509-51EFE8DE24CC}" name="Column8618"/>
    <tableColumn id="8624" xr3:uid="{FB63A407-0C5E-4806-AC8F-9D6388F330A1}" name="Column8619"/>
    <tableColumn id="8625" xr3:uid="{2B2C3F4B-00BB-4D53-B01C-C101A7F59AB3}" name="Column8620"/>
    <tableColumn id="8626" xr3:uid="{AE64D0BD-E333-4486-9BD7-08805DEBAE4A}" name="Column8621"/>
    <tableColumn id="8627" xr3:uid="{FDE63F14-60D1-484A-A758-BF9C47E1A784}" name="Column8622"/>
    <tableColumn id="8628" xr3:uid="{5CFD851A-F296-4455-A119-C2893126920D}" name="Column8623"/>
    <tableColumn id="8629" xr3:uid="{F776F869-30F6-4A91-994E-EAD371A2D442}" name="Column8624"/>
    <tableColumn id="8630" xr3:uid="{36B5AC60-D6DF-4ED6-B91D-8635AEBB8778}" name="Column8625"/>
    <tableColumn id="8631" xr3:uid="{3C33E6D8-C081-45A8-9CA4-49E748857660}" name="Column8626"/>
    <tableColumn id="8632" xr3:uid="{61D53804-E108-4B34-8DC9-4362F4C736CD}" name="Column8627"/>
    <tableColumn id="8633" xr3:uid="{2A9B04B8-6D52-479F-8776-98AAD3C9E1DA}" name="Column8628"/>
    <tableColumn id="8634" xr3:uid="{B3D45757-38D6-41C2-9BB4-B16987D40B43}" name="Column8629"/>
    <tableColumn id="8635" xr3:uid="{164DDF2D-0207-4898-B5AA-1D0740AFF93C}" name="Column8630"/>
    <tableColumn id="8636" xr3:uid="{81D9D91B-7726-40E8-B842-A09052AA05DB}" name="Column8631"/>
    <tableColumn id="8637" xr3:uid="{7A4C05FA-80A3-41C0-A5BC-805A5E8B83C4}" name="Column8632"/>
    <tableColumn id="8638" xr3:uid="{DCDF03E5-39F4-42C7-BEF8-70AA2CAB69B6}" name="Column8633"/>
    <tableColumn id="8639" xr3:uid="{C728088F-A085-45B7-A885-56E864054702}" name="Column8634"/>
    <tableColumn id="8640" xr3:uid="{D31E1165-592C-4C0C-AE2C-439825EB3921}" name="Column8635"/>
    <tableColumn id="8641" xr3:uid="{3E9ED2A1-8F9E-469B-98DF-EA6E7AD33F85}" name="Column8636"/>
    <tableColumn id="8642" xr3:uid="{553E5D4D-9C16-4A82-8734-4AAA31610C4E}" name="Column8637"/>
    <tableColumn id="8643" xr3:uid="{F0BF0AB1-9CDC-4A6E-A943-5816B15D6176}" name="Column8638"/>
    <tableColumn id="8644" xr3:uid="{945A3DA1-BEBF-4B74-A309-58F0A6714AEB}" name="Column8639"/>
    <tableColumn id="8645" xr3:uid="{09A14B2C-DCC6-439C-A4B9-EA3C2F9EABA4}" name="Column8640"/>
    <tableColumn id="8646" xr3:uid="{F9388F8B-B0F4-4332-B794-BFC198993AA1}" name="Column8641"/>
    <tableColumn id="8647" xr3:uid="{690D2B3D-3990-4CBC-8A6C-CA06EADE6984}" name="Column8642"/>
    <tableColumn id="8648" xr3:uid="{8E9F67AC-30F8-41CA-849A-5F5EFFE3AA98}" name="Column8643"/>
    <tableColumn id="8649" xr3:uid="{5E85E52B-40CA-41C9-B7E7-1F190DD8A26C}" name="Column8644"/>
    <tableColumn id="8650" xr3:uid="{AAC32116-83C9-4BC7-B95C-CB07A945E981}" name="Column8645"/>
    <tableColumn id="8651" xr3:uid="{C6601547-D733-4F0A-85E7-9A7D1A0BB1BA}" name="Column8646"/>
    <tableColumn id="8652" xr3:uid="{629AEE97-8D6B-46E4-A11B-4929638D5A90}" name="Column8647"/>
    <tableColumn id="8653" xr3:uid="{205EDBF9-4116-460C-A3E1-7C0037707617}" name="Column8648"/>
    <tableColumn id="8654" xr3:uid="{0676FE6B-6D5F-443B-BF17-73DF5B2B6224}" name="Column8649"/>
    <tableColumn id="8655" xr3:uid="{A2FC676A-5665-447A-ADB6-1D6987FD19C2}" name="Column8650"/>
    <tableColumn id="8656" xr3:uid="{0ED067AF-8ED2-4359-84FD-DDD4037125C5}" name="Column8651"/>
    <tableColumn id="8657" xr3:uid="{47561A1B-1078-46CD-A345-44BEC6C0537B}" name="Column8652"/>
    <tableColumn id="8658" xr3:uid="{1DAA3114-E962-4913-8938-27C7C889E3EF}" name="Column8653"/>
    <tableColumn id="8659" xr3:uid="{7244E50C-0044-47AA-9FFE-F03701BCB2C1}" name="Column8654"/>
    <tableColumn id="8660" xr3:uid="{F7BB7A6F-2733-492C-B6B8-2D42AB5EF67D}" name="Column8655"/>
    <tableColumn id="8661" xr3:uid="{1BA4B3A3-2C4B-48A6-BCF3-07F0C6E33DE3}" name="Column8656"/>
    <tableColumn id="8662" xr3:uid="{236634A4-52AA-4130-8919-6A03EB506CD1}" name="Column8657"/>
    <tableColumn id="8663" xr3:uid="{974BFCE6-9FA3-4FD0-8590-BDC33A7155C8}" name="Column8658"/>
    <tableColumn id="8664" xr3:uid="{EA4606A3-5021-4B1F-9DCC-084A2A2FC280}" name="Column8659"/>
    <tableColumn id="8665" xr3:uid="{E36E46E0-BD94-4E58-B562-A923B56D6763}" name="Column8660"/>
    <tableColumn id="8666" xr3:uid="{9C620834-4836-49EE-9784-0C5EC9D44C5F}" name="Column8661"/>
    <tableColumn id="8667" xr3:uid="{3C8027BF-14B1-4D3D-8A7D-6BE99293A3D5}" name="Column8662"/>
    <tableColumn id="8668" xr3:uid="{7A0F4583-686E-49FC-9646-892FF3858FAA}" name="Column8663"/>
    <tableColumn id="8669" xr3:uid="{1BD97D4E-6D7C-4468-92CC-4CF496F7FA5A}" name="Column8664"/>
    <tableColumn id="8670" xr3:uid="{D41F9076-CB6C-44C2-A956-16A393BE5A1C}" name="Column8665"/>
    <tableColumn id="8671" xr3:uid="{48C96FB9-09C3-4543-AA56-0D9BEECA7BDE}" name="Column8666"/>
    <tableColumn id="8672" xr3:uid="{74797216-35C8-477B-B37B-04F991EF4CDD}" name="Column8667"/>
    <tableColumn id="8673" xr3:uid="{93FCCF92-5B4B-4E51-BF00-53FCEBE61D0A}" name="Column8668"/>
    <tableColumn id="8674" xr3:uid="{C37D5894-E795-4057-9F42-EF59790395A4}" name="Column8669"/>
    <tableColumn id="8675" xr3:uid="{30C0E1C6-1E3E-48BD-8AC6-3B4DDCC67903}" name="Column8670"/>
    <tableColumn id="8676" xr3:uid="{E932C3C0-9EC5-4216-9BE6-7BC78A7F44A7}" name="Column8671"/>
    <tableColumn id="8677" xr3:uid="{8B79EE2E-5ABC-4BA2-BE55-4E002A409685}" name="Column8672"/>
    <tableColumn id="8678" xr3:uid="{C45F78F5-170F-4606-A4B8-D068F1AF0019}" name="Column8673"/>
    <tableColumn id="8679" xr3:uid="{85D87D31-B200-41AD-8F01-806F26140469}" name="Column8674"/>
    <tableColumn id="8680" xr3:uid="{D7CF0000-D4F2-47B8-B1E2-8996F684ECF6}" name="Column8675"/>
    <tableColumn id="8681" xr3:uid="{DEE33CF2-D660-470C-A637-C53CBA4E3F59}" name="Column8676"/>
    <tableColumn id="8682" xr3:uid="{B72D1B8F-B27B-4604-A326-A04A5341772D}" name="Column8677"/>
    <tableColumn id="8683" xr3:uid="{029A4757-5352-4FAA-8771-2CF38BB33CAE}" name="Column8678"/>
    <tableColumn id="8684" xr3:uid="{0E286CCC-06E5-422E-BE5B-DF67E08036B3}" name="Column8679"/>
    <tableColumn id="8685" xr3:uid="{CA3C7E54-AB81-4775-A5E0-93A86613EA21}" name="Column8680"/>
    <tableColumn id="8686" xr3:uid="{4EED6F90-B710-4426-9062-4D7AF89856F5}" name="Column8681"/>
    <tableColumn id="8687" xr3:uid="{535AFE42-B979-46F4-A7EB-D2D2907748CD}" name="Column8682"/>
    <tableColumn id="8688" xr3:uid="{0E6A55C8-BBF9-4610-9EFC-8FEE7F8C04F7}" name="Column8683"/>
    <tableColumn id="8689" xr3:uid="{CFAA9C8A-31BE-4BD0-B4B1-398BA9E50FF5}" name="Column8684"/>
    <tableColumn id="8690" xr3:uid="{C659E14B-CE35-4002-B73A-14655EDFA82E}" name="Column8685"/>
    <tableColumn id="8691" xr3:uid="{9248FD3B-D5F8-4657-A36F-842B529F45EE}" name="Column8686"/>
    <tableColumn id="8692" xr3:uid="{75A4339C-8973-4007-AF00-58ACA3FDFB12}" name="Column8687"/>
    <tableColumn id="8693" xr3:uid="{7B14461A-F8F7-4DD9-BB0E-0983E11C7678}" name="Column8688"/>
    <tableColumn id="8694" xr3:uid="{94FB1E13-6E7A-48BE-BCDD-3A95D4960799}" name="Column8689"/>
    <tableColumn id="8695" xr3:uid="{D2B76820-D642-48CE-B714-58BC03AB52F7}" name="Column8690"/>
    <tableColumn id="8696" xr3:uid="{3E846DAA-93AE-47CE-98EB-783A9478CFA5}" name="Column8691"/>
    <tableColumn id="8697" xr3:uid="{1CDE59C8-CDDA-4FCA-B9D0-20239D6BABD1}" name="Column8692"/>
    <tableColumn id="8698" xr3:uid="{25BD0FA6-57CC-47C4-AEE9-5244A6FC6E26}" name="Column8693"/>
    <tableColumn id="8699" xr3:uid="{0A347CD6-8681-4B33-BC3F-88FC838547FB}" name="Column8694"/>
    <tableColumn id="8700" xr3:uid="{D2276287-6FFE-4AB0-8FC2-6162F035BAB3}" name="Column8695"/>
    <tableColumn id="8701" xr3:uid="{24117B0E-3DFA-4670-AA27-9CED248B52FE}" name="Column8696"/>
    <tableColumn id="8702" xr3:uid="{12C90FF9-D003-489F-85A0-FC79FAC627BB}" name="Column8697"/>
    <tableColumn id="8703" xr3:uid="{C93E82AE-BC8B-466E-B831-AC2F81B3A0BF}" name="Column8698"/>
    <tableColumn id="8704" xr3:uid="{C7336D24-74E8-423D-97F9-8E27EE0CB007}" name="Column8699"/>
    <tableColumn id="8705" xr3:uid="{DA465D6E-1559-48AB-8B46-B5BD30C624E0}" name="Column8700"/>
    <tableColumn id="8706" xr3:uid="{1AC4DC43-67FA-4C86-8A48-AF4C85715BE6}" name="Column8701"/>
    <tableColumn id="8707" xr3:uid="{18D00AA5-2849-4053-84BE-3192B2AB1513}" name="Column8702"/>
    <tableColumn id="8708" xr3:uid="{22F82BE4-D358-48BE-AC14-C35B8F72B2F5}" name="Column8703"/>
    <tableColumn id="8709" xr3:uid="{AC0D3B03-AD7C-4E20-8C61-E190E045F7EE}" name="Column8704"/>
    <tableColumn id="8710" xr3:uid="{CC2BCD0C-34AD-479F-BB31-8C75E22BBAD6}" name="Column8705"/>
    <tableColumn id="8711" xr3:uid="{2E59DCE2-427A-41C8-8751-CE664E3F850E}" name="Column8706"/>
    <tableColumn id="8712" xr3:uid="{88249887-F9E8-41D0-A6CE-DAA434ED5B3F}" name="Column8707"/>
    <tableColumn id="8713" xr3:uid="{FB618563-A6B0-4A4A-8483-0198535DB92B}" name="Column8708"/>
    <tableColumn id="8714" xr3:uid="{81F31610-65F0-4F6D-BA68-8AA9A4024A57}" name="Column8709"/>
    <tableColumn id="8715" xr3:uid="{5B219DB0-A8CA-4ED4-B1ED-A0018F06C394}" name="Column8710"/>
    <tableColumn id="8716" xr3:uid="{D5368E6B-3DE2-4869-A691-B64DB4BBA3AE}" name="Column8711"/>
    <tableColumn id="8717" xr3:uid="{4CA7633D-B48A-4906-925E-50D36482993C}" name="Column8712"/>
    <tableColumn id="8718" xr3:uid="{CCFAEB9C-79BB-4826-A22F-C93DBE11455E}" name="Column8713"/>
    <tableColumn id="8719" xr3:uid="{10F8D159-AF72-428F-ADA1-44996429F1E0}" name="Column8714"/>
    <tableColumn id="8720" xr3:uid="{6C603011-2936-49DC-B81D-A9B462123F6C}" name="Column8715"/>
    <tableColumn id="8721" xr3:uid="{908E89C4-3C5F-4754-84D5-44EA2A57A687}" name="Column8716"/>
    <tableColumn id="8722" xr3:uid="{F6E87EBB-2234-449A-89E6-E01183973EB4}" name="Column8717"/>
    <tableColumn id="8723" xr3:uid="{A5E44D49-9794-4943-8F00-61F0EE9DEF3A}" name="Column8718"/>
    <tableColumn id="8724" xr3:uid="{457C4AD4-4158-45E4-8978-7FEBAB66EB37}" name="Column8719"/>
    <tableColumn id="8725" xr3:uid="{B2CBA51B-6308-434D-8133-3DA2B580C809}" name="Column8720"/>
    <tableColumn id="8726" xr3:uid="{038F6864-CE42-4A22-AFEA-22ED7F41CE2E}" name="Column8721"/>
    <tableColumn id="8727" xr3:uid="{42DDE5B8-C298-43B6-870E-32C9615988B3}" name="Column8722"/>
    <tableColumn id="8728" xr3:uid="{105474C4-5555-40C9-B30A-490B54D799B6}" name="Column8723"/>
    <tableColumn id="8729" xr3:uid="{4CD0A67B-CDEC-47D9-A1F9-05534E4BDEC9}" name="Column8724"/>
    <tableColumn id="8730" xr3:uid="{11C7903B-1FFC-4D71-8422-B24F54FDBF1D}" name="Column8725"/>
    <tableColumn id="8731" xr3:uid="{6D10B270-D4D0-4A45-95AC-27473CCFD742}" name="Column8726"/>
    <tableColumn id="8732" xr3:uid="{572E5209-5BB7-4294-8E7F-5DCA4C694183}" name="Column8727"/>
    <tableColumn id="8733" xr3:uid="{3666621E-08CC-4967-89FC-C4F41ECD72BB}" name="Column8728"/>
    <tableColumn id="8734" xr3:uid="{07DF000A-F9ED-4D89-BCAF-896D8C739D3E}" name="Column8729"/>
    <tableColumn id="8735" xr3:uid="{609BC600-5DE3-40D6-ADE6-A667E3AAEE07}" name="Column8730"/>
    <tableColumn id="8736" xr3:uid="{EE8BBC77-8733-43FE-8E7E-91836DCB869F}" name="Column8731"/>
    <tableColumn id="8737" xr3:uid="{4DC76D61-6D14-4589-A119-D0F0572A1238}" name="Column8732"/>
    <tableColumn id="8738" xr3:uid="{C195463E-0E2C-4F42-A23E-AE6C9ECA1CA6}" name="Column8733"/>
    <tableColumn id="8739" xr3:uid="{29DD6123-0976-4991-B9B6-A3137A18D881}" name="Column8734"/>
    <tableColumn id="8740" xr3:uid="{1AA1A737-78A2-41B6-A393-9869889F2949}" name="Column8735"/>
    <tableColumn id="8741" xr3:uid="{E77ACDCA-1E2C-4BE9-B3FC-E59E2861626D}" name="Column8736"/>
    <tableColumn id="8742" xr3:uid="{46477D98-656C-4269-8AB5-609231DC6481}" name="Column8737"/>
    <tableColumn id="8743" xr3:uid="{724339EB-F875-45AD-BA26-B215DD22DDCD}" name="Column8738"/>
    <tableColumn id="8744" xr3:uid="{3536B5A5-C03C-420B-A44E-EFE3B794E8DE}" name="Column8739"/>
    <tableColumn id="8745" xr3:uid="{1A946204-6FB3-4ECC-BA80-FDBDFB919548}" name="Column8740"/>
    <tableColumn id="8746" xr3:uid="{BA5D6324-D8A6-411E-9C7F-CD1CF07A6B83}" name="Column8741"/>
    <tableColumn id="8747" xr3:uid="{4EBB9D7B-34B1-410E-B26D-AB93C55A3405}" name="Column8742"/>
    <tableColumn id="8748" xr3:uid="{E2AE5DCE-6774-40BD-95CD-AA2A318854EB}" name="Column8743"/>
    <tableColumn id="8749" xr3:uid="{2EA5F038-3B3C-4F78-B6FB-D1ECC42475A6}" name="Column8744"/>
    <tableColumn id="8750" xr3:uid="{E2E7E28B-59D4-48AB-9C6C-A60BEE938B05}" name="Column8745"/>
    <tableColumn id="8751" xr3:uid="{754DD9A3-A118-46C6-BA79-8E787E846C06}" name="Column8746"/>
    <tableColumn id="8752" xr3:uid="{50B50F11-0459-4642-B579-CACC5EC5CBCC}" name="Column8747"/>
    <tableColumn id="8753" xr3:uid="{1A2D2596-61A8-4EA6-A082-187440986E9E}" name="Column8748"/>
    <tableColumn id="8754" xr3:uid="{CB5C638E-DD0D-425B-BB0C-1700E9116C5A}" name="Column8749"/>
    <tableColumn id="8755" xr3:uid="{FECF81E9-3D30-4ADB-A8BD-908F38F4E70F}" name="Column8750"/>
    <tableColumn id="8756" xr3:uid="{096077B8-6383-4D9D-B153-83B036512E59}" name="Column8751"/>
    <tableColumn id="8757" xr3:uid="{9F55DC8E-63A3-432D-8E87-40D570AEE0E9}" name="Column8752"/>
    <tableColumn id="8758" xr3:uid="{AACBCE0B-0BEC-4EDF-AF5D-19DA539B8CC8}" name="Column8753"/>
    <tableColumn id="8759" xr3:uid="{B5B0CB22-C321-4222-A000-3B19D6452362}" name="Column8754"/>
    <tableColumn id="8760" xr3:uid="{8032233C-FA26-426E-A81E-2A5CFD49F988}" name="Column8755"/>
    <tableColumn id="8761" xr3:uid="{3945D546-9893-4DF9-A447-1163783953FC}" name="Column8756"/>
    <tableColumn id="8762" xr3:uid="{DDFDD543-FD17-4047-8462-A9FBE8BA3A0A}" name="Column8757"/>
    <tableColumn id="8763" xr3:uid="{15580B9E-B2FD-4119-A03A-8F975D17051C}" name="Column8758"/>
    <tableColumn id="8764" xr3:uid="{2C572EC5-7F44-4DD7-B901-4C60170C3373}" name="Column8759"/>
    <tableColumn id="8765" xr3:uid="{3F20B0C9-52CC-431C-A217-5919BA4B20ED}" name="Column8760"/>
    <tableColumn id="8766" xr3:uid="{BD67AE20-801E-492E-8FB1-EF0BF7E26478}" name="Column8761"/>
    <tableColumn id="8767" xr3:uid="{B7912CA6-06BE-4E42-8C9E-D76E63FD4628}" name="Column8762"/>
    <tableColumn id="8768" xr3:uid="{11082F39-726C-4B7D-9332-1884B396021A}" name="Column8763"/>
    <tableColumn id="8769" xr3:uid="{7C0EF96F-7B7E-4729-B299-464D83AE7C56}" name="Column8764"/>
    <tableColumn id="8770" xr3:uid="{C5F4ED11-2B88-413A-90C1-0ED12C6D9A9E}" name="Column8765"/>
    <tableColumn id="8771" xr3:uid="{B322348D-2C08-4D9D-B970-1635C84848C5}" name="Column8766"/>
    <tableColumn id="8772" xr3:uid="{E7318B86-1914-4DB6-BF22-E213C3B8C91F}" name="Column8767"/>
    <tableColumn id="8773" xr3:uid="{C31EBD47-9C52-4D53-907C-F619F3724B68}" name="Column8768"/>
    <tableColumn id="8774" xr3:uid="{383F0837-AEB7-4D5E-BE2A-E4217495F9C9}" name="Column8769"/>
    <tableColumn id="8775" xr3:uid="{F21A5475-286D-48FD-AB9D-B1A226804164}" name="Column8770"/>
    <tableColumn id="8776" xr3:uid="{3475E939-3D3F-4F8B-80B0-B6AAFB642B4C}" name="Column8771"/>
    <tableColumn id="8777" xr3:uid="{A505118B-B0AA-49B2-B70E-9BEB11508D14}" name="Column8772"/>
    <tableColumn id="8778" xr3:uid="{6D2090F4-EC2D-4AEE-BD64-7B0E33189022}" name="Column8773"/>
    <tableColumn id="8779" xr3:uid="{121A06E2-353A-4605-A0E0-B0D38F8AE1F3}" name="Column8774"/>
    <tableColumn id="8780" xr3:uid="{8F2C9A17-5B45-4425-8A73-65C56C6C6123}" name="Column8775"/>
    <tableColumn id="8781" xr3:uid="{8A117532-5BD9-40C3-9A21-3259E5A2E806}" name="Column8776"/>
    <tableColumn id="8782" xr3:uid="{57841443-139A-4E6E-AC89-AF24ACCE75C7}" name="Column8777"/>
    <tableColumn id="8783" xr3:uid="{578EB7F3-B28B-484A-AA0C-DCEFD962E2E0}" name="Column8778"/>
    <tableColumn id="8784" xr3:uid="{0DB37378-F99B-4CAB-A770-51D4C8E871D2}" name="Column8779"/>
    <tableColumn id="8785" xr3:uid="{3A6E47B9-ECB4-4A2F-BF49-FB097A85413F}" name="Column8780"/>
    <tableColumn id="8786" xr3:uid="{6D9B56BB-4495-4BA7-9F07-7F1765BF2CC7}" name="Column8781"/>
    <tableColumn id="8787" xr3:uid="{6EC9AA2E-396F-466D-B4DF-68489C80C171}" name="Column8782"/>
    <tableColumn id="8788" xr3:uid="{5B535217-B55E-45E1-8F11-485DDF0EE501}" name="Column8783"/>
    <tableColumn id="8789" xr3:uid="{7AB0E0D9-325D-4183-84DC-344F8B7995B8}" name="Column8784"/>
    <tableColumn id="8790" xr3:uid="{AF98B625-26DA-4B99-B364-02C295FFD2E5}" name="Column8785"/>
    <tableColumn id="8791" xr3:uid="{921B619A-BB54-41F9-946A-A2E5FE17F39A}" name="Column8786"/>
    <tableColumn id="8792" xr3:uid="{FA3DD9C3-4445-4CAB-8727-594A390F1DBD}" name="Column8787"/>
    <tableColumn id="8793" xr3:uid="{57BA4DB5-B548-4BFC-85F9-CFEE741A53EB}" name="Column8788"/>
    <tableColumn id="8794" xr3:uid="{F7DD5656-E21E-4FE5-8AF8-98AC20529069}" name="Column8789"/>
    <tableColumn id="8795" xr3:uid="{883DD75E-FE8F-43BA-A6E6-4C9010B61CD6}" name="Column8790"/>
    <tableColumn id="8796" xr3:uid="{CDF1A085-9A8C-45FC-ABC5-92D6F268E337}" name="Column8791"/>
    <tableColumn id="8797" xr3:uid="{8D8EE977-AFA3-4932-9119-CD5CE8E401A9}" name="Column8792"/>
    <tableColumn id="8798" xr3:uid="{6617A358-CF9C-4552-B2F6-7C60C38F9F78}" name="Column8793"/>
    <tableColumn id="8799" xr3:uid="{8B85E2C6-453C-4B99-8323-7711E94278A8}" name="Column8794"/>
    <tableColumn id="8800" xr3:uid="{85BBABFD-EBEA-4D8A-BB91-48833BB8F115}" name="Column8795"/>
    <tableColumn id="8801" xr3:uid="{2B0FC294-6DE9-43E3-BCC9-82B9BEDCC57F}" name="Column8796"/>
    <tableColumn id="8802" xr3:uid="{0D578066-9F35-4188-8151-0E66F133C9EC}" name="Column8797"/>
    <tableColumn id="8803" xr3:uid="{800CB579-DD50-4741-B0FE-C3EBD69F7346}" name="Column8798"/>
    <tableColumn id="8804" xr3:uid="{2524A710-44F4-411F-9E07-588B224A3787}" name="Column8799"/>
    <tableColumn id="8805" xr3:uid="{18DB2F87-1911-41D9-8561-04D7612AD176}" name="Column8800"/>
    <tableColumn id="8806" xr3:uid="{1CCBABA9-0FC8-468A-B2A8-1E4F665750B7}" name="Column8801"/>
    <tableColumn id="8807" xr3:uid="{C1F8F9FF-0FF8-4353-BAF1-C979D49E5E59}" name="Column8802"/>
    <tableColumn id="8808" xr3:uid="{A9351168-82E8-483E-82E4-D9C380B9DDA1}" name="Column8803"/>
    <tableColumn id="8809" xr3:uid="{30AEB43B-7C74-42EC-A892-F3D4F3EC6DED}" name="Column8804"/>
    <tableColumn id="8810" xr3:uid="{1CDDC216-4280-4CE1-9797-D709735A0893}" name="Column8805"/>
    <tableColumn id="8811" xr3:uid="{B80D65F2-6ADF-4575-AAFB-EE1E8EC9E26D}" name="Column8806"/>
    <tableColumn id="8812" xr3:uid="{62E0ACA3-61A2-484F-B6C5-D687657696C3}" name="Column8807"/>
    <tableColumn id="8813" xr3:uid="{435A5EF8-A9E6-49A2-84E4-FB770DEEDF0D}" name="Column8808"/>
    <tableColumn id="8814" xr3:uid="{3654F467-8451-4EF3-A86F-B09D9E568E5E}" name="Column8809"/>
    <tableColumn id="8815" xr3:uid="{15ADBD90-FCC8-4D92-8F93-A9403A7F4014}" name="Column8810"/>
    <tableColumn id="8816" xr3:uid="{9CFDD281-EA5D-4988-A15E-4A0235344C40}" name="Column8811"/>
    <tableColumn id="8817" xr3:uid="{EF7B727C-0AE0-4717-B7B9-DA3568245CF6}" name="Column8812"/>
    <tableColumn id="8818" xr3:uid="{D139B434-22F2-47CE-9B90-1E6ECBE729C9}" name="Column8813"/>
    <tableColumn id="8819" xr3:uid="{FE7C4370-A96A-4C6F-AD6A-9EBEF77DE39D}" name="Column8814"/>
    <tableColumn id="8820" xr3:uid="{CD0B0A17-1498-4513-A2F2-2FFACAE6EADC}" name="Column8815"/>
    <tableColumn id="8821" xr3:uid="{1BAAFE00-0141-4EF9-B829-E36EFBD86354}" name="Column8816"/>
    <tableColumn id="8822" xr3:uid="{1D9AAF59-B07F-48DE-A1B1-1C7618F8A3DE}" name="Column8817"/>
    <tableColumn id="8823" xr3:uid="{2BA6C0E3-D7EB-475D-891A-CD5A74C723D8}" name="Column8818"/>
    <tableColumn id="8824" xr3:uid="{7845EB15-EFCE-43B9-B6E6-64B2E6AD5ECC}" name="Column8819"/>
    <tableColumn id="8825" xr3:uid="{9CDA1C54-E9D4-46F6-A660-F534ADF58272}" name="Column8820"/>
    <tableColumn id="8826" xr3:uid="{12821E7B-0F1D-47AF-A09D-A8A6D9A029CD}" name="Column8821"/>
    <tableColumn id="8827" xr3:uid="{656D6DD3-A998-4509-B5EC-B9A6EA709B31}" name="Column8822"/>
    <tableColumn id="8828" xr3:uid="{46A654B3-B73B-4225-9AD3-DE445F8B0A7F}" name="Column8823"/>
    <tableColumn id="8829" xr3:uid="{48B299AC-6C0E-41E8-9570-9940659AE143}" name="Column8824"/>
    <tableColumn id="8830" xr3:uid="{A74522FC-7CEE-47A5-BA58-859174B3635E}" name="Column8825"/>
    <tableColumn id="8831" xr3:uid="{22CFFE77-3E06-4F5B-9F98-4E2271144ED8}" name="Column8826"/>
    <tableColumn id="8832" xr3:uid="{E42D2724-EFFE-4669-9B96-ACF1E7A00206}" name="Column8827"/>
    <tableColumn id="8833" xr3:uid="{B6B28380-EB71-48AB-9954-D9084078B456}" name="Column8828"/>
    <tableColumn id="8834" xr3:uid="{6C95B4F4-A5C4-4E47-88A4-F0A76BB0F5CF}" name="Column8829"/>
    <tableColumn id="8835" xr3:uid="{7D9F5E51-53EC-4DEF-86F0-539193B0306A}" name="Column8830"/>
    <tableColumn id="8836" xr3:uid="{7C7A13EF-F276-4F9D-A275-6D2E8871E3A8}" name="Column8831"/>
    <tableColumn id="8837" xr3:uid="{E1FFB653-1003-4E50-88D3-87BCF69700F6}" name="Column8832"/>
    <tableColumn id="8838" xr3:uid="{EE8F2052-4212-4D01-85B6-F779EEE95614}" name="Column8833"/>
    <tableColumn id="8839" xr3:uid="{B73146A9-849C-44C5-84BB-F4E09FCA1D9D}" name="Column8834"/>
    <tableColumn id="8840" xr3:uid="{0E876EB6-596A-4A40-88A0-B7FA70D2ADF0}" name="Column8835"/>
    <tableColumn id="8841" xr3:uid="{42D6EFFE-5524-49E3-8876-3D236A42292B}" name="Column8836"/>
    <tableColumn id="8842" xr3:uid="{DF9F7E5F-E768-45F4-ABD9-7E44EFFA2EE6}" name="Column8837"/>
    <tableColumn id="8843" xr3:uid="{2B2C8A59-1506-439A-8CCB-D7368BCD6BA7}" name="Column8838"/>
    <tableColumn id="8844" xr3:uid="{9EBE22E1-BDB7-46B4-9753-8DC46125FA37}" name="Column8839"/>
    <tableColumn id="8845" xr3:uid="{CC1FB36E-1C78-42E9-9440-E414745E3364}" name="Column8840"/>
    <tableColumn id="8846" xr3:uid="{468D66F7-2906-4C6A-8728-7FC75510AE42}" name="Column8841"/>
    <tableColumn id="8847" xr3:uid="{7AD97557-22DB-422F-8D70-5D9A5D3BBFE6}" name="Column8842"/>
    <tableColumn id="8848" xr3:uid="{62B191C3-B20E-4B38-B3D2-EA0AFA4365B1}" name="Column8843"/>
    <tableColumn id="8849" xr3:uid="{01E2C479-8DB3-4BBB-8559-2A8B381190F3}" name="Column8844"/>
    <tableColumn id="8850" xr3:uid="{ACA3A1D8-FA75-453C-BADD-D028DF1F66C4}" name="Column8845"/>
    <tableColumn id="8851" xr3:uid="{04CA6ACC-27B6-4A63-B593-79FE11BE0F23}" name="Column8846"/>
    <tableColumn id="8852" xr3:uid="{A2010464-2418-4A27-A4A0-B4171B523639}" name="Column8847"/>
    <tableColumn id="8853" xr3:uid="{68B5E22E-BDD6-4345-A13F-28B0DA5F2696}" name="Column8848"/>
    <tableColumn id="8854" xr3:uid="{3812C956-CCE5-442F-A7B7-572906371090}" name="Column8849"/>
    <tableColumn id="8855" xr3:uid="{66D6D102-6F56-431D-A1F6-63658B6B4FA6}" name="Column8850"/>
    <tableColumn id="8856" xr3:uid="{B53F104B-D73B-47B7-A116-88820BDF411A}" name="Column8851"/>
    <tableColumn id="8857" xr3:uid="{063C6F47-605F-4E18-8D29-6D0232F11E0D}" name="Column8852"/>
    <tableColumn id="8858" xr3:uid="{F6BBBDDC-AC96-4B0B-A541-1B6F45385B73}" name="Column8853"/>
    <tableColumn id="8859" xr3:uid="{D8D88B5B-20BB-41E5-85A3-8851D7B19601}" name="Column8854"/>
    <tableColumn id="8860" xr3:uid="{255AE49E-3D31-4321-83AA-9B4948FD98DF}" name="Column8855"/>
    <tableColumn id="8861" xr3:uid="{8D8D6427-08AF-46C5-ABEA-EEBBE1D9D78D}" name="Column8856"/>
    <tableColumn id="8862" xr3:uid="{10337445-7B38-400C-967A-AB696E4B0B50}" name="Column8857"/>
    <tableColumn id="8863" xr3:uid="{82890BDB-8F6D-4FDE-BFF6-11AEFF69511D}" name="Column8858"/>
    <tableColumn id="8864" xr3:uid="{7CB97547-E5FC-4D61-A9E3-F8A41FB0F00D}" name="Column8859"/>
    <tableColumn id="8865" xr3:uid="{1868C1FE-11BE-44C1-898D-207431332772}" name="Column8860"/>
    <tableColumn id="8866" xr3:uid="{41F4594D-0189-4B7E-9AC5-37BBA4871426}" name="Column8861"/>
    <tableColumn id="8867" xr3:uid="{4F5641D8-2F49-4042-899B-3D73FA26E47E}" name="Column8862"/>
    <tableColumn id="8868" xr3:uid="{9DF56190-F9DB-4F9F-8E43-5D8EA82677E4}" name="Column8863"/>
    <tableColumn id="8869" xr3:uid="{C134C08F-DF8F-4C0F-8DA4-DF8675A24A05}" name="Column8864"/>
    <tableColumn id="8870" xr3:uid="{6413B4A5-4AA6-43DB-BA78-B678335047E7}" name="Column8865"/>
    <tableColumn id="8871" xr3:uid="{9AA3D2E2-7B15-41BE-BC05-D7922E059EC0}" name="Column8866"/>
    <tableColumn id="8872" xr3:uid="{F1C138C7-1C6A-49BD-AE66-BFDEDE9E435F}" name="Column8867"/>
    <tableColumn id="8873" xr3:uid="{340BF83E-940E-407A-8855-C982076A9341}" name="Column8868"/>
    <tableColumn id="8874" xr3:uid="{3FFFA433-745E-4BE3-8142-9454AC280D33}" name="Column8869"/>
    <tableColumn id="8875" xr3:uid="{3AF5A77E-2033-480E-9529-4F63F144B72A}" name="Column8870"/>
    <tableColumn id="8876" xr3:uid="{B5641A8C-5641-4065-85C9-5CD93BFEFC1C}" name="Column8871"/>
    <tableColumn id="8877" xr3:uid="{C2707E4D-54B5-4610-91FB-94C603B492C8}" name="Column8872"/>
    <tableColumn id="8878" xr3:uid="{CA1814B6-84C4-43FE-B4E7-E5525C001F46}" name="Column8873"/>
    <tableColumn id="8879" xr3:uid="{82522A05-75AE-4FED-854F-37C507C82AC9}" name="Column8874"/>
    <tableColumn id="8880" xr3:uid="{115D0643-258E-4B3E-803A-223B95EEDD07}" name="Column8875"/>
    <tableColumn id="8881" xr3:uid="{C85756E1-025A-4224-BA6C-0BB4A89FCEEC}" name="Column8876"/>
    <tableColumn id="8882" xr3:uid="{CFCC082D-7A96-4DAE-B5E7-D70768545B9F}" name="Column8877"/>
    <tableColumn id="8883" xr3:uid="{C479415D-5B5A-404B-92F9-48544D35FEEE}" name="Column8878"/>
    <tableColumn id="8884" xr3:uid="{FA54D173-C523-44F9-B81C-C4D74F550D4A}" name="Column8879"/>
    <tableColumn id="8885" xr3:uid="{56A0C0CF-8E41-497A-BA60-9BD395900A52}" name="Column8880"/>
    <tableColumn id="8886" xr3:uid="{519F91A2-6CF2-415F-8FFB-132AA65CBDE9}" name="Column8881"/>
    <tableColumn id="8887" xr3:uid="{7E82C324-A1B8-4495-9959-3B43ADCC87F5}" name="Column8882"/>
    <tableColumn id="8888" xr3:uid="{A5AFCE4E-0347-425B-8FB9-20F0A8951693}" name="Column8883"/>
    <tableColumn id="8889" xr3:uid="{21B5248B-4A91-43A5-BBA5-8A8E93260436}" name="Column8884"/>
    <tableColumn id="8890" xr3:uid="{1BD9A3D2-0299-4CB7-9F17-E1852F08E149}" name="Column8885"/>
    <tableColumn id="8891" xr3:uid="{4E0CEB63-1BD3-453D-9C64-5D442AA29D36}" name="Column8886"/>
    <tableColumn id="8892" xr3:uid="{C7F0938F-3657-4F93-8273-FA1E5B18888F}" name="Column8887"/>
    <tableColumn id="8893" xr3:uid="{99F5E534-EA2B-40D8-B5E7-6052C8251AD8}" name="Column8888"/>
    <tableColumn id="8894" xr3:uid="{71B7325B-2AB1-4704-904D-24FB81EA3490}" name="Column8889"/>
    <tableColumn id="8895" xr3:uid="{DE94D072-7DD7-48E2-85CB-7F7EB775A826}" name="Column8890"/>
    <tableColumn id="8896" xr3:uid="{821389F6-0C23-4D66-AFE0-210E51EB3D7C}" name="Column8891"/>
    <tableColumn id="8897" xr3:uid="{CD5B411D-87F7-4D57-9C08-456574184130}" name="Column8892"/>
    <tableColumn id="8898" xr3:uid="{B2F97A2C-9548-44CE-8D45-93B53A3AF529}" name="Column8893"/>
    <tableColumn id="8899" xr3:uid="{3EC2D108-717B-4A57-B04D-9FDF829FA194}" name="Column8894"/>
    <tableColumn id="8900" xr3:uid="{B14E90AD-3F38-4CE5-BDF8-1A490FF78BAE}" name="Column8895"/>
    <tableColumn id="8901" xr3:uid="{A80B5FF3-9AE4-4EAA-A0D3-EC29825B8245}" name="Column8896"/>
    <tableColumn id="8902" xr3:uid="{8826EB44-E1BB-4A92-B181-5A9C0DE6CB19}" name="Column8897"/>
    <tableColumn id="8903" xr3:uid="{5C18E37B-2DC6-4678-B3BA-EB65A252DE0B}" name="Column8898"/>
    <tableColumn id="8904" xr3:uid="{D3B86031-09A5-434A-85F4-42D7B7D25741}" name="Column8899"/>
    <tableColumn id="8905" xr3:uid="{F568C768-A552-494E-9403-DC9A9DAB9A75}" name="Column8900"/>
    <tableColumn id="8906" xr3:uid="{DEA4DDC0-4F59-4C24-A25F-98A25A527DF2}" name="Column8901"/>
    <tableColumn id="8907" xr3:uid="{9E92BDED-B6B0-41B0-8B65-9001EDA88D06}" name="Column8902"/>
    <tableColumn id="8908" xr3:uid="{499553C0-1860-4D1C-B265-5CFB7ED2E5EE}" name="Column8903"/>
    <tableColumn id="8909" xr3:uid="{DE244C11-8887-47C5-B795-B4B8D133A365}" name="Column8904"/>
    <tableColumn id="8910" xr3:uid="{0A628380-ED83-4F86-B638-8BDB0FE33C80}" name="Column8905"/>
    <tableColumn id="8911" xr3:uid="{69AF03C4-C545-46C8-850E-A7FE21885FAB}" name="Column8906"/>
    <tableColumn id="8912" xr3:uid="{62C8395B-B894-4A6B-B507-860AA33F7D5F}" name="Column8907"/>
    <tableColumn id="8913" xr3:uid="{EA9B6FA2-35B6-4A1B-AD16-81F3AC19FD12}" name="Column8908"/>
    <tableColumn id="8914" xr3:uid="{B8BCA3BC-F43F-4FE7-B7C1-AB3F113C3635}" name="Column8909"/>
    <tableColumn id="8915" xr3:uid="{CA6C014B-5CA0-4D8C-A953-A0BE1450E77B}" name="Column8910"/>
    <tableColumn id="8916" xr3:uid="{82B4BDC3-A87F-429F-B5B6-52BBC1FCF202}" name="Column8911"/>
    <tableColumn id="8917" xr3:uid="{723CEFE8-FCB5-4031-AAA2-29C3BAC2FAF2}" name="Column8912"/>
    <tableColumn id="8918" xr3:uid="{21B2A37E-4619-4C38-A753-7FC2FF927F6C}" name="Column8913"/>
    <tableColumn id="8919" xr3:uid="{CC44A0AD-3788-4A57-B7C3-12289585FE17}" name="Column8914"/>
    <tableColumn id="8920" xr3:uid="{CB41B423-319C-4E3B-A559-09CD64C13E5D}" name="Column8915"/>
    <tableColumn id="8921" xr3:uid="{D8D5284D-883D-4CF6-AD90-A40D495EE15B}" name="Column8916"/>
    <tableColumn id="8922" xr3:uid="{B1F30AA0-AE99-49D7-9DFB-ED9AA5597DC1}" name="Column8917"/>
    <tableColumn id="8923" xr3:uid="{C2F43DFE-3D95-4C21-B730-5B6AEC0F5A8D}" name="Column8918"/>
    <tableColumn id="8924" xr3:uid="{5EAEC6D2-E0ED-4B1E-B395-4ADAABA03B5E}" name="Column8919"/>
    <tableColumn id="8925" xr3:uid="{950522F1-56B7-4F1F-A674-2FB4CE3EB9C0}" name="Column8920"/>
    <tableColumn id="8926" xr3:uid="{22F38167-B3F0-46FB-9181-33C5ABF23199}" name="Column8921"/>
    <tableColumn id="8927" xr3:uid="{72338F99-8139-49A4-8AAF-7A38E4F64A46}" name="Column8922"/>
    <tableColumn id="8928" xr3:uid="{88D31175-76CC-4388-8A8B-EEDBA35C2F77}" name="Column8923"/>
    <tableColumn id="8929" xr3:uid="{E871D0D3-9DEF-4D31-B798-30FD6936DF8A}" name="Column8924"/>
    <tableColumn id="8930" xr3:uid="{DF36A694-8368-410D-81A0-CB820097104E}" name="Column8925"/>
    <tableColumn id="8931" xr3:uid="{BB2B36B5-DCD4-4A15-B731-F35823FC9DD3}" name="Column8926"/>
    <tableColumn id="8932" xr3:uid="{725373C3-14EC-4561-8E2D-166F9B0AF84A}" name="Column8927"/>
    <tableColumn id="8933" xr3:uid="{A498D54B-5A45-4E8B-9D8B-ABE758193925}" name="Column8928"/>
    <tableColumn id="8934" xr3:uid="{4744429D-51B2-40FC-82BB-B1714F3870E3}" name="Column8929"/>
    <tableColumn id="8935" xr3:uid="{EA0587FA-BC49-42DE-884A-2F5092FDF18B}" name="Column8930"/>
    <tableColumn id="8936" xr3:uid="{0FD4DD5D-C623-4601-9857-D6591CA50A12}" name="Column8931"/>
    <tableColumn id="8937" xr3:uid="{6440722E-3825-481A-BFEC-D1FC28F766C2}" name="Column8932"/>
    <tableColumn id="8938" xr3:uid="{7B18CAC5-0715-4219-BC03-DBD1BBE5BC02}" name="Column8933"/>
    <tableColumn id="8939" xr3:uid="{5360080F-B067-4AF0-A334-073BB2E7B5E8}" name="Column8934"/>
    <tableColumn id="8940" xr3:uid="{8E678439-46BA-46B4-9232-4E65CD9285B2}" name="Column8935"/>
    <tableColumn id="8941" xr3:uid="{977060EE-7445-4F58-A302-5DDE4B1BFD0C}" name="Column8936"/>
    <tableColumn id="8942" xr3:uid="{6D308AB4-44FF-4105-AF56-E697FFBF0BF8}" name="Column8937"/>
    <tableColumn id="8943" xr3:uid="{188F3878-3B0B-450B-9A18-A22589C5FB2C}" name="Column8938"/>
    <tableColumn id="8944" xr3:uid="{BD66F725-6E9A-4E57-ACD2-A777D416CB5F}" name="Column8939"/>
    <tableColumn id="8945" xr3:uid="{C4863822-AB94-44C4-A90E-6062DB55A4A3}" name="Column8940"/>
    <tableColumn id="8946" xr3:uid="{EC642616-2FB6-436B-AB01-21F03AC95DC9}" name="Column8941"/>
    <tableColumn id="8947" xr3:uid="{AEC05746-5D05-49F6-B6CC-F28AA23ACB96}" name="Column8942"/>
    <tableColumn id="8948" xr3:uid="{3A2627F1-4409-4133-8520-8166EE8967A8}" name="Column8943"/>
    <tableColumn id="8949" xr3:uid="{5C34C619-6223-42E6-809A-CD4C6351DC09}" name="Column8944"/>
    <tableColumn id="8950" xr3:uid="{EC9F5EDA-CA80-4913-9E33-C0FFB4363F10}" name="Column8945"/>
    <tableColumn id="8951" xr3:uid="{16B715F5-292D-4BBC-8CCC-F89D770D5E91}" name="Column8946"/>
    <tableColumn id="8952" xr3:uid="{2904EA44-AE33-44D1-8F59-A8890C184F4F}" name="Column8947"/>
    <tableColumn id="8953" xr3:uid="{3941FEEB-4170-47E3-B8C6-E1DA38092721}" name="Column8948"/>
    <tableColumn id="8954" xr3:uid="{DF224296-F203-4667-A0F7-78D40A18BA28}" name="Column8949"/>
    <tableColumn id="8955" xr3:uid="{FA84C61B-B67F-42D4-85C9-F29FB8CDBAD9}" name="Column8950"/>
    <tableColumn id="8956" xr3:uid="{AC00FBD6-7331-464C-99F2-A7F5B515D69F}" name="Column8951"/>
    <tableColumn id="8957" xr3:uid="{71F1B32D-07CE-4D7F-BFC7-77E7AF0302E6}" name="Column8952"/>
    <tableColumn id="8958" xr3:uid="{5B15872C-0B46-4EFB-B9BD-830DD39005C3}" name="Column8953"/>
    <tableColumn id="8959" xr3:uid="{C4364EBC-C6C2-4470-AC99-446F17F03E59}" name="Column8954"/>
    <tableColumn id="8960" xr3:uid="{0ECD4ED0-E331-4B90-867D-40F104D40C61}" name="Column8955"/>
    <tableColumn id="8961" xr3:uid="{D0757EF6-AD99-47FB-B77E-7DC44D581F45}" name="Column8956"/>
    <tableColumn id="8962" xr3:uid="{44BB22AE-4540-457A-AA27-99984335BBDA}" name="Column8957"/>
    <tableColumn id="8963" xr3:uid="{D0336245-0295-46B1-BF2F-3DB4C23A2C9C}" name="Column8958"/>
    <tableColumn id="8964" xr3:uid="{46D322D6-90F3-495E-96BE-21B0EF17F021}" name="Column8959"/>
    <tableColumn id="8965" xr3:uid="{CE5802BC-647C-4EE8-880B-DF80C3282004}" name="Column8960"/>
    <tableColumn id="8966" xr3:uid="{ADE0D258-76B9-49C3-817B-F87794AA0858}" name="Column8961"/>
    <tableColumn id="8967" xr3:uid="{634FB4A3-C432-46AA-92C9-77D3E5B45FB7}" name="Column8962"/>
    <tableColumn id="8968" xr3:uid="{C38149EC-3976-4746-811F-E761F81BCB14}" name="Column8963"/>
    <tableColumn id="8969" xr3:uid="{6A2685E1-BDE4-4A81-9EEA-3275CE2D7488}" name="Column8964"/>
    <tableColumn id="8970" xr3:uid="{83D5A3C9-0D06-47AE-9CAC-BC86E5280DEA}" name="Column8965"/>
    <tableColumn id="8971" xr3:uid="{DE7A5447-2955-4C11-BEC3-7D6DB0F90EB8}" name="Column8966"/>
    <tableColumn id="8972" xr3:uid="{844D9613-4C27-47EC-BA01-7BF90C3A09EE}" name="Column8967"/>
    <tableColumn id="8973" xr3:uid="{F68B3F17-750C-4FD0-8C72-B2079F4605D2}" name="Column8968"/>
    <tableColumn id="8974" xr3:uid="{683B7DBD-77E8-40F1-A6F2-3497AB4FF707}" name="Column8969"/>
    <tableColumn id="8975" xr3:uid="{AA7F067E-7FF5-4978-97AC-D78CE41A89A0}" name="Column8970"/>
    <tableColumn id="8976" xr3:uid="{157C9245-D1E0-454D-B319-06B7D817A483}" name="Column8971"/>
    <tableColumn id="8977" xr3:uid="{01B58AFD-35FC-4DBC-8444-1E0425959735}" name="Column8972"/>
    <tableColumn id="8978" xr3:uid="{F110C0EE-A0CB-4274-A385-8E96FC305522}" name="Column8973"/>
    <tableColumn id="8979" xr3:uid="{E0A572E5-6B4D-4BAB-8889-54906E19B011}" name="Column8974"/>
    <tableColumn id="8980" xr3:uid="{B15AE9E4-89A4-4B04-8104-B12F021DC794}" name="Column8975"/>
    <tableColumn id="8981" xr3:uid="{983F725C-E34C-4D90-9C9A-3F15E8D62A53}" name="Column8976"/>
    <tableColumn id="8982" xr3:uid="{569EC7FB-77F4-4759-9D9F-769A9C994B62}" name="Column8977"/>
    <tableColumn id="8983" xr3:uid="{71317C24-90D9-4611-A9A0-69C665547DB6}" name="Column8978"/>
    <tableColumn id="8984" xr3:uid="{3C0E3641-592B-440F-BF62-1EEDE733093D}" name="Column8979"/>
    <tableColumn id="8985" xr3:uid="{47294DAB-80CD-40AB-BA06-EC650E516B20}" name="Column8980"/>
    <tableColumn id="8986" xr3:uid="{F0DEDB23-4BFB-421D-B960-F14B929F4A67}" name="Column8981"/>
    <tableColumn id="8987" xr3:uid="{BC1B3230-7E50-49E6-9C1B-E02FFEA08337}" name="Column8982"/>
    <tableColumn id="8988" xr3:uid="{499E7E65-ADAF-483E-B8C9-24C8ABAE11DF}" name="Column8983"/>
    <tableColumn id="8989" xr3:uid="{EF68B7BA-4DE2-41DA-83E1-6F83E47FDCC3}" name="Column8984"/>
    <tableColumn id="8990" xr3:uid="{9A1E3C5F-DB2C-44B4-AF3B-CA92C72924C0}" name="Column8985"/>
    <tableColumn id="8991" xr3:uid="{3A9C8F0A-0C1A-4D0A-BA9F-0F68BA37DD0C}" name="Column8986"/>
    <tableColumn id="8992" xr3:uid="{48914C62-52EE-4FF3-A426-F9A4ACD5E2ED}" name="Column8987"/>
    <tableColumn id="8993" xr3:uid="{C23F8E40-2C90-415B-8D91-524CFC7741E2}" name="Column8988"/>
    <tableColumn id="8994" xr3:uid="{CB0223B1-4B51-45A0-8B39-0F849E3E44C5}" name="Column8989"/>
    <tableColumn id="8995" xr3:uid="{E31C3DB0-6818-499E-A289-D5E6EF8DC4CA}" name="Column8990"/>
    <tableColumn id="8996" xr3:uid="{CB829DD7-5AFF-4A52-851C-FFFD2CF84C88}" name="Column8991"/>
    <tableColumn id="8997" xr3:uid="{2D69B06F-F787-4468-86DB-F805433DF2A6}" name="Column8992"/>
    <tableColumn id="8998" xr3:uid="{8AB8841A-BEAD-4764-92CC-838298DDA862}" name="Column8993"/>
    <tableColumn id="8999" xr3:uid="{8CF5146C-4F9A-47F1-A244-EFAEB851B1F6}" name="Column8994"/>
    <tableColumn id="9000" xr3:uid="{3E2F437B-44C8-496E-BC96-3487F8966C46}" name="Column8995"/>
    <tableColumn id="9001" xr3:uid="{D07D7110-6588-449B-A5FF-851A488FE8F6}" name="Column8996"/>
    <tableColumn id="9002" xr3:uid="{5357B086-5F46-4EBE-9A12-0F586719F7DD}" name="Column8997"/>
    <tableColumn id="9003" xr3:uid="{6B9B298F-3142-47CE-A64F-65197F25D670}" name="Column8998"/>
    <tableColumn id="9004" xr3:uid="{6047FDE5-E14D-4FE4-9BD4-FCB8351F2321}" name="Column8999"/>
    <tableColumn id="9005" xr3:uid="{4B7B22FC-76B6-4AB1-882A-E22273B93F40}" name="Column9000"/>
    <tableColumn id="9006" xr3:uid="{253BBDEF-C14C-4FA3-982D-D9C22FB62D29}" name="Column9001"/>
    <tableColumn id="9007" xr3:uid="{30ABE20D-95B7-4CB1-BBA0-B4807B3B1A9D}" name="Column9002"/>
    <tableColumn id="9008" xr3:uid="{6E81AE93-FF89-4A05-9C12-A6E8763D00E5}" name="Column9003"/>
    <tableColumn id="9009" xr3:uid="{94EFD301-A239-4927-A3AE-386034BFF172}" name="Column9004"/>
    <tableColumn id="9010" xr3:uid="{C550C778-F98A-4725-A754-ED45BCB0508F}" name="Column9005"/>
    <tableColumn id="9011" xr3:uid="{4E41F3F6-53B9-4940-834F-EB1CD9BFBD66}" name="Column9006"/>
    <tableColumn id="9012" xr3:uid="{811BA445-0371-46F9-8AD2-B948841C31A4}" name="Column9007"/>
    <tableColumn id="9013" xr3:uid="{6D391823-A469-4933-B6DA-ACAC8D141DA5}" name="Column9008"/>
    <tableColumn id="9014" xr3:uid="{B9A26BDC-ADA6-48C9-B193-446410438137}" name="Column9009"/>
    <tableColumn id="9015" xr3:uid="{D9DA5584-A3B2-4FE9-A7C0-F31D7B940F04}" name="Column9010"/>
    <tableColumn id="9016" xr3:uid="{C938C78D-FBF2-4D70-90D1-BC5CEAF0613E}" name="Column9011"/>
    <tableColumn id="9017" xr3:uid="{6CFE8DD1-5E9E-45DC-AE99-16EF439F21D4}" name="Column9012"/>
    <tableColumn id="9018" xr3:uid="{F9FE5E62-5E8C-4521-8547-CB6A50420BC1}" name="Column9013"/>
    <tableColumn id="9019" xr3:uid="{406BC97C-E69C-4CB6-A30B-756BC61CF81F}" name="Column9014"/>
    <tableColumn id="9020" xr3:uid="{6E5124E4-305C-44E3-9F86-6715335C0D98}" name="Column9015"/>
    <tableColumn id="9021" xr3:uid="{038BAD61-0FE5-49F4-94B1-882A479610D7}" name="Column9016"/>
    <tableColumn id="9022" xr3:uid="{080357F5-C0A7-4BD7-86AD-82AECC50C78B}" name="Column9017"/>
    <tableColumn id="9023" xr3:uid="{E5A91B90-804A-4FCB-99BB-1550ADF37D7B}" name="Column9018"/>
    <tableColumn id="9024" xr3:uid="{D21D4D1A-FFD4-47B4-8E48-0930B18679D8}" name="Column9019"/>
    <tableColumn id="9025" xr3:uid="{B712EBC9-E9B3-41BA-87C8-2CF392AE119C}" name="Column9020"/>
    <tableColumn id="9026" xr3:uid="{5CBCB2B9-BD2D-4DDA-929E-62A1803DCDA7}" name="Column9021"/>
    <tableColumn id="9027" xr3:uid="{F74BD53A-A555-415C-B6A0-A185177D5110}" name="Column9022"/>
    <tableColumn id="9028" xr3:uid="{975EC673-1677-4B0C-806A-BD476A9A7E0A}" name="Column9023"/>
    <tableColumn id="9029" xr3:uid="{B2E1C2D8-87FC-4F9D-991B-506EAA50D473}" name="Column9024"/>
    <tableColumn id="9030" xr3:uid="{31535BDA-5135-49F2-9280-AD8F9DD7C176}" name="Column9025"/>
    <tableColumn id="9031" xr3:uid="{0BE4FCE5-DEAB-42FF-AD8E-739F92A4029D}" name="Column9026"/>
    <tableColumn id="9032" xr3:uid="{9FB185F4-FAF2-4464-AFE7-AA4E69EF215D}" name="Column9027"/>
    <tableColumn id="9033" xr3:uid="{142D34DD-A28B-4BC3-84A5-BEB3489A9AB6}" name="Column9028"/>
    <tableColumn id="9034" xr3:uid="{53580C10-9593-4F9A-8003-ABF2F8FF2D4E}" name="Column9029"/>
    <tableColumn id="9035" xr3:uid="{893A6C8A-8BA5-424A-B81C-4DBFCA20E4A7}" name="Column9030"/>
    <tableColumn id="9036" xr3:uid="{B45A6045-816F-4D6C-9E13-8F6A33B3D30A}" name="Column9031"/>
    <tableColumn id="9037" xr3:uid="{FE35D961-864C-407E-87EA-F00489BD5B11}" name="Column9032"/>
    <tableColumn id="9038" xr3:uid="{344A7108-BC11-4DD5-99B1-DFADB2119266}" name="Column9033"/>
    <tableColumn id="9039" xr3:uid="{D1C9E100-7C7B-4CC2-9EC1-755A259381E3}" name="Column9034"/>
    <tableColumn id="9040" xr3:uid="{251A6625-8E48-4965-ACCD-46977679A0EC}" name="Column9035"/>
    <tableColumn id="9041" xr3:uid="{239EAE49-5996-41FD-BC95-778D01E19C3E}" name="Column9036"/>
    <tableColumn id="9042" xr3:uid="{0DA9D38C-BA1C-4826-A21E-A19BB706B9DD}" name="Column9037"/>
    <tableColumn id="9043" xr3:uid="{5A8545D5-DADF-486B-A125-D63E3058D174}" name="Column9038"/>
    <tableColumn id="9044" xr3:uid="{11EA4A2D-DF8C-4776-8281-CEF4F61986EA}" name="Column9039"/>
    <tableColumn id="9045" xr3:uid="{49A5A287-4AC7-4E6E-B54D-95B172E5287A}" name="Column9040"/>
    <tableColumn id="9046" xr3:uid="{B7E2F94F-E270-49CF-B5D7-BC58CE126A86}" name="Column9041"/>
    <tableColumn id="9047" xr3:uid="{F4123707-0BA3-4F96-96CD-6595EA8C950E}" name="Column9042"/>
    <tableColumn id="9048" xr3:uid="{D536F358-4F52-4B2C-B71B-52E70F1333AA}" name="Column9043"/>
    <tableColumn id="9049" xr3:uid="{B5D2FCC8-F338-4F32-BDA1-F11E8D16F275}" name="Column9044"/>
    <tableColumn id="9050" xr3:uid="{2D4727CB-F26C-48CF-802F-F09738044D1F}" name="Column9045"/>
    <tableColumn id="9051" xr3:uid="{9EE6D8F2-AF48-4E04-82E3-E0ADF3CD5364}" name="Column9046"/>
    <tableColumn id="9052" xr3:uid="{9AC93DEA-5AB2-4E20-884B-4B23BD9C648B}" name="Column9047"/>
    <tableColumn id="9053" xr3:uid="{9062C150-E35A-43C6-B5B0-D01247289964}" name="Column9048"/>
    <tableColumn id="9054" xr3:uid="{5B1BA28D-0E57-4C04-B840-F3D85DE3F597}" name="Column9049"/>
    <tableColumn id="9055" xr3:uid="{965EA4AB-56CA-4F83-BD8F-AA654D003811}" name="Column9050"/>
    <tableColumn id="9056" xr3:uid="{AA40DCDE-EF37-49D4-93D8-5EFF381B401C}" name="Column9051"/>
    <tableColumn id="9057" xr3:uid="{F6E47C3E-B286-460E-A4E5-B749DF468F19}" name="Column9052"/>
    <tableColumn id="9058" xr3:uid="{1EBFDB7B-7897-43EB-8EF0-A2EE9FDB3AFB}" name="Column9053"/>
    <tableColumn id="9059" xr3:uid="{EF485F45-C8B4-4AC3-A9AE-F9F8325B5E3D}" name="Column9054"/>
    <tableColumn id="9060" xr3:uid="{21BA8C6E-7F71-4CC0-B5F1-3BE80CF0BA3A}" name="Column9055"/>
    <tableColumn id="9061" xr3:uid="{8B037A69-4AB2-4C23-9D86-2C2D899D0C9D}" name="Column9056"/>
    <tableColumn id="9062" xr3:uid="{A8FEC2CA-049A-4E54-BFAB-FCE7CE0DC4D2}" name="Column9057"/>
    <tableColumn id="9063" xr3:uid="{BF9B0CFA-42CF-446E-B34B-DE7B50369A1E}" name="Column9058"/>
    <tableColumn id="9064" xr3:uid="{550C29D4-88FE-4986-A006-4629C339454E}" name="Column9059"/>
    <tableColumn id="9065" xr3:uid="{6FF742EA-9F5B-44E6-927E-2B592B0B100D}" name="Column9060"/>
    <tableColumn id="9066" xr3:uid="{8607EA14-8A14-42C9-8CF9-FCC7FBB682AF}" name="Column9061"/>
    <tableColumn id="9067" xr3:uid="{2C493C1A-B4C7-4C47-B977-666A57DBEFD9}" name="Column9062"/>
    <tableColumn id="9068" xr3:uid="{587177B5-6860-4722-880C-B9223DEC24FB}" name="Column9063"/>
    <tableColumn id="9069" xr3:uid="{828BFDF0-B6A4-444A-9120-8AB8B4FD9CC7}" name="Column9064"/>
    <tableColumn id="9070" xr3:uid="{4D059AF2-3F87-4E0E-A8D5-C2BC88D84484}" name="Column9065"/>
    <tableColumn id="9071" xr3:uid="{6F4DB15C-7805-4BC9-B379-2C5D3E8DCE18}" name="Column9066"/>
    <tableColumn id="9072" xr3:uid="{D27E3629-25D7-4D46-A37A-315E898E12E2}" name="Column9067"/>
    <tableColumn id="9073" xr3:uid="{F4C996E5-1E98-4483-BB8C-299B00D3B22F}" name="Column9068"/>
    <tableColumn id="9074" xr3:uid="{7B0FCDE1-01C0-406E-94FF-4F3CBC0242F6}" name="Column9069"/>
    <tableColumn id="9075" xr3:uid="{D2FD29CD-BCD2-44C8-B759-190BD0CBC4D4}" name="Column9070"/>
    <tableColumn id="9076" xr3:uid="{42AC5AA4-AE61-4C14-9869-6B3C55312F5A}" name="Column9071"/>
    <tableColumn id="9077" xr3:uid="{42C03F66-3062-48E6-BCDA-FD5C59C1E97F}" name="Column9072"/>
    <tableColumn id="9078" xr3:uid="{0741518B-F419-45C1-9A20-5E6E971CB56D}" name="Column9073"/>
    <tableColumn id="9079" xr3:uid="{4D1BC4AF-A942-47BC-9A96-D760D34023A3}" name="Column9074"/>
    <tableColumn id="9080" xr3:uid="{5B5F23EF-8738-4414-9B45-EDF47BDE6F33}" name="Column9075"/>
    <tableColumn id="9081" xr3:uid="{BBA1C241-BE1A-4BF5-8BDD-04C4C25742C7}" name="Column9076"/>
    <tableColumn id="9082" xr3:uid="{586FAC03-C61A-4751-B700-6A918AE9B85C}" name="Column9077"/>
    <tableColumn id="9083" xr3:uid="{5964490D-C455-4A65-AFD6-0A7355C35A51}" name="Column9078"/>
    <tableColumn id="9084" xr3:uid="{B61AF21F-E024-4B9E-9EDD-CE3B812F8F34}" name="Column9079"/>
    <tableColumn id="9085" xr3:uid="{8B21A0D1-0D5D-45ED-B2B6-2CC3E4C545EB}" name="Column9080"/>
    <tableColumn id="9086" xr3:uid="{F73862FF-6055-49D0-889B-D57FC7844F9A}" name="Column9081"/>
    <tableColumn id="9087" xr3:uid="{1B52FE15-F5C6-4E36-8231-6450617CADB6}" name="Column9082"/>
    <tableColumn id="9088" xr3:uid="{858130BB-3757-465B-AB15-5AB56AE2689F}" name="Column9083"/>
    <tableColumn id="9089" xr3:uid="{7C597D8F-FAE6-482F-9C2C-BFBFD00E84B7}" name="Column9084"/>
    <tableColumn id="9090" xr3:uid="{E0D02511-B1F1-43B7-9B94-9C7C9883020E}" name="Column9085"/>
    <tableColumn id="9091" xr3:uid="{E66CE078-B205-4A09-ACC6-94557C57E5EB}" name="Column9086"/>
    <tableColumn id="9092" xr3:uid="{450EBC75-2AA7-4266-95CC-E4CEAC5EBDE1}" name="Column9087"/>
    <tableColumn id="9093" xr3:uid="{3622CBFB-98C9-498D-88DB-55884120599B}" name="Column9088"/>
    <tableColumn id="9094" xr3:uid="{EE8221FC-9426-4561-B061-410DACD040EF}" name="Column9089"/>
    <tableColumn id="9095" xr3:uid="{C7709F48-FB7D-4A86-AD94-CA2EE0833029}" name="Column9090"/>
    <tableColumn id="9096" xr3:uid="{5FCEA3B1-EF43-403F-971C-5322F9F4BE61}" name="Column9091"/>
    <tableColumn id="9097" xr3:uid="{E0F02DCC-AC81-4B02-95AB-EC12F6C1D25A}" name="Column9092"/>
    <tableColumn id="9098" xr3:uid="{CCD0E7D8-1151-4CB2-974C-A3D19B4DEAB2}" name="Column9093"/>
    <tableColumn id="9099" xr3:uid="{7D47B8C0-5A36-42E0-B02C-06C2DA611441}" name="Column9094"/>
    <tableColumn id="9100" xr3:uid="{219D526A-CC93-4549-A03F-9BF2AD720F74}" name="Column9095"/>
    <tableColumn id="9101" xr3:uid="{D0FC91A4-3E44-4788-85E9-74DDC8EB8053}" name="Column9096"/>
    <tableColumn id="9102" xr3:uid="{5B6A8BBE-34CE-4458-B493-7D9E7A541A4A}" name="Column9097"/>
    <tableColumn id="9103" xr3:uid="{6E756FE0-C7BE-4222-859A-605C4FAF333A}" name="Column9098"/>
    <tableColumn id="9104" xr3:uid="{3D2D22E1-8D86-411C-90D7-821BE7846B92}" name="Column9099"/>
    <tableColumn id="9105" xr3:uid="{78BCCDB0-DD80-4173-AA9F-E826662C3A55}" name="Column9100"/>
    <tableColumn id="9106" xr3:uid="{EB47A341-D642-4DAF-B67F-076C2E0E1FAB}" name="Column9101"/>
    <tableColumn id="9107" xr3:uid="{92068A98-ED13-4292-8BFC-4889DEAA51AB}" name="Column9102"/>
    <tableColumn id="9108" xr3:uid="{408B4D74-8C6F-42CA-A301-81460BEA7D43}" name="Column9103"/>
    <tableColumn id="9109" xr3:uid="{69624442-93D8-41C8-BCEB-D4D08A9202B7}" name="Column9104"/>
    <tableColumn id="9110" xr3:uid="{6842022F-551A-4213-8907-4914284EF7EA}" name="Column9105"/>
    <tableColumn id="9111" xr3:uid="{D7956ABB-5BBE-43FA-8B43-6E5FF8926202}" name="Column9106"/>
    <tableColumn id="9112" xr3:uid="{C6B8F3D3-10A6-4E78-A0DE-CBAAD35DCA4F}" name="Column9107"/>
    <tableColumn id="9113" xr3:uid="{95058E83-5914-42D7-B68D-9FFF941BB006}" name="Column9108"/>
    <tableColumn id="9114" xr3:uid="{4D11956D-475A-495C-87CC-4D2F53721476}" name="Column9109"/>
    <tableColumn id="9115" xr3:uid="{E1E71A6C-2AB4-40DF-8A92-BA5106FF4AF6}" name="Column9110"/>
    <tableColumn id="9116" xr3:uid="{FE14222A-DEB2-4F3A-813A-75BC161C11D5}" name="Column9111"/>
    <tableColumn id="9117" xr3:uid="{1573F148-22F2-4652-A6E1-90B56BAC7FE4}" name="Column9112"/>
    <tableColumn id="9118" xr3:uid="{F27C9AFE-5049-4F62-A6E4-181D637F00AE}" name="Column9113"/>
    <tableColumn id="9119" xr3:uid="{760EADFF-1BE9-4DFF-B9E7-D2366F5626EC}" name="Column9114"/>
    <tableColumn id="9120" xr3:uid="{66AE469E-A10E-422C-BD96-07324DF4E4F9}" name="Column9115"/>
    <tableColumn id="9121" xr3:uid="{4CBB57D7-2443-4E59-985A-C33E0389877F}" name="Column9116"/>
    <tableColumn id="9122" xr3:uid="{61CD5984-B22E-46A7-A58A-4FC402BE5985}" name="Column9117"/>
    <tableColumn id="9123" xr3:uid="{FE5B52F2-232B-4227-BA15-050152A6669B}" name="Column9118"/>
    <tableColumn id="9124" xr3:uid="{DFF04144-E572-4D57-8F33-676D4FED49F4}" name="Column9119"/>
    <tableColumn id="9125" xr3:uid="{08B9BC3A-D26F-4DFC-BEC5-E30BAF3515DB}" name="Column9120"/>
    <tableColumn id="9126" xr3:uid="{D371D31C-90D3-49DD-9267-D9B862FDD024}" name="Column9121"/>
    <tableColumn id="9127" xr3:uid="{2CA857A1-6F63-4CEC-ADEF-6A9B75621750}" name="Column9122"/>
    <tableColumn id="9128" xr3:uid="{9A4E6E5F-4792-458E-8F63-6BE84B98A5E3}" name="Column9123"/>
    <tableColumn id="9129" xr3:uid="{0CE1DA72-C4F9-46A1-88A4-40E04196C805}" name="Column9124"/>
    <tableColumn id="9130" xr3:uid="{44D67AC4-F099-4010-8673-B3A7EBE98A20}" name="Column9125"/>
    <tableColumn id="9131" xr3:uid="{8D1DC28A-1B6B-4231-9061-68EE38D76AE5}" name="Column9126"/>
    <tableColumn id="9132" xr3:uid="{EC378820-C887-4EF9-B907-3D3BA2A71C4B}" name="Column9127"/>
    <tableColumn id="9133" xr3:uid="{C2207DC3-8518-45F3-9377-17039600A39F}" name="Column9128"/>
    <tableColumn id="9134" xr3:uid="{6C709B43-B6D8-4403-9058-970500C3F8A2}" name="Column9129"/>
    <tableColumn id="9135" xr3:uid="{AF3A9335-8955-4DE3-A811-BAC11A2DE62B}" name="Column9130"/>
    <tableColumn id="9136" xr3:uid="{F9CBEA3D-8691-4178-B34C-45C581B63B38}" name="Column9131"/>
    <tableColumn id="9137" xr3:uid="{4E2D2CDE-8EE2-4A20-9850-BEBA6A1598B4}" name="Column9132"/>
    <tableColumn id="9138" xr3:uid="{29A3F858-F582-4FEC-BD82-07741CA92CFB}" name="Column9133"/>
    <tableColumn id="9139" xr3:uid="{037ADC7D-03BF-4C0C-B250-8CF4AE521DFD}" name="Column9134"/>
    <tableColumn id="9140" xr3:uid="{C55F198A-1ACF-42A3-9481-6B5AF17ADB6F}" name="Column9135"/>
    <tableColumn id="9141" xr3:uid="{B6BF6EA7-179D-40F6-A66C-669B7E32EC5B}" name="Column9136"/>
    <tableColumn id="9142" xr3:uid="{9B5F092C-40A2-4E33-82AB-1FEF88617036}" name="Column9137"/>
    <tableColumn id="9143" xr3:uid="{69A7C97D-806C-4C19-87F3-A4FEE7777157}" name="Column9138"/>
    <tableColumn id="9144" xr3:uid="{634869E9-11DB-49AE-926A-9DC3017CEBA6}" name="Column9139"/>
    <tableColumn id="9145" xr3:uid="{7D1F24B1-754B-43DD-89DA-6D0224E23D6F}" name="Column9140"/>
    <tableColumn id="9146" xr3:uid="{F1C4D4E0-2062-4DBD-9AA4-F309B6FD8631}" name="Column9141"/>
    <tableColumn id="9147" xr3:uid="{6B259556-3DED-4B4E-91DA-205E4E81CD8F}" name="Column9142"/>
    <tableColumn id="9148" xr3:uid="{010FAEA6-DD6F-46AD-86BF-4D33050A4C4A}" name="Column9143"/>
    <tableColumn id="9149" xr3:uid="{067C1070-0024-4803-A059-E0AF424823C4}" name="Column9144"/>
    <tableColumn id="9150" xr3:uid="{7A06FE65-21C5-48CF-AB11-46F5C28A4985}" name="Column9145"/>
    <tableColumn id="9151" xr3:uid="{BAE82F0E-1047-4023-9B31-90C605B2AA29}" name="Column9146"/>
    <tableColumn id="9152" xr3:uid="{B780D4A0-52FE-4852-86C6-095ABB665744}" name="Column9147"/>
    <tableColumn id="9153" xr3:uid="{7BB28295-80E5-4ADD-9BA6-50A94CD8A3BF}" name="Column9148"/>
    <tableColumn id="9154" xr3:uid="{4B487231-AA82-48AA-8149-94287E23D399}" name="Column9149"/>
    <tableColumn id="9155" xr3:uid="{86A3ABF8-6F29-4754-B1F6-3FCF0643CF07}" name="Column9150"/>
    <tableColumn id="9156" xr3:uid="{6261E107-FF96-476E-9BD6-B7A5D13DCAB0}" name="Column9151"/>
    <tableColumn id="9157" xr3:uid="{C38892FD-9F5F-4A15-8DF3-A88D8F0500C3}" name="Column9152"/>
    <tableColumn id="9158" xr3:uid="{46123F62-1E3B-4E89-80FC-77F4A66C55B5}" name="Column9153"/>
    <tableColumn id="9159" xr3:uid="{E288A78B-8B6D-470C-B176-5DDA5D450A7D}" name="Column9154"/>
    <tableColumn id="9160" xr3:uid="{77522B3C-11FA-4A45-8CBB-EFB17CEB96EE}" name="Column9155"/>
    <tableColumn id="9161" xr3:uid="{B01D42D2-329D-4DD5-A769-E978E454BDC5}" name="Column9156"/>
    <tableColumn id="9162" xr3:uid="{AB927D6B-102B-4949-B267-E6A26022AD93}" name="Column9157"/>
    <tableColumn id="9163" xr3:uid="{60AD6AA8-0499-4423-8E94-3E134720AFCF}" name="Column9158"/>
    <tableColumn id="9164" xr3:uid="{C4BB323F-F10A-4D40-BF1E-6EA943E3EBD9}" name="Column9159"/>
    <tableColumn id="9165" xr3:uid="{13BBC6D7-C1FC-4A12-8E79-3E49F65BAE13}" name="Column9160"/>
    <tableColumn id="9166" xr3:uid="{1B41C30E-374D-465E-B3F2-E0BE22A5350B}" name="Column9161"/>
    <tableColumn id="9167" xr3:uid="{A895C18E-4B2B-475D-AC4F-54DB26A0FFDC}" name="Column9162"/>
    <tableColumn id="9168" xr3:uid="{C0B75D7F-005A-4259-8B04-2DA7441149C2}" name="Column9163"/>
    <tableColumn id="9169" xr3:uid="{AA238BE4-5792-4228-877A-646D0C268E31}" name="Column9164"/>
    <tableColumn id="9170" xr3:uid="{8E1FC0F1-903E-4524-B40C-429F82F274A8}" name="Column9165"/>
    <tableColumn id="9171" xr3:uid="{28031C01-6B63-48CF-A336-B4C0C6C94384}" name="Column9166"/>
    <tableColumn id="9172" xr3:uid="{3050AF79-7D5D-4D9F-B35B-7AE474A54DA2}" name="Column9167"/>
    <tableColumn id="9173" xr3:uid="{CCC0A4F8-D3CA-4583-8A16-2C44DEE75F38}" name="Column9168"/>
    <tableColumn id="9174" xr3:uid="{0C7BB34B-E407-48B9-8CC6-B57CD49228B8}" name="Column9169"/>
    <tableColumn id="9175" xr3:uid="{55F05C6D-DEEE-43DB-823B-F1EC52E02818}" name="Column9170"/>
    <tableColumn id="9176" xr3:uid="{FD2DADEF-56FE-4F92-B79D-70D9F5B8110A}" name="Column9171"/>
    <tableColumn id="9177" xr3:uid="{351B54B3-58ED-4463-84C5-E18F0B83E099}" name="Column9172"/>
    <tableColumn id="9178" xr3:uid="{1BE798C8-7C5C-4FB7-A9B8-6E641A25A1D4}" name="Column9173"/>
    <tableColumn id="9179" xr3:uid="{E065746B-C575-4DD7-A247-A9FE914E515E}" name="Column9174"/>
    <tableColumn id="9180" xr3:uid="{296101F1-F97B-4221-B582-9B660B7F5191}" name="Column9175"/>
    <tableColumn id="9181" xr3:uid="{D6B9609E-182C-453D-9D13-802CC4B3316D}" name="Column9176"/>
    <tableColumn id="9182" xr3:uid="{890EFE94-FDB7-46A0-B2B9-2BE52990BBA9}" name="Column9177"/>
    <tableColumn id="9183" xr3:uid="{E1FD122C-58EC-4B99-BB78-4BC6DF64BCDD}" name="Column9178"/>
    <tableColumn id="9184" xr3:uid="{D35AE9E1-C51E-4EE0-8EDE-A366E83559D9}" name="Column9179"/>
    <tableColumn id="9185" xr3:uid="{BAF964B1-D1E4-4F7C-9CB2-037E0558AB8D}" name="Column9180"/>
    <tableColumn id="9186" xr3:uid="{1C570301-674F-4676-8CE1-D214E39B5961}" name="Column9181"/>
    <tableColumn id="9187" xr3:uid="{C0071E34-2C84-47FC-9B17-2B11B9BCA1BA}" name="Column9182"/>
    <tableColumn id="9188" xr3:uid="{11D9C325-D97A-489B-91A9-EC4B5280DFE6}" name="Column9183"/>
    <tableColumn id="9189" xr3:uid="{4D98EE91-4D14-42BA-B7C5-AADA2A606150}" name="Column9184"/>
    <tableColumn id="9190" xr3:uid="{2CAC3BC4-801F-4272-8C3F-C3A715E7B00B}" name="Column9185"/>
    <tableColumn id="9191" xr3:uid="{E749A72D-8976-4493-8B58-8131F9285AD6}" name="Column9186"/>
    <tableColumn id="9192" xr3:uid="{B7059849-A9A0-482C-8AD5-B4AFB4D3815E}" name="Column9187"/>
    <tableColumn id="9193" xr3:uid="{77BA565B-3FC6-4137-9D45-6E2B529468E3}" name="Column9188"/>
    <tableColumn id="9194" xr3:uid="{AE50F637-911C-4436-B59D-DD58C7A1A31A}" name="Column9189"/>
    <tableColumn id="9195" xr3:uid="{F6A0AEB9-36FA-48AF-A5B0-821D9164293E}" name="Column9190"/>
    <tableColumn id="9196" xr3:uid="{BBDE95FC-E1DE-4E5C-AFE3-74527EB5E189}" name="Column9191"/>
    <tableColumn id="9197" xr3:uid="{6CC6E0D6-FE97-4652-AE7B-F5C04A0B5209}" name="Column9192"/>
    <tableColumn id="9198" xr3:uid="{ADE695D2-3EA9-4C0C-A53E-8635A0BD1E86}" name="Column9193"/>
    <tableColumn id="9199" xr3:uid="{4909C72D-4A52-4A46-8E9E-AB0ADC423DC9}" name="Column9194"/>
    <tableColumn id="9200" xr3:uid="{46F82281-EA6D-48F3-8528-615FDC6B13BA}" name="Column9195"/>
    <tableColumn id="9201" xr3:uid="{3CFDE2EA-48DE-464D-A2C5-EB84B25A65C9}" name="Column9196"/>
    <tableColumn id="9202" xr3:uid="{498127C3-EBB3-4041-AA4E-09095D4E5C3E}" name="Column9197"/>
    <tableColumn id="9203" xr3:uid="{D6415567-FF2F-4014-87C5-1CD1B96513C6}" name="Column9198"/>
    <tableColumn id="9204" xr3:uid="{B81EE695-9F86-4215-84A1-648DB5E756C8}" name="Column9199"/>
    <tableColumn id="9205" xr3:uid="{1842515A-1274-438A-8F9B-EDCE0BC0DB89}" name="Column9200"/>
    <tableColumn id="9206" xr3:uid="{0910AF6E-C846-4EF0-8117-7F7BAC01EEB2}" name="Column9201"/>
    <tableColumn id="9207" xr3:uid="{ECD62E02-36F0-435D-AA73-D9D3292EB0C3}" name="Column9202"/>
    <tableColumn id="9208" xr3:uid="{05529A97-A68A-410F-8D26-5996E2703162}" name="Column9203"/>
    <tableColumn id="9209" xr3:uid="{ADE48654-7C3E-48BD-B162-6C30351BC468}" name="Column9204"/>
    <tableColumn id="9210" xr3:uid="{0179BCA1-DD7F-4805-AD9C-214399A1FE4E}" name="Column9205"/>
    <tableColumn id="9211" xr3:uid="{AB626081-0967-4F00-A764-5BD415EBACF3}" name="Column9206"/>
    <tableColumn id="9212" xr3:uid="{F42A7A0C-099B-4249-AE07-706FBD52A573}" name="Column9207"/>
    <tableColumn id="9213" xr3:uid="{F442AF23-069C-43A2-9AEA-268F0941480C}" name="Column9208"/>
    <tableColumn id="9214" xr3:uid="{F2C4291A-E5F8-46D6-B950-A0A2A497A280}" name="Column9209"/>
    <tableColumn id="9215" xr3:uid="{8ABBF837-E7A1-4764-B07B-EFB01264B3F1}" name="Column9210"/>
    <tableColumn id="9216" xr3:uid="{9B32D445-F5C9-4DB7-8237-5A6649159493}" name="Column9211"/>
    <tableColumn id="9217" xr3:uid="{C3A29ED1-7CC7-43CC-9DBA-8361A254A816}" name="Column9212"/>
    <tableColumn id="9218" xr3:uid="{2C943822-80D7-4860-9A04-99F58B3EAD81}" name="Column9213"/>
    <tableColumn id="9219" xr3:uid="{6385DD05-7626-46C6-BC9E-13E3B2E04D28}" name="Column9214"/>
    <tableColumn id="9220" xr3:uid="{CD4DB221-8CE5-41D3-81A3-D2F842AD511F}" name="Column9215"/>
    <tableColumn id="9221" xr3:uid="{DC548D37-8EF1-4AC0-BFB6-A18DDD02D30D}" name="Column9216"/>
    <tableColumn id="9222" xr3:uid="{66D87799-6EFC-4B9C-A74A-8FA6F800F599}" name="Column9217"/>
    <tableColumn id="9223" xr3:uid="{16E5B6BF-6CF9-48C6-AE92-222F9ACACB6D}" name="Column9218"/>
    <tableColumn id="9224" xr3:uid="{EC4E210A-CCB6-44F8-BDAE-868660F4F958}" name="Column9219"/>
    <tableColumn id="9225" xr3:uid="{433115E4-9B9F-4A1F-802D-0E4E39E07363}" name="Column9220"/>
    <tableColumn id="9226" xr3:uid="{2F7BD4BC-E31D-4D13-8DD6-BEE762986288}" name="Column9221"/>
    <tableColumn id="9227" xr3:uid="{C32A4C04-8C0B-401A-B496-96B3A99ECBCD}" name="Column9222"/>
    <tableColumn id="9228" xr3:uid="{15BB0A15-823A-4D6A-A455-CA99288238E1}" name="Column9223"/>
    <tableColumn id="9229" xr3:uid="{BA52CEF0-8A85-43AC-A25E-95BC98CE1FCF}" name="Column9224"/>
    <tableColumn id="9230" xr3:uid="{67D5F95F-6E7B-4E95-BF7E-90540242E8A3}" name="Column9225"/>
    <tableColumn id="9231" xr3:uid="{89E530E2-F9EB-4FB4-BDFB-35D6388193BC}" name="Column9226"/>
    <tableColumn id="9232" xr3:uid="{8408C1BB-7F16-48FD-A399-F149F52BC8AF}" name="Column9227"/>
    <tableColumn id="9233" xr3:uid="{E7D61BA4-12AA-4B33-86CA-B3850B7610F0}" name="Column9228"/>
    <tableColumn id="9234" xr3:uid="{11369AE8-A8B4-403D-BBCC-B3E6757CF3EC}" name="Column9229"/>
    <tableColumn id="9235" xr3:uid="{396C876B-E3E3-408A-A9D3-88BC95C58D02}" name="Column9230"/>
    <tableColumn id="9236" xr3:uid="{B69C0159-F95E-4A57-9791-911625F3CC6F}" name="Column9231"/>
    <tableColumn id="9237" xr3:uid="{934289BB-0088-448F-A531-45C8EB19E0D5}" name="Column9232"/>
    <tableColumn id="9238" xr3:uid="{43601811-4464-45A9-808D-4BCE19B0FB52}" name="Column9233"/>
    <tableColumn id="9239" xr3:uid="{70220F32-C2FB-42D8-BEBB-53C6F899B788}" name="Column9234"/>
    <tableColumn id="9240" xr3:uid="{08AE112D-40F5-4FF6-98C4-2AD6D546C31F}" name="Column9235"/>
    <tableColumn id="9241" xr3:uid="{AAB2B95A-9EA2-485E-9F9F-6BD1166F4E78}" name="Column9236"/>
    <tableColumn id="9242" xr3:uid="{C5D93E16-C604-4598-999E-BF9351AAEB43}" name="Column9237"/>
    <tableColumn id="9243" xr3:uid="{349A7F13-BE2D-4A0B-81D5-FC605A4C3B8B}" name="Column9238"/>
    <tableColumn id="9244" xr3:uid="{ED9026A8-B71A-4908-BC4B-EFA561F6DD70}" name="Column9239"/>
    <tableColumn id="9245" xr3:uid="{91380953-F255-4862-B7B9-5096A5CCA90B}" name="Column9240"/>
    <tableColumn id="9246" xr3:uid="{BCA39624-DE8B-4389-8AFC-6D161F8998D3}" name="Column9241"/>
    <tableColumn id="9247" xr3:uid="{08876394-3D28-4403-9DA6-01B2ADDFE063}" name="Column9242"/>
    <tableColumn id="9248" xr3:uid="{6F29BC59-9A12-4C91-A5D3-61AF9F65A380}" name="Column9243"/>
    <tableColumn id="9249" xr3:uid="{A50587EE-18C3-4378-9A05-0C6EBAD116A0}" name="Column9244"/>
    <tableColumn id="9250" xr3:uid="{3EF97C9C-04C1-40ED-9CA9-85043045A713}" name="Column9245"/>
    <tableColumn id="9251" xr3:uid="{8E322F81-1240-46C3-A2B9-109119CF9F47}" name="Column9246"/>
    <tableColumn id="9252" xr3:uid="{07249E63-21F1-4530-89CF-5D399EB4BDE0}" name="Column9247"/>
    <tableColumn id="9253" xr3:uid="{5F485BB2-10FD-42AA-B2EE-E0CAC73D62A3}" name="Column9248"/>
    <tableColumn id="9254" xr3:uid="{6A524A68-D9A3-4E0B-98BB-F3882A8C6FBD}" name="Column9249"/>
    <tableColumn id="9255" xr3:uid="{FB924383-CF73-45F4-9D13-2374B749C724}" name="Column9250"/>
    <tableColumn id="9256" xr3:uid="{C7AF5735-8501-4F83-A05A-D6F6CC9E77DF}" name="Column9251"/>
    <tableColumn id="9257" xr3:uid="{EA84C14C-9577-493C-B2A2-7FA30244C2EB}" name="Column9252"/>
    <tableColumn id="9258" xr3:uid="{86CD11EB-EC27-4F06-AF73-7937709B1BE1}" name="Column9253"/>
    <tableColumn id="9259" xr3:uid="{A92641F8-32EA-4E1D-AFC4-3AB96A7D84B3}" name="Column9254"/>
    <tableColumn id="9260" xr3:uid="{7683835E-78FF-4A69-AEB9-B3F5F2315044}" name="Column9255"/>
    <tableColumn id="9261" xr3:uid="{67441193-9C71-4BC6-87D7-FB52FB6A43B8}" name="Column9256"/>
    <tableColumn id="9262" xr3:uid="{7C80878E-97DE-4A27-A379-E1ADDD8956B9}" name="Column9257"/>
    <tableColumn id="9263" xr3:uid="{C9D4D09F-08A3-449C-B015-5D89D58DBB70}" name="Column9258"/>
    <tableColumn id="9264" xr3:uid="{BB0023E9-3716-47A0-BF13-D8C2F706E4DE}" name="Column9259"/>
    <tableColumn id="9265" xr3:uid="{C781B9E8-B3DF-4F66-A8F3-61ED46DC1D80}" name="Column9260"/>
    <tableColumn id="9266" xr3:uid="{FAF1AE52-3D81-4E80-AC57-5C08A717B8D5}" name="Column9261"/>
    <tableColumn id="9267" xr3:uid="{50C032A3-627C-4945-B65C-C26F5B2A3135}" name="Column9262"/>
    <tableColumn id="9268" xr3:uid="{2660B30F-A01D-4016-AE41-D5D545AE0A7A}" name="Column9263"/>
    <tableColumn id="9269" xr3:uid="{F3C5F619-3D58-4DC3-A5BA-E466D9F17ED7}" name="Column9264"/>
    <tableColumn id="9270" xr3:uid="{FB8CADFD-42D0-4735-A09C-4B6C81CB0833}" name="Column9265"/>
    <tableColumn id="9271" xr3:uid="{906A9D45-57B2-4B8A-A49F-F6EC0693DE72}" name="Column9266"/>
    <tableColumn id="9272" xr3:uid="{52FD6101-3ABF-40D2-B805-7FD84FDC40E2}" name="Column9267"/>
    <tableColumn id="9273" xr3:uid="{973C2DC4-E572-416A-8153-2BC2343C5986}" name="Column9268"/>
    <tableColumn id="9274" xr3:uid="{F50A7ED8-369F-461B-BD22-14774DE3F506}" name="Column9269"/>
    <tableColumn id="9275" xr3:uid="{D54059C3-ACB1-49A1-9A5B-7CAF91886509}" name="Column9270"/>
    <tableColumn id="9276" xr3:uid="{AE5BE8EF-86C5-420C-A413-2565364A9C01}" name="Column9271"/>
    <tableColumn id="9277" xr3:uid="{20CD6CF4-0A6D-45B3-8581-4F204BCF30FD}" name="Column9272"/>
    <tableColumn id="9278" xr3:uid="{80ADFFBD-FB5A-4F2B-A14E-F14B08EA3C39}" name="Column9273"/>
    <tableColumn id="9279" xr3:uid="{9CC74283-3CEC-4B08-A9BD-AC0019EC23E3}" name="Column9274"/>
    <tableColumn id="9280" xr3:uid="{7D5C71DB-9FAA-4808-9256-EBAD25202968}" name="Column9275"/>
    <tableColumn id="9281" xr3:uid="{4C898923-9927-49C8-8FDA-E16723596EEE}" name="Column9276"/>
    <tableColumn id="9282" xr3:uid="{8A062C28-9A06-45C7-A9D5-B1BA84AC7EC1}" name="Column9277"/>
    <tableColumn id="9283" xr3:uid="{5CF20F57-4EBF-4D6C-A807-BB77B88E7C3D}" name="Column9278"/>
    <tableColumn id="9284" xr3:uid="{06143D2D-D171-4E2B-9DB4-415561E5B6DD}" name="Column9279"/>
    <tableColumn id="9285" xr3:uid="{F9B05921-311C-47BD-BA3C-883682B4BAB9}" name="Column9280"/>
    <tableColumn id="9286" xr3:uid="{73C0E8B2-C9A4-4769-856D-5181B2D2F120}" name="Column9281"/>
    <tableColumn id="9287" xr3:uid="{E89B9DDA-D0CC-48AF-B100-C0831C13554E}" name="Column9282"/>
    <tableColumn id="9288" xr3:uid="{9D4DDD46-9C27-4DCA-B411-FBFC5A05C949}" name="Column9283"/>
    <tableColumn id="9289" xr3:uid="{C8690B55-E289-4219-BBCA-D5E7E1F19657}" name="Column9284"/>
    <tableColumn id="9290" xr3:uid="{25C80FB0-F3C0-46C5-9A4C-AF50F8E1254B}" name="Column9285"/>
    <tableColumn id="9291" xr3:uid="{8A68DC82-166D-4792-9948-40ECE7A5CDA6}" name="Column9286"/>
    <tableColumn id="9292" xr3:uid="{81A7D4AA-7808-483F-BB3D-788820D31386}" name="Column9287"/>
    <tableColumn id="9293" xr3:uid="{BFDF0F7A-E34C-4398-BF6A-8ED91127EBEB}" name="Column9288"/>
    <tableColumn id="9294" xr3:uid="{7B14F394-B2EA-4CB8-BEBD-4F5DE11041EE}" name="Column9289"/>
    <tableColumn id="9295" xr3:uid="{8A65CF50-4370-407D-A618-9977BBBDA3C7}" name="Column9290"/>
    <tableColumn id="9296" xr3:uid="{829A8A7A-F3E4-4E5A-86ED-28F947999314}" name="Column9291"/>
    <tableColumn id="9297" xr3:uid="{1C254B68-A80D-4A73-9D30-036312463C84}" name="Column9292"/>
    <tableColumn id="9298" xr3:uid="{1AD557DE-2276-4C44-B1C7-F71D88CB7CE5}" name="Column9293"/>
    <tableColumn id="9299" xr3:uid="{1FEF7239-60DF-42EE-9E97-105AA840F3F0}" name="Column9294"/>
    <tableColumn id="9300" xr3:uid="{A3505D60-103E-4A83-9D84-648CFEEE3E31}" name="Column9295"/>
    <tableColumn id="9301" xr3:uid="{D94C72D5-2350-44F9-BC84-4C222A082832}" name="Column9296"/>
    <tableColumn id="9302" xr3:uid="{67511737-DF1A-48C1-AF80-E922060EECF3}" name="Column9297"/>
    <tableColumn id="9303" xr3:uid="{BB8DA927-78A5-4B56-B4B4-C5476172A059}" name="Column9298"/>
    <tableColumn id="9304" xr3:uid="{BEF5F643-50DB-4472-BBCF-5821BF1BEC2B}" name="Column9299"/>
    <tableColumn id="9305" xr3:uid="{30B00BD3-C1A6-4CCB-8B97-09640E0946B3}" name="Column9300"/>
    <tableColumn id="9306" xr3:uid="{3FE7CE72-6AEC-44C9-914F-81F2AAF02214}" name="Column9301"/>
    <tableColumn id="9307" xr3:uid="{DECFBFE7-3560-414A-B86C-11BECFC7756D}" name="Column9302"/>
    <tableColumn id="9308" xr3:uid="{8409C4FA-C161-476F-90BA-3430BD278115}" name="Column9303"/>
    <tableColumn id="9309" xr3:uid="{9B0A6F37-A7F8-4F43-BB77-A34AA299F020}" name="Column9304"/>
    <tableColumn id="9310" xr3:uid="{2D03601F-BB8C-4EA2-9875-E5B6035CB1BC}" name="Column9305"/>
    <tableColumn id="9311" xr3:uid="{B12AC8BE-06B5-460D-8417-0706BA792D1F}" name="Column9306"/>
    <tableColumn id="9312" xr3:uid="{B72F0E51-F7A1-4405-9C93-BB6E673B3B07}" name="Column9307"/>
    <tableColumn id="9313" xr3:uid="{7B094269-D1CF-4C2C-BA1E-0F8157983CC1}" name="Column9308"/>
    <tableColumn id="9314" xr3:uid="{974CDC8E-31AF-4D9C-A037-A12F1B3EDE06}" name="Column9309"/>
    <tableColumn id="9315" xr3:uid="{D65D62FA-D769-48D3-8201-71AC868063F9}" name="Column9310"/>
    <tableColumn id="9316" xr3:uid="{02D906BF-22C7-4A0E-9AB9-3355606985E5}" name="Column9311"/>
    <tableColumn id="9317" xr3:uid="{33A8CA60-5D97-49AB-A8D0-8EAC0BC8522C}" name="Column9312"/>
    <tableColumn id="9318" xr3:uid="{E71403A5-7B22-4DB8-A04E-C14E41ECF9CF}" name="Column9313"/>
    <tableColumn id="9319" xr3:uid="{F3807E44-9F0F-4D08-8A66-A5D2A08477AA}" name="Column9314"/>
    <tableColumn id="9320" xr3:uid="{77D0F870-3677-469C-A4B3-A0DC87B25917}" name="Column9315"/>
    <tableColumn id="9321" xr3:uid="{9A3040CB-59EF-47D1-8034-10A7F2B4AB8C}" name="Column9316"/>
    <tableColumn id="9322" xr3:uid="{9830D284-BE9D-4F11-8BFF-9332010FD98E}" name="Column9317"/>
    <tableColumn id="9323" xr3:uid="{0E837346-538A-49CF-A8DD-7A5F825CC53E}" name="Column9318"/>
    <tableColumn id="9324" xr3:uid="{65D525B6-8C93-4CF0-9DCE-F42A6D3F6D70}" name="Column9319"/>
    <tableColumn id="9325" xr3:uid="{0D0C01F8-8EDD-4D88-BA48-4A93674EA177}" name="Column9320"/>
    <tableColumn id="9326" xr3:uid="{47555D56-C87C-4F46-B78C-7A33DC54963E}" name="Column9321"/>
    <tableColumn id="9327" xr3:uid="{763942EF-D000-42C5-BF0F-35A722EE8067}" name="Column9322"/>
    <tableColumn id="9328" xr3:uid="{D37ED600-3B57-4F18-B8D5-942EF00C53EC}" name="Column9323"/>
    <tableColumn id="9329" xr3:uid="{D97D8375-C077-4F60-916B-EB3F33696CF1}" name="Column9324"/>
    <tableColumn id="9330" xr3:uid="{E4860BAC-5AC0-4722-8242-524708A28EB1}" name="Column9325"/>
    <tableColumn id="9331" xr3:uid="{244053B9-D871-4FD4-B3F9-6DD57119C03F}" name="Column9326"/>
    <tableColumn id="9332" xr3:uid="{C54E89F7-0FB8-4225-A7CB-75D4CAC46E52}" name="Column9327"/>
    <tableColumn id="9333" xr3:uid="{792B85C7-DF18-4B15-B4E8-D3E84A963DF7}" name="Column9328"/>
    <tableColumn id="9334" xr3:uid="{25C3CCE5-D33E-4389-A9A8-ED907ACE8B28}" name="Column9329"/>
    <tableColumn id="9335" xr3:uid="{F68725CF-9794-4114-B7DF-2A7952658EA4}" name="Column9330"/>
    <tableColumn id="9336" xr3:uid="{6A049341-D22E-47D1-BDE0-6868FE1E6550}" name="Column9331"/>
    <tableColumn id="9337" xr3:uid="{B303D510-4687-4259-8E77-0326EF3E2706}" name="Column9332"/>
    <tableColumn id="9338" xr3:uid="{82121861-B995-43C7-99CD-7B2E3DA72036}" name="Column9333"/>
    <tableColumn id="9339" xr3:uid="{C20B3649-9943-446B-A189-AF905EE59471}" name="Column9334"/>
    <tableColumn id="9340" xr3:uid="{50584773-8224-456B-B1E8-E6C7BDC3BD69}" name="Column9335"/>
    <tableColumn id="9341" xr3:uid="{CD6FC569-8788-4B56-9200-70F75F1B925E}" name="Column9336"/>
    <tableColumn id="9342" xr3:uid="{1AA83F1C-3CB0-4C08-B9D4-083436652454}" name="Column9337"/>
    <tableColumn id="9343" xr3:uid="{69D25E00-3CAB-40F4-A489-4D3AE34FABC0}" name="Column9338"/>
    <tableColumn id="9344" xr3:uid="{B98C1D74-C4CB-4704-BCED-13CFA5247337}" name="Column9339"/>
    <tableColumn id="9345" xr3:uid="{0D85F962-F670-405D-BD38-CB97B3F7D5EA}" name="Column9340"/>
    <tableColumn id="9346" xr3:uid="{81694CA8-CC7F-41D9-9F38-90C283659329}" name="Column9341"/>
    <tableColumn id="9347" xr3:uid="{5F131219-6FA3-4981-B824-3A2BE272BED4}" name="Column9342"/>
    <tableColumn id="9348" xr3:uid="{9654ADA3-8DBB-4556-A2E8-754DC28D2FFD}" name="Column9343"/>
    <tableColumn id="9349" xr3:uid="{8D16E4F3-3CC8-4253-9A2B-70B72861C2C0}" name="Column9344"/>
    <tableColumn id="9350" xr3:uid="{5E9C5835-D672-4737-B1E6-C68C5D822464}" name="Column9345"/>
    <tableColumn id="9351" xr3:uid="{46246D55-ADDD-49E0-BEAD-CCD24D106D91}" name="Column9346"/>
    <tableColumn id="9352" xr3:uid="{C446F741-F151-4665-B6F1-DADC71C28ACE}" name="Column9347"/>
    <tableColumn id="9353" xr3:uid="{6D79ED96-D2C1-4303-AD84-C9FC2CC3E21A}" name="Column9348"/>
    <tableColumn id="9354" xr3:uid="{57B3122D-E71C-4780-9F5D-543C2D1DF59A}" name="Column9349"/>
    <tableColumn id="9355" xr3:uid="{1B4DDD01-69F9-4A06-935C-7AD4EB2C5E9C}" name="Column9350"/>
    <tableColumn id="9356" xr3:uid="{659960AF-9AD6-485D-A5CE-1B15CBC701C8}" name="Column9351"/>
    <tableColumn id="9357" xr3:uid="{03242BA2-88EE-42C9-93C6-5F22259E95AB}" name="Column9352"/>
    <tableColumn id="9358" xr3:uid="{3ABCE0EA-BFDC-42F2-A257-1F820580E01F}" name="Column9353"/>
    <tableColumn id="9359" xr3:uid="{E6C31BF1-0127-481C-9331-CB7B51C6D0E7}" name="Column9354"/>
    <tableColumn id="9360" xr3:uid="{C6C6F5A5-8487-4C22-ADFA-BF9C0092FCE9}" name="Column9355"/>
    <tableColumn id="9361" xr3:uid="{4DB3B427-EF53-41BA-A848-BF1AAEFD6BC2}" name="Column9356"/>
    <tableColumn id="9362" xr3:uid="{FBCC64A7-C6F8-465C-9B16-8EFE92F87196}" name="Column9357"/>
    <tableColumn id="9363" xr3:uid="{E797779E-9241-4EC1-B427-1D64C73F9071}" name="Column9358"/>
    <tableColumn id="9364" xr3:uid="{2895EF42-A4C9-4FD8-B3EC-FC69DD956956}" name="Column9359"/>
    <tableColumn id="9365" xr3:uid="{235F188C-2F1D-4D94-A503-D1238F495002}" name="Column9360"/>
    <tableColumn id="9366" xr3:uid="{B37BE725-C490-4011-BD5C-B4461A0CC523}" name="Column9361"/>
    <tableColumn id="9367" xr3:uid="{7866828B-DBAE-49E6-A142-F388C8F82C4C}" name="Column9362"/>
    <tableColumn id="9368" xr3:uid="{FB698AF0-D5D8-4A17-9FB7-74F74AE29617}" name="Column9363"/>
    <tableColumn id="9369" xr3:uid="{A2A06D42-3571-4817-A32C-424061DDFC22}" name="Column9364"/>
    <tableColumn id="9370" xr3:uid="{ACE2453C-9361-49EC-8FE1-81370B0C394A}" name="Column9365"/>
    <tableColumn id="9371" xr3:uid="{0F8C525F-B2C0-46B2-8AF6-14EA21BA9398}" name="Column9366"/>
    <tableColumn id="9372" xr3:uid="{FD15B030-32FA-42C5-9917-DF325A0E2E8D}" name="Column9367"/>
    <tableColumn id="9373" xr3:uid="{18F1C29C-89A2-44F7-9728-975114781CAB}" name="Column9368"/>
    <tableColumn id="9374" xr3:uid="{2158F2A7-F8A2-47F4-9A39-F8BD0F0F5469}" name="Column9369"/>
    <tableColumn id="9375" xr3:uid="{F4AC65C3-17AA-4932-8FBF-4A9177F14A57}" name="Column9370"/>
    <tableColumn id="9376" xr3:uid="{5B64F53B-0053-40F2-B1B7-5E223090EAA3}" name="Column9371"/>
    <tableColumn id="9377" xr3:uid="{856C2DF3-99E2-4101-BEED-F84D36A39B89}" name="Column9372"/>
    <tableColumn id="9378" xr3:uid="{855B995B-8276-4806-96EA-9B5DED6D7332}" name="Column9373"/>
    <tableColumn id="9379" xr3:uid="{9C5C413D-0E88-488F-9D90-A7B6542FF7AD}" name="Column9374"/>
    <tableColumn id="9380" xr3:uid="{74FA04F6-BAD1-4F74-9027-0FB34EE70582}" name="Column9375"/>
    <tableColumn id="9381" xr3:uid="{DCF5FB65-1A96-4AE5-80E4-2B448744BB39}" name="Column9376"/>
    <tableColumn id="9382" xr3:uid="{28C74B69-9663-4237-9E01-C85DC006CE82}" name="Column9377"/>
    <tableColumn id="9383" xr3:uid="{275E9285-E5FA-49E6-AE69-A575BDA07D54}" name="Column9378"/>
    <tableColumn id="9384" xr3:uid="{D83AF300-AAB8-4275-B822-F3D8DC40FDFC}" name="Column9379"/>
    <tableColumn id="9385" xr3:uid="{B21925EE-2861-4CDC-8F07-B0FC0C00206C}" name="Column9380"/>
    <tableColumn id="9386" xr3:uid="{B32A7B17-FC29-4153-94FB-17A1FE122843}" name="Column9381"/>
    <tableColumn id="9387" xr3:uid="{370FF034-6C80-456D-9B11-6E970C9A0AB3}" name="Column9382"/>
    <tableColumn id="9388" xr3:uid="{9FB99A1F-5DA9-4B2B-AC5A-AA13092CD303}" name="Column9383"/>
    <tableColumn id="9389" xr3:uid="{F0D42E7C-A73C-4200-AFE9-0392B6CDF7F0}" name="Column9384"/>
    <tableColumn id="9390" xr3:uid="{D1CE650C-F80E-4FBC-AEFE-404198A1EE1A}" name="Column9385"/>
    <tableColumn id="9391" xr3:uid="{8D0A3725-2DF1-4952-80D2-610527FFEADF}" name="Column9386"/>
    <tableColumn id="9392" xr3:uid="{B4A311BC-227A-4E84-93DC-9BFF9EF20F4C}" name="Column9387"/>
    <tableColumn id="9393" xr3:uid="{37B16D34-B86C-4652-9DA6-CFB9A50A47B2}" name="Column9388"/>
    <tableColumn id="9394" xr3:uid="{FB0A6C7C-BCCC-4AF9-A42B-54ADEB370EAE}" name="Column9389"/>
    <tableColumn id="9395" xr3:uid="{A7B97B90-046A-4DDE-8CDB-B245D088D6A3}" name="Column9390"/>
    <tableColumn id="9396" xr3:uid="{E3CC3880-34D4-4FC8-A598-B7B7220705F8}" name="Column9391"/>
    <tableColumn id="9397" xr3:uid="{CFBEC7A9-7022-41CB-9AC7-F0995E6439C7}" name="Column9392"/>
    <tableColumn id="9398" xr3:uid="{BC206F40-B114-45D4-98E6-F249ABB65E0A}" name="Column9393"/>
    <tableColumn id="9399" xr3:uid="{0916D29D-9078-490C-B1C8-3D3353DE470C}" name="Column9394"/>
    <tableColumn id="9400" xr3:uid="{F3906288-BAAF-4F1A-A481-A8A9F0CA85C3}" name="Column9395"/>
    <tableColumn id="9401" xr3:uid="{C9D9D7EF-B316-4198-9BF9-39F4FB815AA3}" name="Column9396"/>
    <tableColumn id="9402" xr3:uid="{7C75B9EC-D42E-4E08-A3FB-BF659C6CABFC}" name="Column9397"/>
    <tableColumn id="9403" xr3:uid="{3089EF68-856E-467E-ADFD-6700827B4581}" name="Column9398"/>
    <tableColumn id="9404" xr3:uid="{55695875-FDB5-49C9-A3DC-8F42EF6F8FB7}" name="Column9399"/>
    <tableColumn id="9405" xr3:uid="{4EF110BE-0A45-4E9F-9BA4-830887C56877}" name="Column9400"/>
    <tableColumn id="9406" xr3:uid="{DA672136-58E5-4376-A9AC-E4227935AC75}" name="Column9401"/>
    <tableColumn id="9407" xr3:uid="{37475F88-0B2D-491D-A81E-3358C6824ED8}" name="Column9402"/>
    <tableColumn id="9408" xr3:uid="{4ADBF3D0-11C9-4936-A65C-E4DCBB1875FC}" name="Column9403"/>
    <tableColumn id="9409" xr3:uid="{047AF8B5-0942-48E2-9D2D-7F1835BD2053}" name="Column9404"/>
    <tableColumn id="9410" xr3:uid="{C1493268-5E6B-432D-86C5-2B05F0472225}" name="Column9405"/>
    <tableColumn id="9411" xr3:uid="{F6AC23CA-515E-4F27-BA99-05F162A7A0D7}" name="Column9406"/>
    <tableColumn id="9412" xr3:uid="{EA190623-6E97-47E5-8EF3-82661E6AB37D}" name="Column9407"/>
    <tableColumn id="9413" xr3:uid="{003D00E1-845C-4382-BAD3-749764A0863A}" name="Column9408"/>
    <tableColumn id="9414" xr3:uid="{F49F7DFF-3D40-4DA6-892D-12613183E086}" name="Column9409"/>
    <tableColumn id="9415" xr3:uid="{23AC91E6-E34B-4563-AB88-403AEEDF6310}" name="Column9410"/>
    <tableColumn id="9416" xr3:uid="{68A74EED-7903-41E3-9345-EA2DFB6556D9}" name="Column9411"/>
    <tableColumn id="9417" xr3:uid="{06ED162B-0391-4C97-A4FE-EF9991517E92}" name="Column9412"/>
    <tableColumn id="9418" xr3:uid="{17B529DE-3497-4E27-8675-9A2B34EC8A97}" name="Column9413"/>
    <tableColumn id="9419" xr3:uid="{98D07B2B-AA77-41EA-B28B-269FC878BB94}" name="Column9414"/>
    <tableColumn id="9420" xr3:uid="{B02A2821-2CDA-4028-B402-B4AC4C409A9F}" name="Column9415"/>
    <tableColumn id="9421" xr3:uid="{A9DC21AE-0FFE-4EA2-9373-EC00DC651B0E}" name="Column9416"/>
    <tableColumn id="9422" xr3:uid="{3A3957AB-2310-405F-9AA0-7F25EE19D75B}" name="Column9417"/>
    <tableColumn id="9423" xr3:uid="{E74C581C-D878-46EF-81AE-FA41150B71F1}" name="Column9418"/>
    <tableColumn id="9424" xr3:uid="{24E052D3-4445-473B-8BAC-C0067DF3162E}" name="Column9419"/>
    <tableColumn id="9425" xr3:uid="{63CEBEB7-6D8F-4959-8AB5-B59A2CE9659E}" name="Column9420"/>
    <tableColumn id="9426" xr3:uid="{8ED5EB89-4F2B-4CD1-B9C8-5C586438CEF0}" name="Column9421"/>
    <tableColumn id="9427" xr3:uid="{F5A80990-7716-4D57-B84E-74FCAE027677}" name="Column9422"/>
    <tableColumn id="9428" xr3:uid="{DA713559-DF8C-47F2-8DED-245E0CC3D9E4}" name="Column9423"/>
    <tableColumn id="9429" xr3:uid="{BD6C6B46-BAF7-4870-AE3F-C732BA0F3FF5}" name="Column9424"/>
    <tableColumn id="9430" xr3:uid="{78BDE3F0-AEAF-4EFA-8F14-58966072E8CE}" name="Column9425"/>
    <tableColumn id="9431" xr3:uid="{2D558B69-ECF7-4770-8917-00004A7A4A4D}" name="Column9426"/>
    <tableColumn id="9432" xr3:uid="{A443250B-E016-4526-B9AD-58BD18777A59}" name="Column9427"/>
    <tableColumn id="9433" xr3:uid="{F721424B-9FAF-4F3E-B307-B8DFDEA2D904}" name="Column9428"/>
    <tableColumn id="9434" xr3:uid="{B7504D4A-9F45-4760-A68E-1E0B51630E5C}" name="Column9429"/>
    <tableColumn id="9435" xr3:uid="{057C447C-0A81-4ADC-875C-4CF85236909E}" name="Column9430"/>
    <tableColumn id="9436" xr3:uid="{58DE2D0F-7DC0-485D-91A3-CDA196D73EBD}" name="Column9431"/>
    <tableColumn id="9437" xr3:uid="{38B2DC96-0FEB-46E1-ACC3-01829805273D}" name="Column9432"/>
    <tableColumn id="9438" xr3:uid="{DD4BBF22-A14B-4E4F-8949-7F18279B9899}" name="Column9433"/>
    <tableColumn id="9439" xr3:uid="{C8FCC3A3-BCFD-4C60-92D4-B2FC2E6B68F7}" name="Column9434"/>
    <tableColumn id="9440" xr3:uid="{249A6992-431F-43A2-9569-F2C5A7F7C789}" name="Column9435"/>
    <tableColumn id="9441" xr3:uid="{B04819C9-FFAC-4F22-B812-229B2E18D42C}" name="Column9436"/>
    <tableColumn id="9442" xr3:uid="{2F966B55-D98D-4B74-9389-7F4AC51017AB}" name="Column9437"/>
    <tableColumn id="9443" xr3:uid="{1FC05F9C-A366-4CE6-8E71-216A57E6CA32}" name="Column9438"/>
    <tableColumn id="9444" xr3:uid="{731170B2-F19D-4BA8-B0FE-02EDCF3E8813}" name="Column9439"/>
    <tableColumn id="9445" xr3:uid="{DC945C99-7EDE-4A16-9D4A-05C270ECF254}" name="Column9440"/>
    <tableColumn id="9446" xr3:uid="{93BFCD45-67EC-4AD8-BF36-FA89CD245024}" name="Column9441"/>
    <tableColumn id="9447" xr3:uid="{23AC989F-8EB9-4F06-B699-345A40354522}" name="Column9442"/>
    <tableColumn id="9448" xr3:uid="{55CF464D-4622-4407-A8A4-337CD34348AD}" name="Column9443"/>
    <tableColumn id="9449" xr3:uid="{FCC0BE17-893C-4536-8C6B-8192A80EC5BF}" name="Column9444"/>
    <tableColumn id="9450" xr3:uid="{91172BD8-4504-41B8-BDF6-03CB89CE879A}" name="Column9445"/>
    <tableColumn id="9451" xr3:uid="{7BE891F5-B536-4E11-A4CB-E8DF2B94A8A7}" name="Column9446"/>
    <tableColumn id="9452" xr3:uid="{42E43236-2C83-46BF-BF76-3E6CD7128BF5}" name="Column9447"/>
    <tableColumn id="9453" xr3:uid="{0B508244-3F35-466F-8CFC-3521D92C76A1}" name="Column9448"/>
    <tableColumn id="9454" xr3:uid="{B7D9ACA1-F89D-4DA0-BE75-21D0612F1588}" name="Column9449"/>
    <tableColumn id="9455" xr3:uid="{D9CF3E81-0D41-4820-85CF-56960643280E}" name="Column9450"/>
    <tableColumn id="9456" xr3:uid="{2B619CA5-4DAB-405A-9D63-A3AA8B42EBE0}" name="Column9451"/>
    <tableColumn id="9457" xr3:uid="{8FFD998F-3652-434C-A616-AB324AEF28D7}" name="Column9452"/>
    <tableColumn id="9458" xr3:uid="{7FC4E5EC-882A-4E7A-B6F1-44321FE832EB}" name="Column9453"/>
    <tableColumn id="9459" xr3:uid="{E2AB97CE-3EC1-46F8-8098-7D0DA50C9ECB}" name="Column9454"/>
    <tableColumn id="9460" xr3:uid="{04A05CC5-FC93-44EE-A875-F9A8A8C5F44F}" name="Column9455"/>
    <tableColumn id="9461" xr3:uid="{84B6BBC5-10F5-4034-8E6F-D72AA8B6BFBF}" name="Column9456"/>
    <tableColumn id="9462" xr3:uid="{7EC6D38A-A5BB-4B8C-A431-D885080B93AF}" name="Column9457"/>
    <tableColumn id="9463" xr3:uid="{19FB3518-346F-4846-8A1B-FBD5989F612B}" name="Column9458"/>
    <tableColumn id="9464" xr3:uid="{6F753D9C-F2A9-4B91-AEB7-1307C5803943}" name="Column9459"/>
    <tableColumn id="9465" xr3:uid="{E9D925E7-6683-475B-BFD7-BAAD7820FD6B}" name="Column9460"/>
    <tableColumn id="9466" xr3:uid="{BD794D84-8BBA-40DD-B298-F718EC225321}" name="Column9461"/>
    <tableColumn id="9467" xr3:uid="{F6F86BA4-CDAA-4BFA-B7C5-B6182DBF3173}" name="Column9462"/>
    <tableColumn id="9468" xr3:uid="{EAD0E9F0-00FB-4458-A4B0-1D485F4A092D}" name="Column9463"/>
    <tableColumn id="9469" xr3:uid="{596E7C88-CB75-4AFF-AE1F-3047731F2C1C}" name="Column9464"/>
    <tableColumn id="9470" xr3:uid="{9392CE0C-D962-4FA5-80B6-618EF2B0F12C}" name="Column9465"/>
    <tableColumn id="9471" xr3:uid="{F1E07BF7-F372-4D2F-B28C-3EFD98640318}" name="Column9466"/>
    <tableColumn id="9472" xr3:uid="{2DE2B6B8-EB31-4A1D-B197-3CBBAD0DDB8C}" name="Column9467"/>
    <tableColumn id="9473" xr3:uid="{CFC974F0-4D08-409D-B7A1-88286AABBE18}" name="Column9468"/>
    <tableColumn id="9474" xr3:uid="{3628952D-0BD3-4BF6-9374-C05F2C21F755}" name="Column9469"/>
    <tableColumn id="9475" xr3:uid="{55762F57-3A02-4D00-B5F3-C27883737252}" name="Column9470"/>
    <tableColumn id="9476" xr3:uid="{2769EE61-59C7-4F42-A0BE-662415589A9F}" name="Column9471"/>
    <tableColumn id="9477" xr3:uid="{4089C379-4016-4203-ACD3-7916546D7E75}" name="Column9472"/>
    <tableColumn id="9478" xr3:uid="{2ADF9844-DBD2-474E-BE07-E34AD84A2BFA}" name="Column9473"/>
    <tableColumn id="9479" xr3:uid="{16201A4A-C0F4-471F-BEF5-9566EE814FCE}" name="Column9474"/>
    <tableColumn id="9480" xr3:uid="{C67C3E2F-42A1-47E1-8E82-93E134212530}" name="Column9475"/>
    <tableColumn id="9481" xr3:uid="{945928DA-226C-4413-8450-75488B37DE08}" name="Column9476"/>
    <tableColumn id="9482" xr3:uid="{267C6242-6ACD-4EC8-933E-2D285D8977DE}" name="Column9477"/>
    <tableColumn id="9483" xr3:uid="{BC3D2735-BF3A-46F0-B813-A96CE8EDC196}" name="Column9478"/>
    <tableColumn id="9484" xr3:uid="{C3FE29AE-2D76-4A0D-B34A-3617AA7C9292}" name="Column9479"/>
    <tableColumn id="9485" xr3:uid="{653101A3-EFB8-4B8E-863C-CF985E8C0950}" name="Column9480"/>
    <tableColumn id="9486" xr3:uid="{D64FC01B-F5AF-42D9-B445-51A61FE7A15C}" name="Column9481"/>
    <tableColumn id="9487" xr3:uid="{64700D94-5DAB-4B32-9990-61D8C4CC299B}" name="Column9482"/>
    <tableColumn id="9488" xr3:uid="{7FFFC31A-DE6F-4788-9133-B35D799E51E3}" name="Column9483"/>
    <tableColumn id="9489" xr3:uid="{B4D8BF6B-4C71-4611-834E-2496387B9A5A}" name="Column9484"/>
    <tableColumn id="9490" xr3:uid="{DDBD8C74-4C4B-4F16-8B77-69B3E545B0DC}" name="Column9485"/>
    <tableColumn id="9491" xr3:uid="{F1C241E4-0F9E-448F-AF7D-F9EA813B4BD3}" name="Column9486"/>
    <tableColumn id="9492" xr3:uid="{1CE992A3-41BC-497F-808B-0C31824131D7}" name="Column9487"/>
    <tableColumn id="9493" xr3:uid="{728F0434-2F38-4B56-BCC6-64AB4E3437DD}" name="Column9488"/>
    <tableColumn id="9494" xr3:uid="{FD05176A-6E36-4FD9-AB8E-4EB882BDF430}" name="Column9489"/>
    <tableColumn id="9495" xr3:uid="{308B8A55-178E-409C-A63A-61A0A7FB040D}" name="Column9490"/>
    <tableColumn id="9496" xr3:uid="{8F79F725-8A4D-4AAA-B932-41403A0D4068}" name="Column9491"/>
    <tableColumn id="9497" xr3:uid="{2ADEF543-D23E-42A5-8C2A-1F6D215F69CA}" name="Column9492"/>
    <tableColumn id="9498" xr3:uid="{6FEADD95-8C07-4557-B049-B9E50B61AC40}" name="Column9493"/>
    <tableColumn id="9499" xr3:uid="{80111421-4848-4E39-8A2A-0FDD8ED3EE79}" name="Column9494"/>
    <tableColumn id="9500" xr3:uid="{79E381B4-534B-4DF8-AFA7-3E106C27F8CF}" name="Column9495"/>
    <tableColumn id="9501" xr3:uid="{278BF686-3DBB-4082-BE6E-270F172D3BF6}" name="Column9496"/>
    <tableColumn id="9502" xr3:uid="{23A9E407-D615-4791-B8BE-2EB748481D44}" name="Column9497"/>
    <tableColumn id="9503" xr3:uid="{946D1E4A-EAA1-4308-9AC5-A18130A4ECB9}" name="Column9498"/>
    <tableColumn id="9504" xr3:uid="{20C1DD42-3EB1-4506-AFB8-6CE0AF68CDD7}" name="Column9499"/>
    <tableColumn id="9505" xr3:uid="{F138FCBA-8939-4974-91EB-EF8E706E1708}" name="Column9500"/>
    <tableColumn id="9506" xr3:uid="{0A80B630-F6F5-42AC-A253-D2E5D56765C6}" name="Column9501"/>
    <tableColumn id="9507" xr3:uid="{C6920E8A-1973-43FA-B7B1-C686E02CA8EA}" name="Column9502"/>
    <tableColumn id="9508" xr3:uid="{40AE6B56-3F25-4B1D-8FA7-7C09FBCAB47F}" name="Column9503"/>
    <tableColumn id="9509" xr3:uid="{A5ADD2E4-999A-4729-AFC0-D17B1C9B73BD}" name="Column9504"/>
    <tableColumn id="9510" xr3:uid="{193DF03C-68F0-4998-9875-91C81827A8B9}" name="Column9505"/>
    <tableColumn id="9511" xr3:uid="{4F7B1B4A-AF34-4718-ABB2-DBE87CBB7BFA}" name="Column9506"/>
    <tableColumn id="9512" xr3:uid="{0F69F875-98BB-496E-9B91-67E2195FE816}" name="Column9507"/>
    <tableColumn id="9513" xr3:uid="{962F2906-2B71-49C9-8001-3FE096F1C63E}" name="Column9508"/>
    <tableColumn id="9514" xr3:uid="{14A1A16E-A7D2-41D0-89F5-417C95FB3D28}" name="Column9509"/>
    <tableColumn id="9515" xr3:uid="{D4AA052D-F985-42FA-8829-7BD50D2B56EA}" name="Column9510"/>
    <tableColumn id="9516" xr3:uid="{9FD25369-E873-4E53-BD26-6907F846F555}" name="Column9511"/>
    <tableColumn id="9517" xr3:uid="{98826EBD-18E5-4B49-B86A-22E83D77A704}" name="Column9512"/>
    <tableColumn id="9518" xr3:uid="{285541E9-F27D-459A-B7C6-DEFD7F9DC0D2}" name="Column9513"/>
    <tableColumn id="9519" xr3:uid="{48F65615-9715-482F-9C18-AE5D9F8EDCE9}" name="Column9514"/>
    <tableColumn id="9520" xr3:uid="{C0A289A2-96CF-46A6-AD79-7DCDDD3F4A6C}" name="Column9515"/>
    <tableColumn id="9521" xr3:uid="{E66D8948-62FF-4A3E-A7E7-1BA3FCE8DFAF}" name="Column9516"/>
    <tableColumn id="9522" xr3:uid="{C343568F-4AB1-4150-AFDD-90870C266C02}" name="Column9517"/>
    <tableColumn id="9523" xr3:uid="{10136846-B1AF-4660-A81B-4605CF3E00C7}" name="Column9518"/>
    <tableColumn id="9524" xr3:uid="{23A088C5-C8D2-4253-875A-272FB5DC7879}" name="Column9519"/>
    <tableColumn id="9525" xr3:uid="{F399FAF1-FE2D-49EA-98C4-DC6669A53041}" name="Column9520"/>
    <tableColumn id="9526" xr3:uid="{F1B69998-ED3F-4F96-A269-155FD5C4491C}" name="Column9521"/>
    <tableColumn id="9527" xr3:uid="{F1D839AB-D9C1-4C62-9EA1-598142AC9423}" name="Column9522"/>
    <tableColumn id="9528" xr3:uid="{4A9B6684-3E90-4B0B-AFC8-D62E3BD27B54}" name="Column9523"/>
    <tableColumn id="9529" xr3:uid="{0D5C4398-4525-4C1C-8611-687CC5A61EF7}" name="Column9524"/>
    <tableColumn id="9530" xr3:uid="{8BEF06D0-8627-4B8E-B7E7-AB1E18CB8573}" name="Column9525"/>
    <tableColumn id="9531" xr3:uid="{852A3CE1-38EE-427F-BEB8-BAFA9D847CCC}" name="Column9526"/>
    <tableColumn id="9532" xr3:uid="{DD0B8ED3-CE37-4091-9111-18342F17FF4C}" name="Column9527"/>
    <tableColumn id="9533" xr3:uid="{A1E7056B-15C1-4D15-A19C-C24104851826}" name="Column9528"/>
    <tableColumn id="9534" xr3:uid="{6195F641-89BD-4589-A7E1-04A60571CA4F}" name="Column9529"/>
    <tableColumn id="9535" xr3:uid="{AC6CF456-257A-40E9-833A-75117B80EB90}" name="Column9530"/>
    <tableColumn id="9536" xr3:uid="{C33ACBF1-A208-4163-92E7-179792717E2E}" name="Column9531"/>
    <tableColumn id="9537" xr3:uid="{288C8AD1-44C2-48EE-8FAB-FB4625B08371}" name="Column9532"/>
    <tableColumn id="9538" xr3:uid="{D41ADEF6-87A0-4659-BFF6-35FCA46F3FA3}" name="Column9533"/>
    <tableColumn id="9539" xr3:uid="{0B3980B6-8001-411B-8777-0C8B2AE1B9D2}" name="Column9534"/>
    <tableColumn id="9540" xr3:uid="{C79EAEBA-BDDC-4DED-B3AB-9981CE76A7D9}" name="Column9535"/>
    <tableColumn id="9541" xr3:uid="{39EAB145-D5C6-4AFD-A7F1-10522F668303}" name="Column9536"/>
    <tableColumn id="9542" xr3:uid="{434113CE-6401-44FA-87BD-22D44A1A3552}" name="Column9537"/>
    <tableColumn id="9543" xr3:uid="{644CE4E3-C5E9-41C5-B944-47C1BF044CC8}" name="Column9538"/>
    <tableColumn id="9544" xr3:uid="{9D25CF12-3FC4-4BF5-A121-0A29C85C4F84}" name="Column9539"/>
    <tableColumn id="9545" xr3:uid="{1A887E21-A913-411F-991C-8D0BB0BC2F2B}" name="Column9540"/>
    <tableColumn id="9546" xr3:uid="{A39F25DF-88B2-4F4B-95D4-4A266932FFBE}" name="Column9541"/>
    <tableColumn id="9547" xr3:uid="{A484F5EC-FE76-4515-993C-2734B89F19A0}" name="Column9542"/>
    <tableColumn id="9548" xr3:uid="{07D4DA12-9F05-4E43-8D32-2A5DAB225EF1}" name="Column9543"/>
    <tableColumn id="9549" xr3:uid="{E378EB0D-F440-477E-B833-C18573942FEE}" name="Column9544"/>
    <tableColumn id="9550" xr3:uid="{CF6EDB5A-1B22-47B5-B625-7CC7E74BAFF5}" name="Column9545"/>
    <tableColumn id="9551" xr3:uid="{6826CF3B-74AA-4663-B694-A89922C1A49A}" name="Column9546"/>
    <tableColumn id="9552" xr3:uid="{1DC89B3E-6BCF-432F-9226-B5F92916674F}" name="Column9547"/>
    <tableColumn id="9553" xr3:uid="{FC309A7B-13EC-4208-98A7-556D695C6A66}" name="Column9548"/>
    <tableColumn id="9554" xr3:uid="{C82B6654-1FC9-403B-A0E2-BB2A7A34F4A5}" name="Column9549"/>
    <tableColumn id="9555" xr3:uid="{383311C3-919B-4432-AFCC-0765ACDE4E2F}" name="Column9550"/>
    <tableColumn id="9556" xr3:uid="{7B57A531-1387-4850-95E7-54A0829D3CBB}" name="Column9551"/>
    <tableColumn id="9557" xr3:uid="{F4633E8A-CE27-46E7-9BA4-27897A6170DF}" name="Column9552"/>
    <tableColumn id="9558" xr3:uid="{31E31172-1C03-43CE-AA33-0BB10EB81B19}" name="Column9553"/>
    <tableColumn id="9559" xr3:uid="{BF51D9E2-F4B4-4F1B-9CAF-15A353221F12}" name="Column9554"/>
    <tableColumn id="9560" xr3:uid="{082E1AB5-11C7-48B8-9F11-3A94A8B7506E}" name="Column9555"/>
    <tableColumn id="9561" xr3:uid="{1C399DEC-7349-4338-9BE6-2B9BB19400EA}" name="Column9556"/>
    <tableColumn id="9562" xr3:uid="{1A717E0A-A8A6-4461-870E-07160F2A70D5}" name="Column9557"/>
    <tableColumn id="9563" xr3:uid="{E25BFE5B-E5A0-44B6-8BA5-D37032075D9E}" name="Column9558"/>
    <tableColumn id="9564" xr3:uid="{BCB45CCB-D532-4E54-A3A0-C46BAFEE66F1}" name="Column9559"/>
    <tableColumn id="9565" xr3:uid="{9B10C36D-0581-43AB-B8DE-8B44D3075260}" name="Column9560"/>
    <tableColumn id="9566" xr3:uid="{5AA2817C-F6B9-4138-A9AB-3511B2BB9A25}" name="Column9561"/>
    <tableColumn id="9567" xr3:uid="{41737962-F904-4F13-A74C-16CE07382862}" name="Column9562"/>
    <tableColumn id="9568" xr3:uid="{BDDD3E46-203B-43CB-B27A-9D7A07E55B79}" name="Column9563"/>
    <tableColumn id="9569" xr3:uid="{2F95881E-60A5-4391-9323-60E9EBBEF2C5}" name="Column9564"/>
    <tableColumn id="9570" xr3:uid="{4982AA9F-F49C-4384-81BB-49CD5FB6A567}" name="Column9565"/>
    <tableColumn id="9571" xr3:uid="{94ADE8D6-78EE-4B99-969A-1E2D11ADD958}" name="Column9566"/>
    <tableColumn id="9572" xr3:uid="{CCDEF94F-EE3E-474B-BCDF-24DF5EEFB1AC}" name="Column9567"/>
    <tableColumn id="9573" xr3:uid="{FE8CE96E-77D8-4A34-8FBE-ECD9D194E58F}" name="Column9568"/>
    <tableColumn id="9574" xr3:uid="{93F54CAD-B244-40A7-9F73-CC7AD87F2D9D}" name="Column9569"/>
    <tableColumn id="9575" xr3:uid="{F9214A28-E03E-400A-A557-9ABF0ADC1735}" name="Column9570"/>
    <tableColumn id="9576" xr3:uid="{A9C1C4E9-1639-417B-9952-779C2E9A0227}" name="Column9571"/>
    <tableColumn id="9577" xr3:uid="{E2BDE03D-9E1D-4A34-919E-288F8247C652}" name="Column9572"/>
    <tableColumn id="9578" xr3:uid="{A7199557-71B5-4B31-8A0D-6AF33591A9A7}" name="Column9573"/>
    <tableColumn id="9579" xr3:uid="{3A9E8192-F7B0-49D3-9BC2-281D576E4B98}" name="Column9574"/>
    <tableColumn id="9580" xr3:uid="{EA06743A-028B-4AA1-8057-A538CD2938BD}" name="Column9575"/>
    <tableColumn id="9581" xr3:uid="{73C9C876-E968-4065-B334-CF6575869F2D}" name="Column9576"/>
    <tableColumn id="9582" xr3:uid="{125BF1C9-4740-418C-A98C-69BD2758E3B8}" name="Column9577"/>
    <tableColumn id="9583" xr3:uid="{461438C6-2781-43FF-B036-B5F7DA7E54E5}" name="Column9578"/>
    <tableColumn id="9584" xr3:uid="{5AA2D545-B3F3-42EB-A998-9B9FA73C5854}" name="Column9579"/>
    <tableColumn id="9585" xr3:uid="{23A289C4-82D4-4A1B-879F-7A506CDC0AB0}" name="Column9580"/>
    <tableColumn id="9586" xr3:uid="{6C8A29E5-5FD8-4B32-9746-8B39AAADD23C}" name="Column9581"/>
    <tableColumn id="9587" xr3:uid="{A5A15F2A-9798-49CE-A6CD-68AA9FAB0326}" name="Column9582"/>
    <tableColumn id="9588" xr3:uid="{6A33F3C8-0AA8-467C-8389-3B1686D365DF}" name="Column9583"/>
    <tableColumn id="9589" xr3:uid="{3AE740D0-5924-492D-9776-5D03A93FBB0D}" name="Column9584"/>
    <tableColumn id="9590" xr3:uid="{B5325EAB-E814-4671-A378-894DE091D425}" name="Column9585"/>
    <tableColumn id="9591" xr3:uid="{C304F396-9142-4EFC-82EC-BE11407C4CB5}" name="Column9586"/>
    <tableColumn id="9592" xr3:uid="{68169CB2-B807-4CE9-BBD3-2C7B747DBA7E}" name="Column9587"/>
    <tableColumn id="9593" xr3:uid="{D7295FAA-22FE-4E02-A82E-FB9DC76D6EA5}" name="Column9588"/>
    <tableColumn id="9594" xr3:uid="{4A51648E-98FB-4CA0-96F6-E6ECD784DCD5}" name="Column9589"/>
    <tableColumn id="9595" xr3:uid="{D91A05E9-4F00-4781-B7A1-4FC3855396D0}" name="Column9590"/>
    <tableColumn id="9596" xr3:uid="{119BE8E0-1AFD-4798-84F3-D20E14A5C681}" name="Column9591"/>
    <tableColumn id="9597" xr3:uid="{EE443CE4-A1F8-40E6-BB10-D79FDB8E7383}" name="Column9592"/>
    <tableColumn id="9598" xr3:uid="{F6BBB443-7DBD-4E2E-815A-B92997C7F38E}" name="Column9593"/>
    <tableColumn id="9599" xr3:uid="{39456896-F55B-4260-965C-5023DAC4D48C}" name="Column9594"/>
    <tableColumn id="9600" xr3:uid="{83F97D27-B894-41C1-8A17-0626298B7C9B}" name="Column9595"/>
    <tableColumn id="9601" xr3:uid="{0E97659D-37DA-43CF-9603-64F436BF9CFA}" name="Column9596"/>
    <tableColumn id="9602" xr3:uid="{3C1AFC29-F539-41FF-938F-A6927F466D91}" name="Column9597"/>
    <tableColumn id="9603" xr3:uid="{721A037A-F832-4200-880C-2D3A9B1BC137}" name="Column9598"/>
    <tableColumn id="9604" xr3:uid="{7AB9E774-2C59-4B87-881D-658D5027184D}" name="Column9599"/>
    <tableColumn id="9605" xr3:uid="{F44EC60A-CD46-4C26-ACC9-164061DD439C}" name="Column9600"/>
    <tableColumn id="9606" xr3:uid="{A6B3417E-8D39-4D15-995C-A2C24CC1A81D}" name="Column9601"/>
    <tableColumn id="9607" xr3:uid="{C1085051-8817-4521-987C-C03AA8BEC317}" name="Column9602"/>
    <tableColumn id="9608" xr3:uid="{9573697F-66A1-48EF-9B37-D9888349DA31}" name="Column9603"/>
    <tableColumn id="9609" xr3:uid="{FBB7CEA5-E349-42FE-89A0-FB0D6D91E142}" name="Column9604"/>
    <tableColumn id="9610" xr3:uid="{CE2F3804-59E8-4741-A8B9-7648E46E30DA}" name="Column9605"/>
    <tableColumn id="9611" xr3:uid="{13B900F2-39DB-4C1B-A595-F41C76D7C514}" name="Column9606"/>
    <tableColumn id="9612" xr3:uid="{80E26AB5-29F6-4523-A0F6-3687D2F730F8}" name="Column9607"/>
    <tableColumn id="9613" xr3:uid="{A0D38AFC-AC95-4E72-B391-5B0804E32C6D}" name="Column9608"/>
    <tableColumn id="9614" xr3:uid="{096FA145-F840-44BB-9301-26E40352E2C4}" name="Column9609"/>
    <tableColumn id="9615" xr3:uid="{0641C087-11F9-4593-834B-DC24C3561CFE}" name="Column9610"/>
    <tableColumn id="9616" xr3:uid="{96FFB042-E709-4F15-B2BC-653CC4FB9057}" name="Column9611"/>
    <tableColumn id="9617" xr3:uid="{A571C5DC-DCB2-4020-85DD-2148B160EF08}" name="Column9612"/>
    <tableColumn id="9618" xr3:uid="{64DECCE8-237F-4D65-BD63-2B9CB5228EE2}" name="Column9613"/>
    <tableColumn id="9619" xr3:uid="{4105EDD0-08E9-437A-A588-130A747EE3CF}" name="Column9614"/>
    <tableColumn id="9620" xr3:uid="{D4771892-91C1-4BD8-B682-05040DB39E83}" name="Column9615"/>
    <tableColumn id="9621" xr3:uid="{3EB2009A-2901-464A-B4FB-8050C2026E54}" name="Column9616"/>
    <tableColumn id="9622" xr3:uid="{A74CFB1A-2536-4A7F-98F3-2AFE5B4BD2A7}" name="Column9617"/>
    <tableColumn id="9623" xr3:uid="{31D638EC-5149-428E-8EE2-8040CD0B0B0A}" name="Column9618"/>
    <tableColumn id="9624" xr3:uid="{C21B46B8-6BE9-4612-8AC9-F4D4207E6D99}" name="Column9619"/>
    <tableColumn id="9625" xr3:uid="{2DF3B28E-44AB-4EAB-8B0D-6B27C85B74B9}" name="Column9620"/>
    <tableColumn id="9626" xr3:uid="{471B225C-6A52-46C1-B409-60E8C1D7B8B3}" name="Column9621"/>
    <tableColumn id="9627" xr3:uid="{5A0050A6-C214-407B-8EF5-63FC0FD9A80D}" name="Column9622"/>
    <tableColumn id="9628" xr3:uid="{D8870EB0-BAF3-498D-B1B6-97BC9992C2E7}" name="Column9623"/>
    <tableColumn id="9629" xr3:uid="{6ADFA44D-C8EB-4789-A15F-2C91D1865B99}" name="Column9624"/>
    <tableColumn id="9630" xr3:uid="{F3677AE9-1796-4CA4-A371-1A214F29C3D7}" name="Column9625"/>
    <tableColumn id="9631" xr3:uid="{10140F71-4EE1-4E56-9129-F3284872B1BF}" name="Column9626"/>
    <tableColumn id="9632" xr3:uid="{B621310F-CACD-4C99-9202-B1AA64A3D4B3}" name="Column9627"/>
    <tableColumn id="9633" xr3:uid="{F2A02152-97AB-44BA-9691-C3CB583E0539}" name="Column9628"/>
    <tableColumn id="9634" xr3:uid="{327A5829-ACE6-40C0-AA15-88A9A21FC480}" name="Column9629"/>
    <tableColumn id="9635" xr3:uid="{37D122E6-B697-4B31-9C80-6F91982D743E}" name="Column9630"/>
    <tableColumn id="9636" xr3:uid="{EB632006-C25A-4B86-BD4C-CEE50BE5ED9C}" name="Column9631"/>
    <tableColumn id="9637" xr3:uid="{5E6BB4C9-FA44-437D-94A5-0EC9AF54A474}" name="Column9632"/>
    <tableColumn id="9638" xr3:uid="{C2A2C024-1B4E-4A70-B03D-5B41BC57FC2F}" name="Column9633"/>
    <tableColumn id="9639" xr3:uid="{1C74F724-1474-4A6E-BF62-52D0245DDE4B}" name="Column9634"/>
    <tableColumn id="9640" xr3:uid="{49CDF438-78FC-4962-A5E9-A02C97355062}" name="Column9635"/>
    <tableColumn id="9641" xr3:uid="{F4F71533-79C9-4209-843C-4C2C38A6E630}" name="Column9636"/>
    <tableColumn id="9642" xr3:uid="{77FF1920-C90E-4614-B74A-AB4C312FC89E}" name="Column9637"/>
    <tableColumn id="9643" xr3:uid="{0245C6AA-2D63-4C19-BBF1-4E820A8CEF36}" name="Column9638"/>
    <tableColumn id="9644" xr3:uid="{CC7A8ED1-1D2F-4C46-82DB-A0455C393E21}" name="Column9639"/>
    <tableColumn id="9645" xr3:uid="{9A2EFA3C-BFBC-4AFD-BB27-D3EE4870103F}" name="Column9640"/>
    <tableColumn id="9646" xr3:uid="{AAB2B078-146D-41FB-93BD-D5A9C85B09A5}" name="Column9641"/>
    <tableColumn id="9647" xr3:uid="{D9A279B5-B5B5-4162-8FAA-063E412363B1}" name="Column9642"/>
    <tableColumn id="9648" xr3:uid="{07CB00A8-80C3-4139-B97C-1091538398A1}" name="Column9643"/>
    <tableColumn id="9649" xr3:uid="{05647186-90FD-42A7-A34B-5DDBF7F58604}" name="Column9644"/>
    <tableColumn id="9650" xr3:uid="{CEA973F3-5A7A-4D56-9186-4797ECE9162D}" name="Column9645"/>
    <tableColumn id="9651" xr3:uid="{AEAFC13E-F9D0-492B-B4CA-42D7E267C664}" name="Column9646"/>
    <tableColumn id="9652" xr3:uid="{746A327F-F466-42DA-B082-D49A1CE94AFC}" name="Column9647"/>
    <tableColumn id="9653" xr3:uid="{F9C2B4D4-587D-457B-9688-185AE1501E0D}" name="Column9648"/>
    <tableColumn id="9654" xr3:uid="{947376FF-D532-4940-BC78-A562FF475A1C}" name="Column9649"/>
    <tableColumn id="9655" xr3:uid="{6CC0C9A6-6AF2-441D-825C-F9E5E2CB6A3D}" name="Column9650"/>
    <tableColumn id="9656" xr3:uid="{D03750A4-FBE7-4C2D-ABEE-EFFC62F604A9}" name="Column9651"/>
    <tableColumn id="9657" xr3:uid="{4C337B1E-9AE8-4889-A554-085A955AB95C}" name="Column9652"/>
    <tableColumn id="9658" xr3:uid="{D10240EB-C103-4686-AAC1-C639977F04FD}" name="Column9653"/>
    <tableColumn id="9659" xr3:uid="{75D0BB24-734F-4BA8-992D-A3EA9A0FB731}" name="Column9654"/>
    <tableColumn id="9660" xr3:uid="{6821F61B-7598-49B6-925F-B428DFFE5CEA}" name="Column9655"/>
    <tableColumn id="9661" xr3:uid="{38A8216E-50EE-407B-8F33-29A583CDAB72}" name="Column9656"/>
    <tableColumn id="9662" xr3:uid="{B4D935A3-14E9-48AF-9D64-79E5D86B8392}" name="Column9657"/>
    <tableColumn id="9663" xr3:uid="{A056ACE2-30D9-4C2A-8986-15F80F08E31D}" name="Column9658"/>
    <tableColumn id="9664" xr3:uid="{DB248273-CE7A-469D-B4E8-40EEB86F786B}" name="Column9659"/>
    <tableColumn id="9665" xr3:uid="{81B40C1B-4F87-48E4-92EB-275DF2A8857D}" name="Column9660"/>
    <tableColumn id="9666" xr3:uid="{6BB70891-F98A-4CDF-A7F6-FA80EB1E5AA7}" name="Column9661"/>
    <tableColumn id="9667" xr3:uid="{9E242DCE-8433-455A-A4EE-21C2B4963914}" name="Column9662"/>
    <tableColumn id="9668" xr3:uid="{3892F135-F63D-461F-8405-3086F1D3D30A}" name="Column9663"/>
    <tableColumn id="9669" xr3:uid="{AB71558F-6FE2-4D08-AE42-0DBB7C860F48}" name="Column9664"/>
    <tableColumn id="9670" xr3:uid="{CD1B52DB-3C20-415C-9D4A-E0ED9EBBB0A9}" name="Column9665"/>
    <tableColumn id="9671" xr3:uid="{DE9A4346-AC3D-48E8-B436-C655906C5DB9}" name="Column9666"/>
    <tableColumn id="9672" xr3:uid="{74E04D64-B562-4D12-8631-02104D9AAAAA}" name="Column9667"/>
    <tableColumn id="9673" xr3:uid="{5F3C685C-3C59-439E-8462-C61538761FC7}" name="Column9668"/>
    <tableColumn id="9674" xr3:uid="{9E66271B-A567-41E1-86F4-ABA99A901C39}" name="Column9669"/>
    <tableColumn id="9675" xr3:uid="{ED2396DC-044F-44D7-8D98-23631B0A7668}" name="Column9670"/>
    <tableColumn id="9676" xr3:uid="{0DAF01E4-6B8F-4348-A3A4-D0E9DCD646DE}" name="Column9671"/>
    <tableColumn id="9677" xr3:uid="{EFEFCDEB-C0B1-41ED-890E-F25E89439172}" name="Column9672"/>
    <tableColumn id="9678" xr3:uid="{DD79FC22-25EA-4747-9AC5-73E879082588}" name="Column9673"/>
    <tableColumn id="9679" xr3:uid="{3C2E380E-0595-4814-B854-A82D0FDB3BFB}" name="Column9674"/>
    <tableColumn id="9680" xr3:uid="{DE80F8FD-A26A-4736-93B4-6E1B46E2DE1A}" name="Column9675"/>
    <tableColumn id="9681" xr3:uid="{280254E1-3571-4C71-ACB0-A529A513E843}" name="Column9676"/>
    <tableColumn id="9682" xr3:uid="{7A00322F-F7F5-4573-86A8-F59239876DC2}" name="Column9677"/>
    <tableColumn id="9683" xr3:uid="{F93B0154-DD51-4834-A69E-9A90C65C1651}" name="Column9678"/>
    <tableColumn id="9684" xr3:uid="{0FF19342-C851-4786-B42A-112587BD38FC}" name="Column9679"/>
    <tableColumn id="9685" xr3:uid="{36FCE8F2-4074-4A1E-B130-29371DEF30F3}" name="Column9680"/>
    <tableColumn id="9686" xr3:uid="{DD9F6D82-B89C-44E8-BD10-D9DEE4A64A0C}" name="Column9681"/>
    <tableColumn id="9687" xr3:uid="{00EE8A72-0AEE-4502-B2BA-FC3EE11F3BF6}" name="Column9682"/>
    <tableColumn id="9688" xr3:uid="{5A6FD1E7-13B9-4144-AA4D-F7407D4E03A3}" name="Column9683"/>
    <tableColumn id="9689" xr3:uid="{31AB255D-CAE9-42A6-A387-EBE6DF81EA13}" name="Column9684"/>
    <tableColumn id="9690" xr3:uid="{7A444122-835F-44CC-BEF0-A04C8F9866C8}" name="Column9685"/>
    <tableColumn id="9691" xr3:uid="{48101168-7246-4B30-A490-50E2A10882CA}" name="Column9686"/>
    <tableColumn id="9692" xr3:uid="{2D8EDDB3-BBF6-414E-9574-F14E7891DAD2}" name="Column9687"/>
    <tableColumn id="9693" xr3:uid="{76CCB947-C63D-4DDB-99A8-24E61C1671EB}" name="Column9688"/>
    <tableColumn id="9694" xr3:uid="{A8AAC8A9-4456-4C64-8335-69615F334BA3}" name="Column9689"/>
    <tableColumn id="9695" xr3:uid="{2C01845B-EDF4-4DDB-A6C8-1FD3AFA0143C}" name="Column9690"/>
    <tableColumn id="9696" xr3:uid="{C31A6036-4425-42CF-9E5D-8CC20F04BFBB}" name="Column9691"/>
    <tableColumn id="9697" xr3:uid="{8FFD3387-C12C-4720-964D-9371AE623DA0}" name="Column9692"/>
    <tableColumn id="9698" xr3:uid="{A16E6D13-7CB5-4AC6-8BA6-BBFD7E2C38A0}" name="Column9693"/>
    <tableColumn id="9699" xr3:uid="{9F721E79-0C05-4BF7-8EEB-4AE697D90A54}" name="Column9694"/>
    <tableColumn id="9700" xr3:uid="{71E7F116-7B76-41D0-8CD5-89DEBE0479E5}" name="Column9695"/>
    <tableColumn id="9701" xr3:uid="{322621F8-9B42-4C29-A8FB-012D369FD567}" name="Column9696"/>
    <tableColumn id="9702" xr3:uid="{5FD6C878-9036-4440-9051-B5FF2061CF88}" name="Column9697"/>
    <tableColumn id="9703" xr3:uid="{84F08DEB-54F8-43E6-9D7B-0BEC751CB0EB}" name="Column9698"/>
    <tableColumn id="9704" xr3:uid="{F3E2EA98-7C28-49C9-B19F-B88135875C9D}" name="Column9699"/>
    <tableColumn id="9705" xr3:uid="{2BF72E53-CED5-471C-B673-3DA8B9F8EF85}" name="Column9700"/>
    <tableColumn id="9706" xr3:uid="{E712A479-9C5B-4FB6-88E9-87EEB05C4D08}" name="Column9701"/>
    <tableColumn id="9707" xr3:uid="{9A05EE89-DB70-4502-BE73-9BDAEB069D09}" name="Column9702"/>
    <tableColumn id="9708" xr3:uid="{22ADB0B9-BF21-4C65-BF67-F2307AEBD9C0}" name="Column9703"/>
    <tableColumn id="9709" xr3:uid="{19B887CD-A330-426E-B19B-A1906D8F3DC3}" name="Column9704"/>
    <tableColumn id="9710" xr3:uid="{440A6395-3DFF-491C-95C7-D8CA5DD7C20E}" name="Column9705"/>
    <tableColumn id="9711" xr3:uid="{1535D323-ECC2-47A7-94D1-819152E2E288}" name="Column9706"/>
    <tableColumn id="9712" xr3:uid="{19BD101C-BDC3-4DFB-AFE4-61694AE90F58}" name="Column9707"/>
    <tableColumn id="9713" xr3:uid="{7C0B0921-37ED-413D-AA31-C63D06868ECB}" name="Column9708"/>
    <tableColumn id="9714" xr3:uid="{54C6A03C-3610-47A1-B54B-A1F933AEB799}" name="Column9709"/>
    <tableColumn id="9715" xr3:uid="{ACFA208D-EA29-4355-83B5-C34741876006}" name="Column9710"/>
    <tableColumn id="9716" xr3:uid="{250E1AF0-D67B-4C80-BA84-652ECA18E987}" name="Column9711"/>
    <tableColumn id="9717" xr3:uid="{F5B70537-8E7C-4033-B249-E5BC24493E96}" name="Column9712"/>
    <tableColumn id="9718" xr3:uid="{56EB54E7-C959-4E25-B9B1-F6441A18C0FF}" name="Column9713"/>
    <tableColumn id="9719" xr3:uid="{31F198A0-C96D-42C5-92FC-7EC7C4237DBA}" name="Column9714"/>
    <tableColumn id="9720" xr3:uid="{0D384C94-FA7A-4C41-82DF-86EA00655D82}" name="Column9715"/>
    <tableColumn id="9721" xr3:uid="{7A587005-6438-4905-A9A8-6C06FE187EC1}" name="Column9716"/>
    <tableColumn id="9722" xr3:uid="{65175E43-52E6-46F2-8A92-42402973478F}" name="Column9717"/>
    <tableColumn id="9723" xr3:uid="{979970C2-6515-4216-B629-0B8D01C8AADA}" name="Column9718"/>
    <tableColumn id="9724" xr3:uid="{3333BC7B-8C75-4FEC-955F-76DC87A049E5}" name="Column9719"/>
    <tableColumn id="9725" xr3:uid="{EAD2A979-7A06-4597-91B1-8C226B5A6F6B}" name="Column9720"/>
    <tableColumn id="9726" xr3:uid="{239AF48E-F917-4BBD-BE34-151BF83E057F}" name="Column9721"/>
    <tableColumn id="9727" xr3:uid="{4572CB9E-7C4A-4D4A-B4B3-C757260A6C06}" name="Column9722"/>
    <tableColumn id="9728" xr3:uid="{B81DC361-DD15-484E-9764-445659995710}" name="Column9723"/>
    <tableColumn id="9729" xr3:uid="{BD02EE5E-800F-4AF7-ACA0-5DF924B98E31}" name="Column9724"/>
    <tableColumn id="9730" xr3:uid="{3AD4368B-4BB1-4417-8EFC-7763AF86202A}" name="Column9725"/>
    <tableColumn id="9731" xr3:uid="{1019E415-A6D6-41A9-8804-76A417F0885D}" name="Column9726"/>
    <tableColumn id="9732" xr3:uid="{EC62791A-DA8C-40D9-B582-760BF3EC01D8}" name="Column9727"/>
    <tableColumn id="9733" xr3:uid="{4725C4A2-1AE0-4B58-B64B-293DFAA2FAB8}" name="Column9728"/>
    <tableColumn id="9734" xr3:uid="{22770A2B-9CC6-4D62-8974-AE929A5DA030}" name="Column9729"/>
    <tableColumn id="9735" xr3:uid="{0A127256-3A5F-4412-9107-1E22B6814780}" name="Column9730"/>
    <tableColumn id="9736" xr3:uid="{9113FE3B-2299-4802-BF02-1145ADCF3E5F}" name="Column9731"/>
    <tableColumn id="9737" xr3:uid="{B7CC5CEC-AADC-458D-8D8A-4F8539AB0DE0}" name="Column9732"/>
    <tableColumn id="9738" xr3:uid="{270B2EFB-4433-484A-968E-C172E1956910}" name="Column9733"/>
    <tableColumn id="9739" xr3:uid="{1E5EEF76-6B3D-4B1C-AC50-1915A0D21442}" name="Column9734"/>
    <tableColumn id="9740" xr3:uid="{E6B393C0-E4C7-4661-B05E-97E8E0341D5F}" name="Column9735"/>
    <tableColumn id="9741" xr3:uid="{831CAF84-61E0-44A7-B66B-D64C2F11AFAA}" name="Column9736"/>
    <tableColumn id="9742" xr3:uid="{E4801FC9-E3AC-4E24-AE2C-EB5E357AD009}" name="Column9737"/>
    <tableColumn id="9743" xr3:uid="{64B01355-05EA-4D8A-A541-AF04A63CD8F6}" name="Column9738"/>
    <tableColumn id="9744" xr3:uid="{CF9F328F-8DD0-4496-A9C8-FC79454A73F5}" name="Column9739"/>
    <tableColumn id="9745" xr3:uid="{8D8A1ABC-BB75-4EB4-846F-CFED30DA92FE}" name="Column9740"/>
    <tableColumn id="9746" xr3:uid="{232C6359-EFB3-4369-A428-E28D7F63DB65}" name="Column9741"/>
    <tableColumn id="9747" xr3:uid="{E40D8874-7CA6-479E-A547-7C1473CE6EB0}" name="Column9742"/>
    <tableColumn id="9748" xr3:uid="{D94D001A-0749-4F4F-9E9E-268B4E77A624}" name="Column9743"/>
    <tableColumn id="9749" xr3:uid="{91BFAB43-3989-48FE-A82B-A91D5ED9ECB9}" name="Column9744"/>
    <tableColumn id="9750" xr3:uid="{C02D0EE1-14C1-4E7B-A667-30D60F0D7D7D}" name="Column9745"/>
    <tableColumn id="9751" xr3:uid="{6B183F0E-EDB8-4D2B-9923-D67E43BB10FB}" name="Column9746"/>
    <tableColumn id="9752" xr3:uid="{1561E2FF-B002-445E-8A1D-A9E81C6AB15E}" name="Column9747"/>
    <tableColumn id="9753" xr3:uid="{F953AAB6-0D6A-4ED3-94E2-7E85CF4034DE}" name="Column9748"/>
    <tableColumn id="9754" xr3:uid="{5F6B09FF-43A3-431F-AA81-6A62F09C9727}" name="Column9749"/>
    <tableColumn id="9755" xr3:uid="{218595C7-E83D-4684-9550-5F00EC83BB8E}" name="Column9750"/>
    <tableColumn id="9756" xr3:uid="{786CCC41-EB68-4A85-AB33-AB575EC042B7}" name="Column9751"/>
    <tableColumn id="9757" xr3:uid="{BB842A41-AFD3-4110-83FA-66373E2300D8}" name="Column9752"/>
    <tableColumn id="9758" xr3:uid="{F70E6986-0EB1-41F8-B804-248EDFFDABA5}" name="Column9753"/>
    <tableColumn id="9759" xr3:uid="{74244CA1-1E60-4BE9-BA37-9EB2FF4C988A}" name="Column9754"/>
    <tableColumn id="9760" xr3:uid="{17C5992A-7848-485C-93C3-7A83E3ED3A28}" name="Column9755"/>
    <tableColumn id="9761" xr3:uid="{172DBD79-CE37-4D62-9C20-F0FEFA8EC865}" name="Column9756"/>
    <tableColumn id="9762" xr3:uid="{1C4D29A3-6AD9-4FE5-9D5B-0AD940A060B7}" name="Column9757"/>
    <tableColumn id="9763" xr3:uid="{828AFA7A-FE78-4A28-BD91-917028A588D0}" name="Column9758"/>
    <tableColumn id="9764" xr3:uid="{DB24ACC7-D6EB-4674-98B3-B8F55E0E0115}" name="Column9759"/>
    <tableColumn id="9765" xr3:uid="{2666F366-A82F-438E-B74C-76DFA9B847E0}" name="Column9760"/>
    <tableColumn id="9766" xr3:uid="{D6A41F4F-262D-4B2C-A9F5-324DF6305EB4}" name="Column9761"/>
    <tableColumn id="9767" xr3:uid="{905978E2-BD91-4430-9D21-205596754BBF}" name="Column9762"/>
    <tableColumn id="9768" xr3:uid="{98C68DE7-1411-4010-B7FA-EF8B9081D5B9}" name="Column9763"/>
    <tableColumn id="9769" xr3:uid="{6606780E-87B3-4365-8042-1B689611F707}" name="Column9764"/>
    <tableColumn id="9770" xr3:uid="{4785F631-6BD3-4901-899F-C8C105B9D6C8}" name="Column9765"/>
    <tableColumn id="9771" xr3:uid="{8D782A37-2C41-4ECB-A971-206C06EF9B73}" name="Column9766"/>
    <tableColumn id="9772" xr3:uid="{50A0453B-7589-4611-8AF9-AC62058303BB}" name="Column9767"/>
    <tableColumn id="9773" xr3:uid="{AB0E3EBA-C59D-4879-AAB0-DB0990A2D54D}" name="Column9768"/>
    <tableColumn id="9774" xr3:uid="{B6D91738-94AA-4EF5-98B9-CF48DB3D8498}" name="Column9769"/>
    <tableColumn id="9775" xr3:uid="{A6E93C24-6D0B-4B2A-905D-C3BB82B31868}" name="Column9770"/>
    <tableColumn id="9776" xr3:uid="{5F4CA343-1A0A-426F-B558-97BC58C1B2CF}" name="Column9771"/>
    <tableColumn id="9777" xr3:uid="{619F6B86-E22D-48C8-B10A-300AAE2E858C}" name="Column9772"/>
    <tableColumn id="9778" xr3:uid="{BAD02F11-2206-46C2-B946-BCB2EA8381F1}" name="Column9773"/>
    <tableColumn id="9779" xr3:uid="{A9ABEF87-B154-40F5-A059-2336563BF7AC}" name="Column9774"/>
    <tableColumn id="9780" xr3:uid="{C5578DDD-835C-41AA-9A2A-E2AEE0651E95}" name="Column9775"/>
    <tableColumn id="9781" xr3:uid="{C9A46F29-D8E6-4C2F-B86D-AAC273737327}" name="Column9776"/>
    <tableColumn id="9782" xr3:uid="{80D5B1E4-9C0C-4703-BE37-C47243B56C8C}" name="Column9777"/>
    <tableColumn id="9783" xr3:uid="{11DAABE7-3FB6-45F6-8DFC-C9C49F1337D3}" name="Column9778"/>
    <tableColumn id="9784" xr3:uid="{03029C3D-6FEA-47C9-991B-3E72A6815BB0}" name="Column9779"/>
    <tableColumn id="9785" xr3:uid="{D3554700-3185-4059-8FDE-1D0907A066CF}" name="Column9780"/>
    <tableColumn id="9786" xr3:uid="{99DB230B-DC47-4990-878E-32248F209325}" name="Column9781"/>
    <tableColumn id="9787" xr3:uid="{C7D778F5-AD75-48E1-808F-72F315D12BF7}" name="Column9782"/>
    <tableColumn id="9788" xr3:uid="{C408CE04-5A36-43EF-9F98-8E98CB3151B5}" name="Column9783"/>
    <tableColumn id="9789" xr3:uid="{7AD87920-07DA-4150-B145-B6B031DC7665}" name="Column9784"/>
    <tableColumn id="9790" xr3:uid="{DDBCA523-8781-47E5-BCBE-8A9024708FC7}" name="Column9785"/>
    <tableColumn id="9791" xr3:uid="{7F0ECE3D-424E-4368-B145-1BE340C93BD2}" name="Column9786"/>
    <tableColumn id="9792" xr3:uid="{084F844A-CB89-48F7-8A27-AE4064C54D51}" name="Column9787"/>
    <tableColumn id="9793" xr3:uid="{96BD85CA-4FE0-419B-98A8-BC68D8D3D1EC}" name="Column9788"/>
    <tableColumn id="9794" xr3:uid="{90F07377-6F64-4F20-830E-B7E97BA65B13}" name="Column9789"/>
    <tableColumn id="9795" xr3:uid="{E93F39E4-A66C-4D80-A9C6-A70959856CB9}" name="Column9790"/>
    <tableColumn id="9796" xr3:uid="{168EED7E-0FCE-4BA3-B37F-1D3EFCAAF167}" name="Column9791"/>
    <tableColumn id="9797" xr3:uid="{E20A517D-ECC4-402F-99EC-C9BCE1B18D6F}" name="Column9792"/>
    <tableColumn id="9798" xr3:uid="{DF2FD479-4E26-4224-A5A5-86F3A4047BFC}" name="Column9793"/>
    <tableColumn id="9799" xr3:uid="{F17E4CB3-6661-4656-AD2A-11F9D6B1DD28}" name="Column9794"/>
    <tableColumn id="9800" xr3:uid="{BBCCFF19-D0CC-4C24-85FE-4E3C8A629FDC}" name="Column9795"/>
    <tableColumn id="9801" xr3:uid="{39E0E092-BC39-416A-8574-974E4B783095}" name="Column9796"/>
    <tableColumn id="9802" xr3:uid="{D4661057-FAD2-47A8-A509-D1A05F8FC69A}" name="Column9797"/>
    <tableColumn id="9803" xr3:uid="{B3C3A50E-33C0-4D98-B67C-686FAB8974DF}" name="Column9798"/>
    <tableColumn id="9804" xr3:uid="{BCE2357B-BD2C-4AA2-A415-E8EF96DFCAF6}" name="Column9799"/>
    <tableColumn id="9805" xr3:uid="{DAFCA7B3-ABC1-4585-A88F-3110A45E81F4}" name="Column9800"/>
    <tableColumn id="9806" xr3:uid="{4654E4B6-6C48-4568-A35E-E47952A60602}" name="Column9801"/>
    <tableColumn id="9807" xr3:uid="{3E0FB0F9-E874-4E2E-A743-21F3556825C5}" name="Column9802"/>
    <tableColumn id="9808" xr3:uid="{A2E8568E-4EF0-4371-B953-2A10AEA52CD3}" name="Column9803"/>
    <tableColumn id="9809" xr3:uid="{4CF4A5BA-CF7F-42C4-A573-09C2151A5D24}" name="Column9804"/>
    <tableColumn id="9810" xr3:uid="{48894955-B5A2-4F0F-BE9D-B36AF97CC211}" name="Column9805"/>
    <tableColumn id="9811" xr3:uid="{DA271BA8-70C1-4AC9-BDCD-D5D73EB50811}" name="Column9806"/>
    <tableColumn id="9812" xr3:uid="{AA7DD273-EDBD-44C9-88BC-2CAD4C96475A}" name="Column9807"/>
    <tableColumn id="9813" xr3:uid="{8F2B482D-2C61-4F9E-9D24-C8CCA96CF8BC}" name="Column9808"/>
    <tableColumn id="9814" xr3:uid="{D1AEE6E3-76BC-4667-AC1F-D4FFA495DD4C}" name="Column9809"/>
    <tableColumn id="9815" xr3:uid="{3F54E629-81DC-4E30-9327-CBBAD46ACA25}" name="Column9810"/>
    <tableColumn id="9816" xr3:uid="{07B88DFD-40CF-4D5A-B165-27496DB0CD8A}" name="Column9811"/>
    <tableColumn id="9817" xr3:uid="{978A8327-3E57-49EE-905C-CF28EF921C28}" name="Column9812"/>
    <tableColumn id="9818" xr3:uid="{DB3421E4-05E4-42B9-85BA-E3E48CD9432B}" name="Column9813"/>
    <tableColumn id="9819" xr3:uid="{5F44B210-A793-4497-8E7A-417987DEDA5B}" name="Column9814"/>
    <tableColumn id="9820" xr3:uid="{ED1C7C95-FAD1-4B26-914C-AF0A8CE207DC}" name="Column9815"/>
    <tableColumn id="9821" xr3:uid="{3E1ED689-EDA7-4DA1-8C5B-7E2C663B6BB2}" name="Column9816"/>
    <tableColumn id="9822" xr3:uid="{D634DFF5-4A2A-48F7-9BB7-C07DB016448C}" name="Column9817"/>
    <tableColumn id="9823" xr3:uid="{8D4C993E-BF23-4758-AD7B-39FB001241E9}" name="Column9818"/>
    <tableColumn id="9824" xr3:uid="{E0309EB9-0305-446A-911D-6C77B03F0048}" name="Column9819"/>
    <tableColumn id="9825" xr3:uid="{AD7F6AB6-0E4B-4375-9E79-CFB68AEE78F5}" name="Column9820"/>
    <tableColumn id="9826" xr3:uid="{66A4B143-F4F8-43E8-908A-701EF0C1467E}" name="Column9821"/>
    <tableColumn id="9827" xr3:uid="{2D2C452C-5C46-4D8A-A403-ABE117D6FDEC}" name="Column9822"/>
    <tableColumn id="9828" xr3:uid="{E4670E5D-3CB6-4505-828D-9D262358E4CD}" name="Column9823"/>
    <tableColumn id="9829" xr3:uid="{7403FD34-F76A-4837-9894-1B1F2DB42CD0}" name="Column9824"/>
    <tableColumn id="9830" xr3:uid="{A6BD5274-1F00-41F9-A55F-8E09CB0B983E}" name="Column9825"/>
    <tableColumn id="9831" xr3:uid="{1D0474A3-A39D-46C5-B7BE-24225E984DAF}" name="Column9826"/>
    <tableColumn id="9832" xr3:uid="{27DF021C-D7C2-44A8-96E7-709A041CA7C2}" name="Column9827"/>
    <tableColumn id="9833" xr3:uid="{9ACEE234-6B9A-48F1-A761-E356C8CF708F}" name="Column9828"/>
    <tableColumn id="9834" xr3:uid="{4BD38E9E-57A6-4348-A21D-8D3D5E0DD094}" name="Column9829"/>
    <tableColumn id="9835" xr3:uid="{C019AAD2-E853-4E71-BA98-F0E282D86400}" name="Column9830"/>
    <tableColumn id="9836" xr3:uid="{198F2299-1034-4096-BA26-D0A592E9CE81}" name="Column9831"/>
    <tableColumn id="9837" xr3:uid="{B5FD0403-7547-4E0F-B5FF-08B083736A96}" name="Column9832"/>
    <tableColumn id="9838" xr3:uid="{71ACCAB6-9FAD-4755-A1AE-855B998B8C73}" name="Column9833"/>
    <tableColumn id="9839" xr3:uid="{A5A2C2BE-96A4-4C16-8385-65DEA339B7B4}" name="Column9834"/>
    <tableColumn id="9840" xr3:uid="{A53AC8E0-1590-42CE-9FC6-D810D8B4403B}" name="Column9835"/>
    <tableColumn id="9841" xr3:uid="{CD5B8490-4686-4CEA-987A-BDA2F1F7418C}" name="Column9836"/>
    <tableColumn id="9842" xr3:uid="{229609A5-86AB-400C-86A0-14C2B785294B}" name="Column9837"/>
    <tableColumn id="9843" xr3:uid="{B74190C0-C570-46F3-A305-8D332C1E100E}" name="Column9838"/>
    <tableColumn id="9844" xr3:uid="{100E7605-E1A6-4BF8-A180-7E19DB9F9263}" name="Column9839"/>
    <tableColumn id="9845" xr3:uid="{78D7502E-2569-49FF-B2C7-6549312D409A}" name="Column9840"/>
    <tableColumn id="9846" xr3:uid="{5DCF0DA8-1474-47A9-9F74-9F76CE3C023A}" name="Column9841"/>
    <tableColumn id="9847" xr3:uid="{3561301B-3EBD-4CFE-AAF9-8F28432D3230}" name="Column9842"/>
    <tableColumn id="9848" xr3:uid="{D3553D74-8C58-4B6E-942B-1645E42ECB6E}" name="Column9843"/>
    <tableColumn id="9849" xr3:uid="{AAFD849D-8637-4D14-BAF9-A0BE19533233}" name="Column9844"/>
    <tableColumn id="9850" xr3:uid="{CFD1F000-22E5-4750-81C9-9730B2741203}" name="Column9845"/>
    <tableColumn id="9851" xr3:uid="{FD0B0EBC-38FA-43D5-AECE-18D2F972A0E4}" name="Column9846"/>
    <tableColumn id="9852" xr3:uid="{D8DE7DE5-C8D0-4A2A-961F-892EB0B8BA8B}" name="Column9847"/>
    <tableColumn id="9853" xr3:uid="{5E8A0DE2-231D-4EE6-B4DF-8A83A9EFDEB2}" name="Column9848"/>
    <tableColumn id="9854" xr3:uid="{2D9A00C0-EA0A-408E-8854-2D800C5C6316}" name="Column9849"/>
    <tableColumn id="9855" xr3:uid="{66953EA9-00C6-4B1F-8A53-F8D05BBE6D2F}" name="Column9850"/>
    <tableColumn id="9856" xr3:uid="{9B9BA654-F49A-4968-B005-BF69F9BF1ACB}" name="Column9851"/>
    <tableColumn id="9857" xr3:uid="{DE75FADE-ABEE-47FA-A5C8-5810E74D75C8}" name="Column9852"/>
    <tableColumn id="9858" xr3:uid="{1971A06B-074E-4075-B113-CB8210F350BA}" name="Column9853"/>
    <tableColumn id="9859" xr3:uid="{F5038783-0741-4917-BF82-EB5F4482DDA5}" name="Column9854"/>
    <tableColumn id="9860" xr3:uid="{34681BF5-D961-4DBE-BF33-FD2564985CDA}" name="Column9855"/>
    <tableColumn id="9861" xr3:uid="{339EE694-392E-402E-972F-CEADC1EA72F0}" name="Column9856"/>
    <tableColumn id="9862" xr3:uid="{EF67DA2E-8A51-415B-A3C8-63EED1D92265}" name="Column9857"/>
    <tableColumn id="9863" xr3:uid="{EF7B5E72-F864-4433-88B2-A68E5A78C3B1}" name="Column9858"/>
    <tableColumn id="9864" xr3:uid="{3D2F9B21-6E5A-42D8-A003-77000F42CBF2}" name="Column9859"/>
    <tableColumn id="9865" xr3:uid="{4A0C87D6-D90D-4BA4-B54E-3B9E021EB1EB}" name="Column9860"/>
    <tableColumn id="9866" xr3:uid="{FE37692F-365A-449D-BFF6-A8F5D961965A}" name="Column9861"/>
    <tableColumn id="9867" xr3:uid="{F8EB71AB-E44A-4F1C-9C92-6016278A0620}" name="Column9862"/>
    <tableColumn id="9868" xr3:uid="{694488D6-6ED9-4581-9E2D-4F8EDFB6D66F}" name="Column9863"/>
    <tableColumn id="9869" xr3:uid="{E4D2E3F0-E751-462B-AB54-4DBFB25D023E}" name="Column9864"/>
    <tableColumn id="9870" xr3:uid="{7387ECEE-1009-4FED-9974-CACA549DD9F1}" name="Column9865"/>
    <tableColumn id="9871" xr3:uid="{00812270-CB5C-46BB-9275-63183089D873}" name="Column9866"/>
    <tableColumn id="9872" xr3:uid="{BFD08710-56DB-4D0C-B4A2-786CB8909D1A}" name="Column9867"/>
    <tableColumn id="9873" xr3:uid="{FB21574B-F668-4B20-A473-088D90CD0BA0}" name="Column9868"/>
    <tableColumn id="9874" xr3:uid="{DD0D60EF-B682-40C2-BA09-9BF2264BF022}" name="Column9869"/>
    <tableColumn id="9875" xr3:uid="{DC6B0BDB-86DF-408A-8826-05969DA584CA}" name="Column9870"/>
    <tableColumn id="9876" xr3:uid="{DB2C9DA1-19F8-4EDB-B1EE-B5904DF33E93}" name="Column9871"/>
    <tableColumn id="9877" xr3:uid="{1EBF9FC1-18BD-4A78-8C6A-F51F506B4698}" name="Column9872"/>
    <tableColumn id="9878" xr3:uid="{00905B4D-CD94-4A40-B5C9-88FADA93124D}" name="Column9873"/>
    <tableColumn id="9879" xr3:uid="{87FCF8AA-781E-415F-AA58-0DA99D3CE4E5}" name="Column9874"/>
    <tableColumn id="9880" xr3:uid="{23CA4304-F88E-4BF4-A274-67845D91DAD8}" name="Column9875"/>
    <tableColumn id="9881" xr3:uid="{A8E89DCB-C592-46E6-9795-CA68F7462C6F}" name="Column9876"/>
    <tableColumn id="9882" xr3:uid="{CA080E82-5BB5-4093-8C77-537228DD0FAE}" name="Column9877"/>
    <tableColumn id="9883" xr3:uid="{7ED48AED-0EBC-4445-9B35-D35CA00B270E}" name="Column9878"/>
    <tableColumn id="9884" xr3:uid="{9F8E3E0A-9296-4E3B-A9D6-1FB518027504}" name="Column9879"/>
    <tableColumn id="9885" xr3:uid="{62C6B2C1-E338-47F7-A4FF-495C6EC1A007}" name="Column9880"/>
    <tableColumn id="9886" xr3:uid="{CDCEE686-60FC-445E-8F33-DA692D835FB1}" name="Column9881"/>
    <tableColumn id="9887" xr3:uid="{2C4D4655-98D1-4227-9955-C3161DA29EE0}" name="Column9882"/>
    <tableColumn id="9888" xr3:uid="{1EB47DD9-1125-4AC4-AB2B-3F0A763DFE59}" name="Column9883"/>
    <tableColumn id="9889" xr3:uid="{7D761DD2-52BF-41C7-A669-29266EDAED21}" name="Column9884"/>
    <tableColumn id="9890" xr3:uid="{05EAB24A-1860-4ACC-833E-2A84712A8247}" name="Column9885"/>
    <tableColumn id="9891" xr3:uid="{612FCFC7-2EC7-4306-A598-179BDE11FB6F}" name="Column9886"/>
    <tableColumn id="9892" xr3:uid="{68EFE663-8DAD-4AF0-87F8-86EF763A2187}" name="Column9887"/>
    <tableColumn id="9893" xr3:uid="{E8AC3754-D102-4A79-8762-AEB0E3965484}" name="Column9888"/>
    <tableColumn id="9894" xr3:uid="{53083499-5F26-4C5B-A32D-BA91DF0C2C6D}" name="Column9889"/>
    <tableColumn id="9895" xr3:uid="{8E291899-72DE-450A-9E9E-A06A0111E7A6}" name="Column9890"/>
    <tableColumn id="9896" xr3:uid="{9BBA8104-CD78-47D3-BEB4-02DC5F174AB0}" name="Column9891"/>
    <tableColumn id="9897" xr3:uid="{22DD6E3A-67AA-4BB6-941D-AE653F7CBB3F}" name="Column9892"/>
    <tableColumn id="9898" xr3:uid="{5F3A1FDC-4D9C-4683-9FFB-263727C0C40E}" name="Column9893"/>
    <tableColumn id="9899" xr3:uid="{A3902307-924F-40CB-A3B8-0A9E76FBBA21}" name="Column9894"/>
    <tableColumn id="9900" xr3:uid="{52BB4DAE-C440-4B51-BAE8-02D0E6597F05}" name="Column9895"/>
    <tableColumn id="9901" xr3:uid="{6D7A944F-27E6-44BE-8D13-92CE16DD47E5}" name="Column9896"/>
    <tableColumn id="9902" xr3:uid="{073047C3-3CE3-421B-80D0-349F2930FFB2}" name="Column9897"/>
    <tableColumn id="9903" xr3:uid="{B3DF8139-AAF8-467D-92F0-AA5A1CF8B59C}" name="Column9898"/>
    <tableColumn id="9904" xr3:uid="{055F4342-3395-4DF3-95BF-E8049AAC9CF3}" name="Column9899"/>
    <tableColumn id="9905" xr3:uid="{EA7A58B2-2861-4978-9C91-A8BECE9549D3}" name="Column9900"/>
    <tableColumn id="9906" xr3:uid="{19E0EE66-D47E-49AC-AE09-01A8DD7006ED}" name="Column9901"/>
    <tableColumn id="9907" xr3:uid="{BAE6A887-9941-41FA-82BB-0CE605990388}" name="Column9902"/>
    <tableColumn id="9908" xr3:uid="{F6CC7084-E4CE-41D4-AC96-AF2950724EC8}" name="Column9903"/>
    <tableColumn id="9909" xr3:uid="{6439080A-A2A7-438B-A1F4-2B00E81CA494}" name="Column9904"/>
    <tableColumn id="9910" xr3:uid="{3CF5A74F-1FE1-46EB-92D3-80C836A102DB}" name="Column9905"/>
    <tableColumn id="9911" xr3:uid="{BFB9D5C6-4E82-49D8-9A4D-0BC9CECB2DF9}" name="Column9906"/>
    <tableColumn id="9912" xr3:uid="{6108C562-DB4A-40EF-836C-F97F3DB3B23B}" name="Column9907"/>
    <tableColumn id="9913" xr3:uid="{40855ABB-C217-45EB-9ECF-F5CF1E8DC293}" name="Column9908"/>
    <tableColumn id="9914" xr3:uid="{CB336A42-80BC-4667-A8A1-103C546B0859}" name="Column9909"/>
    <tableColumn id="9915" xr3:uid="{18A43FD2-8FCA-4C7A-8F7B-396F392AC867}" name="Column9910"/>
    <tableColumn id="9916" xr3:uid="{6E5D23D8-AF48-48D0-8475-E6A77B5AFF1B}" name="Column9911"/>
    <tableColumn id="9917" xr3:uid="{E7952748-E284-4081-BCAB-14BBD36E950B}" name="Column9912"/>
    <tableColumn id="9918" xr3:uid="{98FA24F9-AC03-4901-809A-7B4B0C3D14B7}" name="Column9913"/>
    <tableColumn id="9919" xr3:uid="{0DE089BB-1AE7-4849-9C8E-14EF61DD9A1A}" name="Column9914"/>
    <tableColumn id="9920" xr3:uid="{2D3446E5-1A20-4905-8A89-88165D9C0098}" name="Column9915"/>
    <tableColumn id="9921" xr3:uid="{1E941CBB-2A61-4A54-A02B-BF5707BFA004}" name="Column9916"/>
    <tableColumn id="9922" xr3:uid="{8D03EBE5-1A5F-4C9E-A9FB-5A49F9FED67D}" name="Column9917"/>
    <tableColumn id="9923" xr3:uid="{7F942A8B-E717-4567-9935-A7F25602FD8A}" name="Column9918"/>
    <tableColumn id="9924" xr3:uid="{5D9F12FA-35DA-40EF-B2D8-2179A54BDD1D}" name="Column9919"/>
    <tableColumn id="9925" xr3:uid="{F4005393-BFAB-44AB-BE13-B96CEB058C22}" name="Column9920"/>
    <tableColumn id="9926" xr3:uid="{5476EBC5-1CB7-4BD3-83BC-E02986E18820}" name="Column9921"/>
    <tableColumn id="9927" xr3:uid="{F7E6A63E-D96D-492E-A176-2944E03B5EF8}" name="Column9922"/>
    <tableColumn id="9928" xr3:uid="{A1668CBC-D45B-451E-AF06-D4667DC4B4A3}" name="Column9923"/>
    <tableColumn id="9929" xr3:uid="{A353FD39-7DBF-4598-8ADD-A6922A8986E8}" name="Column9924"/>
    <tableColumn id="9930" xr3:uid="{681F037C-88F2-458A-8C62-E4ECDB4B0186}" name="Column9925"/>
    <tableColumn id="9931" xr3:uid="{3A26C73C-1A97-408A-9785-4415C87546A4}" name="Column9926"/>
    <tableColumn id="9932" xr3:uid="{EFB1FE9C-E37F-4E02-8B92-9C36AF75B81B}" name="Column9927"/>
    <tableColumn id="9933" xr3:uid="{DB67423E-7928-4CD5-8F21-0FE9C252A1AE}" name="Column9928"/>
    <tableColumn id="9934" xr3:uid="{BCFF18FB-DE89-48DE-8314-EC22F77ADE32}" name="Column9929"/>
    <tableColumn id="9935" xr3:uid="{A2AA480C-A04D-4B8D-9375-6B7951EAB5C9}" name="Column9930"/>
    <tableColumn id="9936" xr3:uid="{2CD6D41A-FBF1-427E-A919-2DFD300CCDB0}" name="Column9931"/>
    <tableColumn id="9937" xr3:uid="{A90AF39E-A963-4BE7-A840-CAD09610E314}" name="Column9932"/>
    <tableColumn id="9938" xr3:uid="{ACFCE4FB-FAA5-4797-BF0A-BCC571C29D05}" name="Column9933"/>
    <tableColumn id="9939" xr3:uid="{645D5074-1E25-4621-9B47-84602EC22272}" name="Column9934"/>
    <tableColumn id="9940" xr3:uid="{2B69D2DA-E5F7-478C-B379-2C9A3E5E0AA9}" name="Column9935"/>
    <tableColumn id="9941" xr3:uid="{44C0D834-81E2-42BD-91D6-E60414CC0CBC}" name="Column9936"/>
    <tableColumn id="9942" xr3:uid="{7C3A4A6D-5AA4-4E02-8770-3BA88F305BD1}" name="Column9937"/>
    <tableColumn id="9943" xr3:uid="{176B036C-0FD1-4252-97A6-B9EEB9DD8D1B}" name="Column9938"/>
    <tableColumn id="9944" xr3:uid="{0B2B88A6-423C-4AD4-8EF4-85A0BEE5F15B}" name="Column9939"/>
    <tableColumn id="9945" xr3:uid="{E99428CD-C8FA-412C-BEFC-EFD940C32CFA}" name="Column9940"/>
    <tableColumn id="9946" xr3:uid="{63A80EE1-87EE-42C1-9D3C-68F3251B6E8F}" name="Column9941"/>
    <tableColumn id="9947" xr3:uid="{FBCAC7FC-F02B-4C95-A281-C766F5AF4075}" name="Column9942"/>
    <tableColumn id="9948" xr3:uid="{F6DACAE3-DA66-42AB-BB1B-90C43B528B8A}" name="Column9943"/>
    <tableColumn id="9949" xr3:uid="{C0674907-2384-4DB2-B79C-DAB7C578B9D7}" name="Column9944"/>
    <tableColumn id="9950" xr3:uid="{19009362-9391-4709-A951-E910382AD884}" name="Column9945"/>
    <tableColumn id="9951" xr3:uid="{D1DC3BBC-E060-4992-ABB4-06D9976A0437}" name="Column9946"/>
    <tableColumn id="9952" xr3:uid="{DC1A9A47-C476-4774-8A49-EF894762A301}" name="Column9947"/>
    <tableColumn id="9953" xr3:uid="{874D3F18-579A-4F47-BE35-81A35F7B753B}" name="Column9948"/>
    <tableColumn id="9954" xr3:uid="{EA6B007C-9297-477F-B31F-7858633A2D1E}" name="Column9949"/>
    <tableColumn id="9955" xr3:uid="{3D7CA347-94BE-40AA-965B-ACBFCED80F22}" name="Column9950"/>
    <tableColumn id="9956" xr3:uid="{BF90E850-0602-4C63-A756-FDE8F5CEFFBA}" name="Column9951"/>
    <tableColumn id="9957" xr3:uid="{81FE2EFC-3340-409E-9350-1072478054BA}" name="Column9952"/>
    <tableColumn id="9958" xr3:uid="{4AA77AB0-DCB8-42F7-8BF3-56ED1CD97D6F}" name="Column9953"/>
    <tableColumn id="9959" xr3:uid="{F5464EE4-8465-4BFB-A0C1-0CCF4C009BA9}" name="Column9954"/>
    <tableColumn id="9960" xr3:uid="{832A811F-14F3-4473-A755-1722CD6F11EC}" name="Column9955"/>
    <tableColumn id="9961" xr3:uid="{2D223FFA-9A01-47FD-BE97-660EB215B28E}" name="Column9956"/>
    <tableColumn id="9962" xr3:uid="{060EAC5A-158A-41EA-B377-2705805DE50B}" name="Column9957"/>
    <tableColumn id="9963" xr3:uid="{DF296F5D-AF75-4997-A337-C8111D05D3A3}" name="Column9958"/>
    <tableColumn id="9964" xr3:uid="{ED70C06D-B3C6-494E-9833-AE3A7287ED23}" name="Column9959"/>
    <tableColumn id="9965" xr3:uid="{A7E46391-9B76-4D6C-9DDD-3E06ABE00AB2}" name="Column9960"/>
    <tableColumn id="9966" xr3:uid="{3319F717-2D64-4D7D-9D07-0042BF44CED8}" name="Column9961"/>
    <tableColumn id="9967" xr3:uid="{2F059346-E2D8-4FE0-8081-3ACCEFAD53C6}" name="Column9962"/>
    <tableColumn id="9968" xr3:uid="{B5D0C00B-8055-4958-BFED-023A81B22513}" name="Column9963"/>
    <tableColumn id="9969" xr3:uid="{B3D290DD-5896-4138-9102-9B3AF27DC8C5}" name="Column9964"/>
    <tableColumn id="9970" xr3:uid="{FCA307E9-B582-4C77-9A03-306D98C64942}" name="Column9965"/>
    <tableColumn id="9971" xr3:uid="{DC4AEB79-B319-42B5-AA88-97724C48775A}" name="Column9966"/>
    <tableColumn id="9972" xr3:uid="{9FCDEF4E-B5BA-4407-84DE-B7039DA87C06}" name="Column9967"/>
    <tableColumn id="9973" xr3:uid="{708B113D-50AA-48A4-8F24-220D36EF0037}" name="Column9968"/>
    <tableColumn id="9974" xr3:uid="{ABA1BEFC-EF97-4059-B89D-663DD193243C}" name="Column9969"/>
    <tableColumn id="9975" xr3:uid="{94AE1086-0B2E-45CC-B99A-E1936D2F8F01}" name="Column9970"/>
    <tableColumn id="9976" xr3:uid="{D60AA865-D7AA-4BE3-8DCA-674F146C06F9}" name="Column9971"/>
    <tableColumn id="9977" xr3:uid="{88E1B11B-E27F-41CD-82AD-28C8B30DD299}" name="Column9972"/>
    <tableColumn id="9978" xr3:uid="{1E5EE6A1-CF3F-4F6C-AB20-A30E5B4D7878}" name="Column9973"/>
    <tableColumn id="9979" xr3:uid="{C7DDFC30-B903-4190-898C-26FAF0C58AB9}" name="Column9974"/>
    <tableColumn id="9980" xr3:uid="{0EE193E8-4963-4E67-B26E-25667154659A}" name="Column9975"/>
    <tableColumn id="9981" xr3:uid="{EAD20DF9-62C0-41EA-AEB0-948A922C8AF9}" name="Column9976"/>
    <tableColumn id="9982" xr3:uid="{96284B6D-9B57-418A-9BD3-E468F24E9DB6}" name="Column9977"/>
    <tableColumn id="9983" xr3:uid="{9DD32A0F-B083-4DEA-AB84-F77427D7027D}" name="Column9978"/>
    <tableColumn id="9984" xr3:uid="{6EAB84FB-52BF-429B-85C4-7CBEA664F1E3}" name="Column9979"/>
    <tableColumn id="9985" xr3:uid="{9ABA6061-CF3D-44D1-93C1-F125873DBE79}" name="Column9980"/>
    <tableColumn id="9986" xr3:uid="{756C937F-5FBA-4902-8712-A391B0AA1283}" name="Column9981"/>
    <tableColumn id="9987" xr3:uid="{A4A55770-D075-4DB3-8CCC-F20D7130A98F}" name="Column9982"/>
    <tableColumn id="9988" xr3:uid="{32C4A17A-EF76-4A32-85E7-F2F297F683F0}" name="Column9983"/>
    <tableColumn id="9989" xr3:uid="{B55AC1A8-F71C-4576-849B-B1BB5DAFACC2}" name="Column9984"/>
    <tableColumn id="9990" xr3:uid="{1687E2FA-9512-45D2-AE3C-56554366F071}" name="Column9985"/>
    <tableColumn id="9991" xr3:uid="{1AF059A2-0EB8-4A61-ACB0-9F3E620F7272}" name="Column9986"/>
    <tableColumn id="9992" xr3:uid="{1657C8A8-B6D3-456B-B35A-5E6C2F844C15}" name="Column9987"/>
    <tableColumn id="9993" xr3:uid="{A31B6988-30A8-4FED-8B21-E12274C34660}" name="Column9988"/>
    <tableColumn id="9994" xr3:uid="{4AD63BE7-E34C-46CF-9A6D-CDFB448D16A6}" name="Column9989"/>
    <tableColumn id="9995" xr3:uid="{021B85B3-D603-43C5-B898-99DD386508D5}" name="Column9990"/>
    <tableColumn id="9996" xr3:uid="{DA6E7A29-8667-4049-8951-DBF79DE540A4}" name="Column9991"/>
    <tableColumn id="9997" xr3:uid="{F54ED9B0-B6D4-443E-8F39-4CE5C2463F5E}" name="Column9992"/>
    <tableColumn id="9998" xr3:uid="{8CAF12B2-CF9F-435F-94DD-4A079921ACA9}" name="Column9993"/>
    <tableColumn id="9999" xr3:uid="{F6556D43-3C09-4C7E-A5BB-391F0A204A49}" name="Column9994"/>
    <tableColumn id="10000" xr3:uid="{8C1EC11F-6DA3-4F94-B4A1-61D99830D959}" name="Column9995"/>
    <tableColumn id="10001" xr3:uid="{F1DB5720-92EC-40E2-ACFC-A2E085BD8260}" name="Column9996"/>
    <tableColumn id="10002" xr3:uid="{B7CFC823-7036-48FB-9062-C5ABC1757D31}" name="Column9997"/>
    <tableColumn id="10003" xr3:uid="{C127AE37-6B19-4E2B-8CB1-E9EF08B20FC2}" name="Column9998"/>
    <tableColumn id="10004" xr3:uid="{A9FD4F18-1039-44F3-84AD-6FFE1EF88BFE}" name="Column9999"/>
    <tableColumn id="10005" xr3:uid="{BCE81FC4-4C52-44FC-A931-472333212B01}" name="Column10000"/>
    <tableColumn id="10006" xr3:uid="{DDA51D97-6EC8-44FD-81C7-DB6FD1F2B118}" name="Column10001"/>
    <tableColumn id="10007" xr3:uid="{A9F077C6-8EE1-488E-962D-CE920D30EB0F}" name="Column10002"/>
    <tableColumn id="10008" xr3:uid="{EB93A699-DBC9-4CFF-AC63-1818EE1146B4}" name="Column10003"/>
    <tableColumn id="10009" xr3:uid="{0805F5CD-DD90-46D1-9A26-4C8AED22CDBD}" name="Column10004"/>
    <tableColumn id="10010" xr3:uid="{152D702B-99CA-4B56-91E0-DE4F38381BA5}" name="Column10005"/>
    <tableColumn id="10011" xr3:uid="{95C471F7-05B1-4E5E-ADF0-AF744321F734}" name="Column10006"/>
    <tableColumn id="10012" xr3:uid="{1A80B306-CBFA-4D25-8C2C-66A0F86BB3D2}" name="Column10007"/>
    <tableColumn id="10013" xr3:uid="{769AD4C6-C7DB-4C24-B234-5ACE27EDA810}" name="Column10008"/>
    <tableColumn id="10014" xr3:uid="{E33C339D-FCFF-4268-A4D6-DA5E09CA70F0}" name="Column10009"/>
    <tableColumn id="10015" xr3:uid="{2696602A-AF0F-44C0-B003-6C546BFDA9B1}" name="Column10010"/>
    <tableColumn id="10016" xr3:uid="{75CCD87F-0C1B-4253-BA8B-A40B5A4C4762}" name="Column10011"/>
    <tableColumn id="10017" xr3:uid="{18F498C7-78FF-47D3-A627-92A656905DC4}" name="Column10012"/>
    <tableColumn id="10018" xr3:uid="{E67A7EE6-A9C9-4342-A7A0-B09E992DA743}" name="Column10013"/>
    <tableColumn id="10019" xr3:uid="{D83F6C2C-959D-4921-A3BE-8A3DD6252A92}" name="Column10014"/>
    <tableColumn id="10020" xr3:uid="{27C69124-5864-4BED-97A7-9CF09F5D9064}" name="Column10015"/>
    <tableColumn id="10021" xr3:uid="{2DE00BDE-B6EB-4B52-89E8-A62194DEC867}" name="Column10016"/>
    <tableColumn id="10022" xr3:uid="{49818614-7EB8-46E1-BDA9-D2D4D79C4C4F}" name="Column10017"/>
    <tableColumn id="10023" xr3:uid="{473A06A9-D820-452E-B439-6114CB22A8DC}" name="Column10018"/>
    <tableColumn id="10024" xr3:uid="{2B517E3E-551A-41BD-89BC-3D339C4D18F0}" name="Column10019"/>
    <tableColumn id="10025" xr3:uid="{CCBB8AE2-779E-4115-9371-4664D3B6F182}" name="Column10020"/>
    <tableColumn id="10026" xr3:uid="{0E5C3E70-6200-4CEB-96A9-CE126A282C80}" name="Column10021"/>
    <tableColumn id="10027" xr3:uid="{91E47FAB-768B-4E97-AC4B-A950231BCC48}" name="Column10022"/>
    <tableColumn id="10028" xr3:uid="{FE88C66A-EFD7-44AA-A068-8CF4914DB8D0}" name="Column10023"/>
    <tableColumn id="10029" xr3:uid="{A0C7E31A-BD89-4DB4-A6C0-7984173928FD}" name="Column10024"/>
    <tableColumn id="10030" xr3:uid="{AD5A68C2-8BFE-4FB4-BE79-3D37267CDC67}" name="Column10025"/>
    <tableColumn id="10031" xr3:uid="{8A51C538-3B22-44F7-968A-10961B97AFD5}" name="Column10026"/>
    <tableColumn id="10032" xr3:uid="{A8E4E3F7-FCA8-4B20-BB2F-C0D97B912B87}" name="Column10027"/>
    <tableColumn id="10033" xr3:uid="{0E81282E-626D-4308-9CFB-7B184E7CBB97}" name="Column10028"/>
    <tableColumn id="10034" xr3:uid="{1DA84533-6C98-4FF4-BF01-48A4281B15E6}" name="Column10029"/>
    <tableColumn id="10035" xr3:uid="{2ED9DEDE-67B0-4ABC-A9FF-F45876C96179}" name="Column10030"/>
    <tableColumn id="10036" xr3:uid="{BD25D339-5B1B-4005-92A1-9066E1462742}" name="Column10031"/>
    <tableColumn id="10037" xr3:uid="{DBB0722D-77A1-45BC-9F3F-1405BCF0DCDA}" name="Column10032"/>
    <tableColumn id="10038" xr3:uid="{6E00EC1C-D6A2-4CD3-8914-46B59579CB4F}" name="Column10033"/>
    <tableColumn id="10039" xr3:uid="{E6EB0B60-1FF0-4727-B066-1F1110A5B0C8}" name="Column10034"/>
    <tableColumn id="10040" xr3:uid="{0615B739-78E0-4841-A70E-D8E439EB10B3}" name="Column10035"/>
    <tableColumn id="10041" xr3:uid="{2BD53FA1-11EA-40C5-A9BC-08D54A9566BC}" name="Column10036"/>
    <tableColumn id="10042" xr3:uid="{99930558-42DA-487F-895D-961D552C4822}" name="Column10037"/>
    <tableColumn id="10043" xr3:uid="{F894861F-0B43-4124-BF85-26E224E7432F}" name="Column10038"/>
    <tableColumn id="10044" xr3:uid="{F7F2438C-D17A-4A2A-B5B2-367967EC5568}" name="Column10039"/>
    <tableColumn id="10045" xr3:uid="{B26DAC72-F5AD-4CE3-B088-A7B8A43F532F}" name="Column10040"/>
    <tableColumn id="10046" xr3:uid="{E9926529-8B9D-4EFF-A1FD-5D8715D33AB7}" name="Column10041"/>
    <tableColumn id="10047" xr3:uid="{3514CB96-2348-4A70-B8B0-A32C5FAD28A0}" name="Column10042"/>
    <tableColumn id="10048" xr3:uid="{CACB8369-389D-4C02-967A-B5B100BBA714}" name="Column10043"/>
    <tableColumn id="10049" xr3:uid="{25A45D0F-5217-4A69-8D51-F74F55FFE225}" name="Column10044"/>
    <tableColumn id="10050" xr3:uid="{A2FE580C-E263-483F-87D7-920009FFF0D3}" name="Column10045"/>
    <tableColumn id="10051" xr3:uid="{61270BBB-8D55-4823-A189-3919427423DE}" name="Column10046"/>
    <tableColumn id="10052" xr3:uid="{13388BE6-B428-49B8-BF94-46698B4268A9}" name="Column10047"/>
    <tableColumn id="10053" xr3:uid="{03018076-7636-478D-B43C-A6725B28F64F}" name="Column10048"/>
    <tableColumn id="10054" xr3:uid="{CBFE229B-C79E-4986-8552-44F9C76AFDD8}" name="Column10049"/>
    <tableColumn id="10055" xr3:uid="{C873FB51-99C7-49F7-998E-6F9D66C884F4}" name="Column10050"/>
    <tableColumn id="10056" xr3:uid="{724D6266-CB00-4882-9DB3-25B06A20DDEC}" name="Column10051"/>
    <tableColumn id="10057" xr3:uid="{E1D91CEF-0DBA-4A6D-95F8-4584FEB40C59}" name="Column10052"/>
    <tableColumn id="10058" xr3:uid="{E16C8A14-2EE4-42EC-B4F0-F88E9774FBEF}" name="Column10053"/>
    <tableColumn id="10059" xr3:uid="{242B4E4A-5E51-4F77-9B5F-18104F86CF69}" name="Column10054"/>
    <tableColumn id="10060" xr3:uid="{A148E626-2E40-4155-8A94-1543A4F15112}" name="Column10055"/>
    <tableColumn id="10061" xr3:uid="{5B0E59C8-250C-40EF-BC3A-4455ACBE5D34}" name="Column10056"/>
    <tableColumn id="10062" xr3:uid="{95C27665-02AB-49FE-A770-021D2A02AC9C}" name="Column10057"/>
    <tableColumn id="10063" xr3:uid="{8AD5D480-913B-4EE9-9014-1A27109C88ED}" name="Column10058"/>
    <tableColumn id="10064" xr3:uid="{2BDE6611-85AB-4546-A44D-08169F5A15D0}" name="Column10059"/>
    <tableColumn id="10065" xr3:uid="{7E8F2302-42C9-4DF6-83CE-B1BF6CEEF71C}" name="Column10060"/>
    <tableColumn id="10066" xr3:uid="{8A2CBC22-AC9F-4D05-BB82-295A294A2FF5}" name="Column10061"/>
    <tableColumn id="10067" xr3:uid="{09393ACE-89D8-48B4-8138-64D09AEE88BB}" name="Column10062"/>
    <tableColumn id="10068" xr3:uid="{265225EC-18AA-493F-8295-995B32A1A366}" name="Column10063"/>
    <tableColumn id="10069" xr3:uid="{1C33117C-E1C7-4D3E-AC06-9EB3C5D663BA}" name="Column10064"/>
    <tableColumn id="10070" xr3:uid="{CAE416C4-D5F7-483B-B3CB-D2146A5580EC}" name="Column10065"/>
    <tableColumn id="10071" xr3:uid="{8EBDB1DB-9499-43B1-948A-026AA091A09C}" name="Column10066"/>
    <tableColumn id="10072" xr3:uid="{028EC99B-4035-4200-8979-572B69E5AC8E}" name="Column10067"/>
    <tableColumn id="10073" xr3:uid="{2E50F40D-871E-482C-8FD6-24865D4E5BB5}" name="Column10068"/>
    <tableColumn id="10074" xr3:uid="{126901F9-42FD-4F30-841C-4856D2F3401D}" name="Column10069"/>
    <tableColumn id="10075" xr3:uid="{978385C5-A531-42EB-BA4A-CA7AF2FA0A9C}" name="Column10070"/>
    <tableColumn id="10076" xr3:uid="{8A2F948E-63A4-4E87-9348-F2F8CE4FB595}" name="Column10071"/>
    <tableColumn id="10077" xr3:uid="{AE3CEA7D-BC2D-4875-A3A1-75710451DFD1}" name="Column10072"/>
    <tableColumn id="10078" xr3:uid="{3336723F-7F88-49A3-9B46-D4966F641F8D}" name="Column10073"/>
    <tableColumn id="10079" xr3:uid="{AECF2CDE-C079-40EE-846B-239B487724DD}" name="Column10074"/>
    <tableColumn id="10080" xr3:uid="{DC5672D9-9BA6-43C2-973C-66204A2CE830}" name="Column10075"/>
    <tableColumn id="10081" xr3:uid="{FCF6114C-9979-4CF7-920D-BB5D2ADBDDEF}" name="Column10076"/>
    <tableColumn id="10082" xr3:uid="{1AEF209A-3D68-4045-9846-3806D8E5550E}" name="Column10077"/>
    <tableColumn id="10083" xr3:uid="{A186D4AE-4848-4D6A-9465-5A44E08B3E8B}" name="Column10078"/>
    <tableColumn id="10084" xr3:uid="{5CADC459-67F4-472D-83F4-2EA39474355C}" name="Column10079"/>
    <tableColumn id="10085" xr3:uid="{FF71066A-36E1-4BAD-A1E3-BBA17C315A84}" name="Column10080"/>
    <tableColumn id="10086" xr3:uid="{6541ED4F-0960-4B88-B2E2-2B68BDD11B45}" name="Column10081"/>
    <tableColumn id="10087" xr3:uid="{FD6ABF52-0F7E-457B-A986-88ADB2898F2A}" name="Column10082"/>
    <tableColumn id="10088" xr3:uid="{FD4240E3-21E9-46BE-BCCD-B1CDD142DC88}" name="Column10083"/>
    <tableColumn id="10089" xr3:uid="{1B1036D0-6830-4B89-9045-5EAFD1DC39E2}" name="Column10084"/>
    <tableColumn id="10090" xr3:uid="{2A5E8034-DE91-4EB3-A352-962329CD7090}" name="Column10085"/>
    <tableColumn id="10091" xr3:uid="{2B67ED0A-0CB6-46A6-8F2E-AB5B28513DAE}" name="Column10086"/>
    <tableColumn id="10092" xr3:uid="{0524A397-A95A-48CC-9233-3DD784B2AE65}" name="Column10087"/>
    <tableColumn id="10093" xr3:uid="{4BAF888F-56D8-4DC7-8977-B014A07EFE90}" name="Column10088"/>
    <tableColumn id="10094" xr3:uid="{049AFCA2-913B-44D7-B5AB-7F53C30D916F}" name="Column10089"/>
    <tableColumn id="10095" xr3:uid="{617C6AE1-692D-4CBE-A440-85A7BA9ED8DB}" name="Column10090"/>
    <tableColumn id="10096" xr3:uid="{54F03EC4-699D-48CE-BA52-3AFA09FFF3AE}" name="Column10091"/>
    <tableColumn id="10097" xr3:uid="{4DBCD68A-34B2-47C9-8D73-CF2C1901D4FE}" name="Column10092"/>
    <tableColumn id="10098" xr3:uid="{6554F88B-62FF-4EFD-8BAC-8BB4BE03ACF3}" name="Column10093"/>
    <tableColumn id="10099" xr3:uid="{F0914D75-F54D-4F00-A587-9847BC8A86F0}" name="Column10094"/>
    <tableColumn id="10100" xr3:uid="{04B68AC1-BF44-4FE3-ACBD-D1F1B646DFC5}" name="Column10095"/>
    <tableColumn id="10101" xr3:uid="{307D4885-C3DE-4534-A527-D93E58655774}" name="Column10096"/>
    <tableColumn id="10102" xr3:uid="{454895DC-26B8-4C71-89D5-C05781850D06}" name="Column10097"/>
    <tableColumn id="10103" xr3:uid="{288CCC77-57AF-418B-8DFF-895F1CB7C7B5}" name="Column10098"/>
    <tableColumn id="10104" xr3:uid="{71D2E297-478D-4650-AB4C-BEBE9F482EF8}" name="Column10099"/>
    <tableColumn id="10105" xr3:uid="{E548671E-D56C-46CD-A645-B3F867289344}" name="Column10100"/>
    <tableColumn id="10106" xr3:uid="{93AB024D-59D0-4607-A41C-F87B69BB9E30}" name="Column10101"/>
    <tableColumn id="10107" xr3:uid="{210AC35D-F83A-425F-95F9-999A8044C8E1}" name="Column10102"/>
    <tableColumn id="10108" xr3:uid="{1A0AB3B8-034D-4310-8837-2482630B2A24}" name="Column10103"/>
    <tableColumn id="10109" xr3:uid="{6D054000-43E1-4F36-8E2F-85AD0AEBF090}" name="Column10104"/>
    <tableColumn id="10110" xr3:uid="{70DF627F-FE98-4288-89CB-D8045C79D87F}" name="Column10105"/>
    <tableColumn id="10111" xr3:uid="{F259F6CB-B5FF-44B5-B889-C59E0C72E5B1}" name="Column10106"/>
    <tableColumn id="10112" xr3:uid="{297EFC8C-BCEB-4EF8-BF59-38B350AAD358}" name="Column10107"/>
    <tableColumn id="10113" xr3:uid="{E317EBC4-5A51-4A27-9E0F-2A38EE526F5B}" name="Column10108"/>
    <tableColumn id="10114" xr3:uid="{C470A3C5-CA8B-449D-8BB7-895B6BFF4274}" name="Column10109"/>
    <tableColumn id="10115" xr3:uid="{EB3B3D51-2C9F-4A18-A46E-3B804A4430BA}" name="Column10110"/>
    <tableColumn id="10116" xr3:uid="{95795E01-E3AD-4FD8-A020-73EABB21331F}" name="Column10111"/>
    <tableColumn id="10117" xr3:uid="{A834ED7E-DDD6-481E-A230-DCF08935AB81}" name="Column10112"/>
    <tableColumn id="10118" xr3:uid="{6922B138-39C9-4A7E-9384-855830DCDD09}" name="Column10113"/>
    <tableColumn id="10119" xr3:uid="{D651D58B-5C33-4C53-8B84-FA9E73871AA2}" name="Column10114"/>
    <tableColumn id="10120" xr3:uid="{DD6D461B-167A-4618-814C-7B4E66F40F45}" name="Column10115"/>
    <tableColumn id="10121" xr3:uid="{5EA6F202-DEBF-4E6C-B40C-B9E5EB6B9095}" name="Column10116"/>
    <tableColumn id="10122" xr3:uid="{65753D13-F448-488E-8191-A6E3F5D8D78B}" name="Column10117"/>
    <tableColumn id="10123" xr3:uid="{505EDBEF-2DD1-4D0A-B88B-B08EAF722640}" name="Column10118"/>
    <tableColumn id="10124" xr3:uid="{F3399940-5F8F-463F-BF72-51861C4B6E83}" name="Column10119"/>
    <tableColumn id="10125" xr3:uid="{7365BC89-F886-470F-8CE4-D4197556BBDB}" name="Column10120"/>
    <tableColumn id="10126" xr3:uid="{138132D7-79CB-46E4-8C83-E29CEB0AA1BE}" name="Column10121"/>
    <tableColumn id="10127" xr3:uid="{B6A4C18E-8953-4182-A48D-A8D0E9357C7E}" name="Column10122"/>
    <tableColumn id="10128" xr3:uid="{45080A9B-34D0-46E5-A9E4-95E9EDE50756}" name="Column10123"/>
    <tableColumn id="10129" xr3:uid="{90EED0BD-6DBB-438D-9CE0-234D62608702}" name="Column10124"/>
    <tableColumn id="10130" xr3:uid="{E194599A-F7F6-4188-B781-6EA9BC3CBB31}" name="Column10125"/>
    <tableColumn id="10131" xr3:uid="{006E3B54-494B-43D5-87C5-9944815B98E4}" name="Column10126"/>
    <tableColumn id="10132" xr3:uid="{DF6FFF08-36AD-4807-A416-D96D0545B3B2}" name="Column10127"/>
    <tableColumn id="10133" xr3:uid="{04BCE497-045E-49D8-88FC-808140AECD0E}" name="Column10128"/>
    <tableColumn id="10134" xr3:uid="{9E4EE250-BC4E-4DCE-BD6C-378B206F5AE7}" name="Column10129"/>
    <tableColumn id="10135" xr3:uid="{3E9FA518-2753-4E50-A71B-8F2883A9E70B}" name="Column10130"/>
    <tableColumn id="10136" xr3:uid="{63594C7C-1111-4168-9B66-A9E8F516B876}" name="Column10131"/>
    <tableColumn id="10137" xr3:uid="{4A4F0E32-A85D-4752-A89B-B3941EAB244E}" name="Column10132"/>
    <tableColumn id="10138" xr3:uid="{603E65AF-DF7C-4BCB-AF9F-EA2C1C3B2640}" name="Column10133"/>
    <tableColumn id="10139" xr3:uid="{32F654CC-FCF3-4E1F-A058-CEE82B459ACF}" name="Column10134"/>
    <tableColumn id="10140" xr3:uid="{18D9F3BF-CB92-4C65-B2A4-4CC6C630817E}" name="Column10135"/>
    <tableColumn id="10141" xr3:uid="{8AD74DCF-3AC9-4DFA-8D1E-E5EACDF4148D}" name="Column10136"/>
    <tableColumn id="10142" xr3:uid="{51640CB9-DAFD-4CC8-9432-F79A50C6DAA7}" name="Column10137"/>
    <tableColumn id="10143" xr3:uid="{44DA1198-3F43-4A2D-AA69-1BCDAB71F970}" name="Column10138"/>
    <tableColumn id="10144" xr3:uid="{74E532EE-34F6-434D-B254-93CA2B340C74}" name="Column10139"/>
    <tableColumn id="10145" xr3:uid="{002AA88C-DC49-4D2A-B608-B714C03BC910}" name="Column10140"/>
    <tableColumn id="10146" xr3:uid="{0AD8169C-F807-4910-93FD-E55BF155650E}" name="Column10141"/>
    <tableColumn id="10147" xr3:uid="{5CD99195-6E3D-4146-9302-56D72A8DE4F2}" name="Column10142"/>
    <tableColumn id="10148" xr3:uid="{62729DB7-FF69-4C07-B4CB-C740D0628C64}" name="Column10143"/>
    <tableColumn id="10149" xr3:uid="{1824C427-0F0F-44B5-9A6B-D7CC6631943A}" name="Column10144"/>
    <tableColumn id="10150" xr3:uid="{E6B36F28-51AA-4CB8-A80A-38C77F4A71DA}" name="Column10145"/>
    <tableColumn id="10151" xr3:uid="{9658E738-878B-410E-A606-53ED21EC8C58}" name="Column10146"/>
    <tableColumn id="10152" xr3:uid="{E2760F35-A2E7-45B7-9CEB-BF4164E4CB4A}" name="Column10147"/>
    <tableColumn id="10153" xr3:uid="{54441349-6B94-43A3-97CE-53B3C4764D94}" name="Column10148"/>
    <tableColumn id="10154" xr3:uid="{F7549090-7582-4C08-ADE0-E8FF42FBE302}" name="Column10149"/>
    <tableColumn id="10155" xr3:uid="{9338E370-260E-4756-A062-6631C63FFDB1}" name="Column10150"/>
    <tableColumn id="10156" xr3:uid="{BFEB4BDB-BD2A-4BCB-85A8-28D35EEBE504}" name="Column10151"/>
    <tableColumn id="10157" xr3:uid="{51AAE0A2-99DC-4B65-8986-1E660CD5C4B4}" name="Column10152"/>
    <tableColumn id="10158" xr3:uid="{EB31018D-4E86-4390-8D5A-B598243E7733}" name="Column10153"/>
    <tableColumn id="10159" xr3:uid="{118C6F44-B3BB-4BA1-9020-B661BA536749}" name="Column10154"/>
    <tableColumn id="10160" xr3:uid="{2F04497E-E125-4611-9F48-3DAF891F71A7}" name="Column10155"/>
    <tableColumn id="10161" xr3:uid="{B3344A16-30BC-4094-B96E-4EB183E100E1}" name="Column10156"/>
    <tableColumn id="10162" xr3:uid="{705A2542-4233-47AB-85D5-3FA0E186A0ED}" name="Column10157"/>
    <tableColumn id="10163" xr3:uid="{C0562624-DF4C-4616-9640-5874A7DE912B}" name="Column10158"/>
    <tableColumn id="10164" xr3:uid="{FB4E6AE0-06D3-4094-B9B7-55E05FCB043B}" name="Column10159"/>
    <tableColumn id="10165" xr3:uid="{EA5FD0E4-273A-43E4-AD01-B4A655928A6A}" name="Column10160"/>
    <tableColumn id="10166" xr3:uid="{DE4E93BC-B0AD-4263-AF4B-F731337FE08F}" name="Column10161"/>
    <tableColumn id="10167" xr3:uid="{CE98E305-ED52-4A5C-8B19-51CD36CAE5F8}" name="Column10162"/>
    <tableColumn id="10168" xr3:uid="{7E7797E6-7239-446B-8F3F-93E42FD4DB10}" name="Column10163"/>
    <tableColumn id="10169" xr3:uid="{CB1307F4-0CFF-4307-8D71-2390545AD770}" name="Column10164"/>
    <tableColumn id="10170" xr3:uid="{5DAA2726-EE38-4936-8DDD-F42645F4F415}" name="Column10165"/>
    <tableColumn id="10171" xr3:uid="{FBA69651-3E93-48E7-A39D-666CC60FE816}" name="Column10166"/>
    <tableColumn id="10172" xr3:uid="{D5AADE59-84AB-4E01-A39F-00952D7F88D1}" name="Column10167"/>
    <tableColumn id="10173" xr3:uid="{E4C39ABE-A6F1-445B-B828-5CC89EA9E307}" name="Column10168"/>
    <tableColumn id="10174" xr3:uid="{1148DB42-E106-4DC4-8831-67B1CA756F2E}" name="Column10169"/>
    <tableColumn id="10175" xr3:uid="{D1F55CD6-A374-4FAC-BC39-A3BBD8564550}" name="Column10170"/>
    <tableColumn id="10176" xr3:uid="{3F98A7A9-82FD-4E77-8477-9B9341FF7E00}" name="Column10171"/>
    <tableColumn id="10177" xr3:uid="{1FD80F6A-0BFD-470F-88E9-3DD9C16288DF}" name="Column10172"/>
    <tableColumn id="10178" xr3:uid="{55478774-B279-4FCA-972F-D9F08ABDD58A}" name="Column10173"/>
    <tableColumn id="10179" xr3:uid="{D126E0CF-10FC-4005-9847-38E7FA3D8FD3}" name="Column10174"/>
    <tableColumn id="10180" xr3:uid="{7AA9C19E-E3C5-4F56-B819-FFFF184EDA03}" name="Column10175"/>
    <tableColumn id="10181" xr3:uid="{C0B412B0-8BC0-43DD-85D6-059E705B0D0F}" name="Column10176"/>
    <tableColumn id="10182" xr3:uid="{816A2C77-626F-45CD-A4D1-C97C9D3A346C}" name="Column10177"/>
    <tableColumn id="10183" xr3:uid="{CBBD6D52-0A2F-4FC8-AB50-EC3DCC3E3A8E}" name="Column10178"/>
    <tableColumn id="10184" xr3:uid="{EC89AFA7-1A6E-4E53-8AB1-AD8B76F1824B}" name="Column10179"/>
    <tableColumn id="10185" xr3:uid="{2DBF8BC3-8B05-4A37-B249-C07247340B6A}" name="Column10180"/>
    <tableColumn id="10186" xr3:uid="{827FE82D-2B82-428A-A2F7-E8254F892891}" name="Column10181"/>
    <tableColumn id="10187" xr3:uid="{7B769C64-F9A5-488B-AA31-C42F277F971E}" name="Column10182"/>
    <tableColumn id="10188" xr3:uid="{F709DF2F-9779-44BE-B931-E6629A92A445}" name="Column10183"/>
    <tableColumn id="10189" xr3:uid="{D9B35C16-12DC-4522-8024-0B4DD686E75A}" name="Column10184"/>
    <tableColumn id="10190" xr3:uid="{7327E29D-1142-450C-8C6F-292591824EC1}" name="Column10185"/>
    <tableColumn id="10191" xr3:uid="{96FC1D2D-5310-473E-B2A4-ABDF9029F7B6}" name="Column10186"/>
    <tableColumn id="10192" xr3:uid="{BAF8230A-B7DE-4C2C-916E-C35C989D1AA7}" name="Column10187"/>
    <tableColumn id="10193" xr3:uid="{B1539722-9904-4506-B2D4-9C098A54B94F}" name="Column10188"/>
    <tableColumn id="10194" xr3:uid="{9072522E-4F80-4C6B-9F7A-83078673409C}" name="Column10189"/>
    <tableColumn id="10195" xr3:uid="{BAAB9390-1530-4843-8188-304313A1FB13}" name="Column10190"/>
    <tableColumn id="10196" xr3:uid="{FF191FA8-9346-40A6-BC38-C8FFDA07F781}" name="Column10191"/>
    <tableColumn id="10197" xr3:uid="{B950E471-1ED3-4F5B-9CDC-CCF03F743022}" name="Column10192"/>
    <tableColumn id="10198" xr3:uid="{F8435187-59D4-4161-BC91-56FA54B2D39D}" name="Column10193"/>
    <tableColumn id="10199" xr3:uid="{93A5E47E-F7DE-42D2-B216-F5AE4274745F}" name="Column10194"/>
    <tableColumn id="10200" xr3:uid="{A462C6BC-F6B0-4D63-B437-11C8E46082EA}" name="Column10195"/>
    <tableColumn id="10201" xr3:uid="{7E20D3CB-AC23-4BC1-960B-FF9E7430674A}" name="Column10196"/>
    <tableColumn id="10202" xr3:uid="{91F3F169-8805-4A10-9619-0A2A73BAFCB0}" name="Column10197"/>
    <tableColumn id="10203" xr3:uid="{A7541FCD-E647-4AB0-80E4-C35AD49B0A8F}" name="Column10198"/>
    <tableColumn id="10204" xr3:uid="{02A50313-0C32-4AF7-9455-A5AFDA199ABC}" name="Column10199"/>
    <tableColumn id="10205" xr3:uid="{D66BDE86-70B8-4DE4-91F5-34961A777D60}" name="Column10200"/>
    <tableColumn id="10206" xr3:uid="{EF55AB57-B718-43A5-864E-DF48C60B7E46}" name="Column10201"/>
    <tableColumn id="10207" xr3:uid="{A2119D0C-5709-412B-B817-8B0CDE84B259}" name="Column10202"/>
    <tableColumn id="10208" xr3:uid="{2C35A02C-3930-4064-A8D3-B954BFC0B0A6}" name="Column10203"/>
    <tableColumn id="10209" xr3:uid="{8AC3AFDF-98C6-4878-8EAC-C47A0BFAD68E}" name="Column10204"/>
    <tableColumn id="10210" xr3:uid="{F07CC86E-4983-4C15-B492-96F691F46BBE}" name="Column10205"/>
    <tableColumn id="10211" xr3:uid="{3C5F192C-03CD-4727-ABAB-5B217343307A}" name="Column10206"/>
    <tableColumn id="10212" xr3:uid="{D4C45150-A1E8-4054-A143-4BB5BEC420A7}" name="Column10207"/>
    <tableColumn id="10213" xr3:uid="{A4066D54-F26E-4819-A130-86DBC689C7DE}" name="Column10208"/>
    <tableColumn id="10214" xr3:uid="{A81D19B7-7BAF-431D-AAE2-395A1E8AB983}" name="Column10209"/>
    <tableColumn id="10215" xr3:uid="{4534C950-1A13-4B4E-A925-2B56EF115C65}" name="Column10210"/>
    <tableColumn id="10216" xr3:uid="{6739FCA3-5F06-409A-ACED-916339C8651E}" name="Column10211"/>
    <tableColumn id="10217" xr3:uid="{4D77F5DA-5D37-4654-9C1E-7AD523D45807}" name="Column10212"/>
    <tableColumn id="10218" xr3:uid="{55590736-D9C8-4644-B8CC-0B9E352919BE}" name="Column10213"/>
    <tableColumn id="10219" xr3:uid="{556625BC-BEFE-4D10-8A93-AEB7D1DCC7B5}" name="Column10214"/>
    <tableColumn id="10220" xr3:uid="{1EC5B485-CE2A-47F1-9FA3-BEB77D1B6766}" name="Column10215"/>
    <tableColumn id="10221" xr3:uid="{81DB9E55-BDE2-47C4-B9C5-6A1E74C5D577}" name="Column10216"/>
    <tableColumn id="10222" xr3:uid="{EC60D20B-223D-40FE-97ED-0349E44F97DC}" name="Column10217"/>
    <tableColumn id="10223" xr3:uid="{281E83F0-4C92-4E7C-B14D-63F75275CCCA}" name="Column10218"/>
    <tableColumn id="10224" xr3:uid="{14D80F26-6181-4969-8E08-3E248C82F5A0}" name="Column10219"/>
    <tableColumn id="10225" xr3:uid="{512C624B-B9FD-4A94-800B-277355E42648}" name="Column10220"/>
    <tableColumn id="10226" xr3:uid="{800181A4-DE67-487C-9DC9-5A0488745CC7}" name="Column10221"/>
    <tableColumn id="10227" xr3:uid="{68A3A1E3-46D0-4F47-9F83-D2E21C59208A}" name="Column10222"/>
    <tableColumn id="10228" xr3:uid="{5382EF59-B7E8-44F8-9D11-0352B6542201}" name="Column10223"/>
    <tableColumn id="10229" xr3:uid="{284700C0-5E83-482D-9DE1-756E8B6F4B72}" name="Column10224"/>
    <tableColumn id="10230" xr3:uid="{9A60768C-B1EA-4ACC-BCEB-00133F1E98AE}" name="Column10225"/>
    <tableColumn id="10231" xr3:uid="{176D54CC-FAFC-4D83-BEAE-949E10FE01BB}" name="Column10226"/>
    <tableColumn id="10232" xr3:uid="{D0219EC4-6B0C-4591-A562-DE799B5C51E4}" name="Column10227"/>
    <tableColumn id="10233" xr3:uid="{F3534352-BAB8-4021-8755-1D31551B3410}" name="Column10228"/>
    <tableColumn id="10234" xr3:uid="{36B1E05A-3575-470A-8742-8CF78F5A63E0}" name="Column10229"/>
    <tableColumn id="10235" xr3:uid="{AE26D431-1A15-4381-91EE-9E9BBE680DFD}" name="Column10230"/>
    <tableColumn id="10236" xr3:uid="{864DD34A-6331-471A-924A-D477246DDDDA}" name="Column10231"/>
    <tableColumn id="10237" xr3:uid="{E7F7C73D-495F-46F5-A269-D85879A11219}" name="Column10232"/>
    <tableColumn id="10238" xr3:uid="{5D09B97E-1D9B-41C3-B329-1BBDA65311C8}" name="Column10233"/>
    <tableColumn id="10239" xr3:uid="{A60C92C9-5DE3-4270-A160-F4AF90DC7EFC}" name="Column10234"/>
    <tableColumn id="10240" xr3:uid="{BF212CEB-4391-4A9B-B0C9-7017589E3217}" name="Column10235"/>
    <tableColumn id="10241" xr3:uid="{A80135E5-D0AE-46BC-95D3-FFF58C65DE75}" name="Column10236"/>
    <tableColumn id="10242" xr3:uid="{BACE5314-EDA5-4B50-800C-D7E1120217F6}" name="Column10237"/>
    <tableColumn id="10243" xr3:uid="{400C0DFA-C361-4654-9945-C0CC7908B96E}" name="Column10238"/>
    <tableColumn id="10244" xr3:uid="{E2C09188-BBE6-4F99-A7D7-E6E8FF9F301F}" name="Column10239"/>
    <tableColumn id="10245" xr3:uid="{45F57F1A-884A-4347-911B-DFB27EF9D453}" name="Column10240"/>
    <tableColumn id="10246" xr3:uid="{C385EABD-B5C2-498B-B8C6-8651748CC5F3}" name="Column10241"/>
    <tableColumn id="10247" xr3:uid="{6EE7AD7C-5EB7-446A-999C-48B26D2E5D30}" name="Column10242"/>
    <tableColumn id="10248" xr3:uid="{486EA646-9AD3-4BE2-9793-E640D0279BAD}" name="Column10243"/>
    <tableColumn id="10249" xr3:uid="{C5ED9ECA-65D3-4FCF-9CE4-D8F6897C17F0}" name="Column10244"/>
    <tableColumn id="10250" xr3:uid="{25F7717F-DC12-4260-AFD9-FB9B4E842A82}" name="Column10245"/>
    <tableColumn id="10251" xr3:uid="{7C5EA511-4821-4AA3-9F70-61314A53BF9F}" name="Column10246"/>
    <tableColumn id="10252" xr3:uid="{84B500EF-0D57-4354-9F6A-1B315AD7E89D}" name="Column10247"/>
    <tableColumn id="10253" xr3:uid="{8A477855-B62A-4D39-8C2E-CE8A5AAA9134}" name="Column10248"/>
    <tableColumn id="10254" xr3:uid="{966FE1E8-6FDF-47CE-A89C-239852A4004E}" name="Column10249"/>
    <tableColumn id="10255" xr3:uid="{F77A9A77-D6B0-4968-97CA-32C40729A567}" name="Column10250"/>
    <tableColumn id="10256" xr3:uid="{CB6215DB-5D4B-48D4-9A0D-353CA6618C68}" name="Column10251"/>
    <tableColumn id="10257" xr3:uid="{772E6A31-2DEA-465D-B0E4-9B15D6706BE8}" name="Column10252"/>
    <tableColumn id="10258" xr3:uid="{6E0C8B34-C241-4692-9A64-FF47A8512D25}" name="Column10253"/>
    <tableColumn id="10259" xr3:uid="{6AC3DD7E-5391-450C-8552-0721A577225C}" name="Column10254"/>
    <tableColumn id="10260" xr3:uid="{003DE653-6361-4D1B-BF22-DF536EF08AE3}" name="Column10255"/>
    <tableColumn id="10261" xr3:uid="{9216C88E-1A70-48FF-8E28-C5F9E502F1D9}" name="Column10256"/>
    <tableColumn id="10262" xr3:uid="{49BD1CD9-3C3A-4D59-91F6-98C5B8644EB6}" name="Column10257"/>
    <tableColumn id="10263" xr3:uid="{1A6C2029-5A4B-40EC-B589-F030A3DF3986}" name="Column10258"/>
    <tableColumn id="10264" xr3:uid="{D1916AAA-C6B3-4A21-AD55-2A53BAF76D12}" name="Column10259"/>
    <tableColumn id="10265" xr3:uid="{58FF73F5-4D37-4D0A-A2CA-DB6E50772338}" name="Column10260"/>
    <tableColumn id="10266" xr3:uid="{87170FF5-02A7-49A7-A711-9902AC0F66DF}" name="Column10261"/>
    <tableColumn id="10267" xr3:uid="{DFBB5668-2213-4ED7-BF72-36312862FB89}" name="Column10262"/>
    <tableColumn id="10268" xr3:uid="{358EEFB3-BEDB-4471-80AC-664C82F65396}" name="Column10263"/>
    <tableColumn id="10269" xr3:uid="{7AA0A12D-6877-48A7-86D6-3BAE4BBCC055}" name="Column10264"/>
    <tableColumn id="10270" xr3:uid="{A0C27459-6BCE-40EB-BBB0-50D07146E2A5}" name="Column10265"/>
    <tableColumn id="10271" xr3:uid="{C1E376E5-4FEA-41AF-8D8E-402099AADBED}" name="Column10266"/>
    <tableColumn id="10272" xr3:uid="{8ADB7F8C-6273-4131-A98D-8BF4E39CB71F}" name="Column10267"/>
    <tableColumn id="10273" xr3:uid="{EF167932-9EF7-4227-B816-67438B98B423}" name="Column10268"/>
    <tableColumn id="10274" xr3:uid="{CB03F755-7F77-4AB3-BD22-46596910886B}" name="Column10269"/>
    <tableColumn id="10275" xr3:uid="{E0DE80F4-870C-4026-BAE9-CF1FB8821ACB}" name="Column10270"/>
    <tableColumn id="10276" xr3:uid="{3BF9F3D8-4053-4988-BB06-962D9840F7F4}" name="Column10271"/>
    <tableColumn id="10277" xr3:uid="{FD9C4880-4E5D-4824-8D47-01F9D72D0A3D}" name="Column10272"/>
    <tableColumn id="10278" xr3:uid="{43ABB8BC-F5D9-432B-834F-40F916B457A5}" name="Column10273"/>
    <tableColumn id="10279" xr3:uid="{1E2A566B-7281-4C0B-B102-1A400E3DBC1A}" name="Column10274"/>
    <tableColumn id="10280" xr3:uid="{8A64EA16-7EAB-4D34-8C31-01FB9F010A0B}" name="Column10275"/>
    <tableColumn id="10281" xr3:uid="{A2767D10-A17C-42C5-8905-129C7745D741}" name="Column10276"/>
    <tableColumn id="10282" xr3:uid="{43850E53-F0B4-4F28-81C9-FC77D086BBE2}" name="Column10277"/>
    <tableColumn id="10283" xr3:uid="{D8503E39-E606-4CF7-A4AB-6430AB61D21A}" name="Column10278"/>
    <tableColumn id="10284" xr3:uid="{CF0A2A49-9D48-4967-BBA1-A93627D6C9E6}" name="Column10279"/>
    <tableColumn id="10285" xr3:uid="{CA4307CC-7719-4747-B7DE-0D0ACCF8025D}" name="Column10280"/>
    <tableColumn id="10286" xr3:uid="{998D0A4C-43EE-440E-BE28-0344EA29B73A}" name="Column10281"/>
    <tableColumn id="10287" xr3:uid="{998DC545-448E-49D7-A53E-300715D5A18F}" name="Column10282"/>
    <tableColumn id="10288" xr3:uid="{918C4311-CA60-479A-B0F5-C24A21A6D328}" name="Column10283"/>
    <tableColumn id="10289" xr3:uid="{5306AB48-A6C1-45F0-BD56-1300A1B38FA4}" name="Column10284"/>
    <tableColumn id="10290" xr3:uid="{B3746400-1E3D-42C0-84ED-92ADDD844444}" name="Column10285"/>
    <tableColumn id="10291" xr3:uid="{E19BFEE4-2A7B-4AAB-83A1-F1DA825A29A5}" name="Column10286"/>
    <tableColumn id="10292" xr3:uid="{91181F55-477A-4668-8426-925FDD916993}" name="Column10287"/>
    <tableColumn id="10293" xr3:uid="{7137F9B9-ADEF-4C6D-A612-56F99AB79DB5}" name="Column10288"/>
    <tableColumn id="10294" xr3:uid="{0B14DB15-5B5C-4525-B15C-B78C40548A7D}" name="Column10289"/>
    <tableColumn id="10295" xr3:uid="{114720E7-D6C6-4093-94E6-DCDE82BAD1FA}" name="Column10290"/>
    <tableColumn id="10296" xr3:uid="{8EDE791D-BD55-4D6C-BD3F-9A7537D5846A}" name="Column10291"/>
    <tableColumn id="10297" xr3:uid="{C08298DA-2AC4-4F89-8E33-544322B67098}" name="Column10292"/>
    <tableColumn id="10298" xr3:uid="{D148B118-CF89-4F0B-AA7B-95F91E6499D5}" name="Column10293"/>
    <tableColumn id="10299" xr3:uid="{50A9CDF6-A45A-4620-8165-1269EC06ADAF}" name="Column10294"/>
    <tableColumn id="10300" xr3:uid="{08C1EFB3-45D8-474C-AF73-B5303043A7AE}" name="Column10295"/>
    <tableColumn id="10301" xr3:uid="{4CCCEC06-3347-44D3-AA16-925B93BCC706}" name="Column10296"/>
    <tableColumn id="10302" xr3:uid="{61B1979D-175E-45C4-A1DC-969CB85FEF78}" name="Column10297"/>
    <tableColumn id="10303" xr3:uid="{26F17427-82FC-432D-8B32-24607A443771}" name="Column10298"/>
    <tableColumn id="10304" xr3:uid="{2A6FBF34-8161-4B34-981D-935334E6BEF3}" name="Column10299"/>
    <tableColumn id="10305" xr3:uid="{4372A317-4C28-4A49-839B-6F653F3B2D45}" name="Column10300"/>
    <tableColumn id="10306" xr3:uid="{FB4C17B6-925E-492D-97E2-425029F662C9}" name="Column10301"/>
    <tableColumn id="10307" xr3:uid="{2CCDC92B-BCFC-4B6B-9F2E-12A8628F7C08}" name="Column10302"/>
    <tableColumn id="10308" xr3:uid="{E9AC2FE6-9740-48EB-92FC-5D12A94A7C42}" name="Column10303"/>
    <tableColumn id="10309" xr3:uid="{15F56106-7947-4A09-9A40-9160394CC674}" name="Column10304"/>
    <tableColumn id="10310" xr3:uid="{88DEC6AB-089D-4CC2-BA30-B67438495389}" name="Column10305"/>
    <tableColumn id="10311" xr3:uid="{7747E047-E416-4D96-8308-765440A46BFB}" name="Column10306"/>
    <tableColumn id="10312" xr3:uid="{B28FAB32-FD49-49BD-BCDD-E4EB6CB308FC}" name="Column10307"/>
    <tableColumn id="10313" xr3:uid="{514F0261-42D5-4BF1-9F5F-0FDBA45191E2}" name="Column10308"/>
    <tableColumn id="10314" xr3:uid="{D48E861E-22C1-4033-9C31-6BC7D857BEA9}" name="Column10309"/>
    <tableColumn id="10315" xr3:uid="{7ECC27C2-3983-43CD-BD91-2AA3959070B5}" name="Column10310"/>
    <tableColumn id="10316" xr3:uid="{02F64F6A-2629-46FB-80F1-8DD79D57A3C7}" name="Column10311"/>
    <tableColumn id="10317" xr3:uid="{DFC57D3E-D927-4DE4-A145-C911D50BF51A}" name="Column10312"/>
    <tableColumn id="10318" xr3:uid="{12AD1ACF-DF75-42AA-B100-79AEAFFBC8F0}" name="Column10313"/>
    <tableColumn id="10319" xr3:uid="{5911A630-0659-4049-BCED-4103C554B875}" name="Column10314"/>
    <tableColumn id="10320" xr3:uid="{36613C77-BA84-4D44-8F11-18A4D075286D}" name="Column10315"/>
    <tableColumn id="10321" xr3:uid="{E7C9B2EE-6EFC-4770-AD07-D8ADDBE67A4C}" name="Column10316"/>
    <tableColumn id="10322" xr3:uid="{F268F4F8-BCF2-4B69-8269-3F9350B7454C}" name="Column10317"/>
    <tableColumn id="10323" xr3:uid="{AB9BF8B8-1DAE-4E00-B596-A5774915AA1C}" name="Column10318"/>
    <tableColumn id="10324" xr3:uid="{A77BB01A-2A6A-4CF5-AD93-3532CB6B1623}" name="Column10319"/>
    <tableColumn id="10325" xr3:uid="{B67BF119-7E69-46BC-A722-D0DAF3E85701}" name="Column10320"/>
    <tableColumn id="10326" xr3:uid="{3A7049E8-B1A5-4125-AECC-BD7F90A60AB3}" name="Column10321"/>
    <tableColumn id="10327" xr3:uid="{B282CF71-814F-4908-AC3D-B8C52B6FDDED}" name="Column10322"/>
    <tableColumn id="10328" xr3:uid="{BD16F26E-4917-4466-842A-F352C914A78E}" name="Column10323"/>
    <tableColumn id="10329" xr3:uid="{9E5C55A8-175C-45F5-85A5-646B2EC02898}" name="Column10324"/>
    <tableColumn id="10330" xr3:uid="{0C615D77-6B7E-4D12-A86E-AE676853AACF}" name="Column10325"/>
    <tableColumn id="10331" xr3:uid="{19C1D542-08E1-4413-99CD-3151CC00711A}" name="Column10326"/>
    <tableColumn id="10332" xr3:uid="{FA78CB6B-B66C-491F-ABE9-3E9B5952B244}" name="Column10327"/>
    <tableColumn id="10333" xr3:uid="{2950C7B9-9353-466E-A5D7-1F7B3FFB2DE1}" name="Column10328"/>
    <tableColumn id="10334" xr3:uid="{82D87E09-887C-4754-885E-17204691E11D}" name="Column10329"/>
    <tableColumn id="10335" xr3:uid="{DBBA6C90-7751-4053-B4F6-2F1B5D7D67B5}" name="Column10330"/>
    <tableColumn id="10336" xr3:uid="{BA2C4AE5-0CA4-490E-94FD-DD5B8ECC60C4}" name="Column10331"/>
    <tableColumn id="10337" xr3:uid="{02EE816C-7859-4ACB-A2E8-CF35AAA4AC3A}" name="Column10332"/>
    <tableColumn id="10338" xr3:uid="{6FABC8C5-F39B-4E23-8FB0-09B6A425463C}" name="Column10333"/>
    <tableColumn id="10339" xr3:uid="{F0A3AD24-4100-4C75-82E7-F5E5B6C24466}" name="Column10334"/>
    <tableColumn id="10340" xr3:uid="{DD9751CE-26B5-462A-930C-7B4064FFE370}" name="Column10335"/>
    <tableColumn id="10341" xr3:uid="{EC1678A5-4694-4AD4-AAE1-56E0252C79EF}" name="Column10336"/>
    <tableColumn id="10342" xr3:uid="{00DE04FF-0475-44DB-9DB4-A30C361D4B5C}" name="Column10337"/>
    <tableColumn id="10343" xr3:uid="{D7915A0C-9102-4234-AD90-41352C99834B}" name="Column10338"/>
    <tableColumn id="10344" xr3:uid="{26A595BC-F8FB-4959-B615-C2C9E889AA1C}" name="Column10339"/>
    <tableColumn id="10345" xr3:uid="{4D2AC9D5-F87A-4818-BFAC-C835653CBE2D}" name="Column10340"/>
    <tableColumn id="10346" xr3:uid="{F2E3598E-812A-4DA0-89A4-4259DB188356}" name="Column10341"/>
    <tableColumn id="10347" xr3:uid="{A3151694-1C3B-410E-9605-D780607BB10C}" name="Column10342"/>
    <tableColumn id="10348" xr3:uid="{FB958F49-67E9-4F84-A0C7-B2D28CCD5BD7}" name="Column10343"/>
    <tableColumn id="10349" xr3:uid="{4C142A6E-6A5A-46C0-AF19-0A2DBAA6FC4A}" name="Column10344"/>
    <tableColumn id="10350" xr3:uid="{8D47F487-9CE6-4609-9C49-3CC8A8981965}" name="Column10345"/>
    <tableColumn id="10351" xr3:uid="{B6E9DDAE-3BE6-4C65-896E-0F3695C3029C}" name="Column10346"/>
    <tableColumn id="10352" xr3:uid="{0B33BB65-B518-4C3F-95BF-97632495B286}" name="Column10347"/>
    <tableColumn id="10353" xr3:uid="{7B243EA5-AB2D-4C5B-A4A9-92C08DC0F8D0}" name="Column10348"/>
    <tableColumn id="10354" xr3:uid="{9D749A4C-636E-4ACB-AD9B-7F66D305F1E5}" name="Column10349"/>
    <tableColumn id="10355" xr3:uid="{4BCC6EC7-2527-4DAE-9546-2B6263B36F95}" name="Column10350"/>
    <tableColumn id="10356" xr3:uid="{A62816FD-C602-4CF1-888C-874925E743D4}" name="Column10351"/>
    <tableColumn id="10357" xr3:uid="{37D3C217-6CEB-4AF8-A2E1-175BADA75776}" name="Column10352"/>
    <tableColumn id="10358" xr3:uid="{AC897D90-EE96-4403-A90A-4A7104BAF41A}" name="Column10353"/>
    <tableColumn id="10359" xr3:uid="{999C529A-B840-4A55-B31F-8F54ADD937B2}" name="Column10354"/>
    <tableColumn id="10360" xr3:uid="{68F08B63-C9F7-449F-A9CF-DC55915AE9CA}" name="Column10355"/>
    <tableColumn id="10361" xr3:uid="{F7DFDCB1-86D7-4633-A28C-8D32D8F4C4D8}" name="Column10356"/>
    <tableColumn id="10362" xr3:uid="{6C43C565-1D06-4D8C-89BF-9FAC928102C9}" name="Column10357"/>
    <tableColumn id="10363" xr3:uid="{D463DFFC-D4E7-4A72-9A66-769E2E7E559D}" name="Column10358"/>
    <tableColumn id="10364" xr3:uid="{E1B8D3B2-536C-412A-B3C5-1EA579079A97}" name="Column10359"/>
    <tableColumn id="10365" xr3:uid="{5E91BADD-99A4-446D-86D8-B5347EB2C79C}" name="Column10360"/>
    <tableColumn id="10366" xr3:uid="{4DFFC0B3-2347-4535-9D65-114F098645FE}" name="Column10361"/>
    <tableColumn id="10367" xr3:uid="{45119153-4B59-471E-AAF4-AF6B4E031445}" name="Column10362"/>
    <tableColumn id="10368" xr3:uid="{D38C5A0C-BF8E-4EDF-9B11-6EB0A9D2B32D}" name="Column10363"/>
    <tableColumn id="10369" xr3:uid="{FF8E1B9A-302D-4C58-8BD4-DF9BEFF24D6B}" name="Column10364"/>
    <tableColumn id="10370" xr3:uid="{7BCF85B0-F2C1-4A41-A8AF-3DF24DF68D4B}" name="Column10365"/>
    <tableColumn id="10371" xr3:uid="{91E2AD16-5904-4B8A-B8D7-16036E8E713F}" name="Column10366"/>
    <tableColumn id="10372" xr3:uid="{FAA802D1-609B-4F90-9918-28179B8DBA3E}" name="Column10367"/>
    <tableColumn id="10373" xr3:uid="{E4401C77-4BF6-47F7-A384-3436B5DBA1F1}" name="Column10368"/>
    <tableColumn id="10374" xr3:uid="{5FF7FB83-D77F-43E3-BFE0-7947D05DFDE5}" name="Column10369"/>
    <tableColumn id="10375" xr3:uid="{C268F83D-3D1A-4A4A-8875-6809A3A7327D}" name="Column10370"/>
    <tableColumn id="10376" xr3:uid="{8EB17C0B-CD4C-42C1-BC48-D481A3440A74}" name="Column10371"/>
    <tableColumn id="10377" xr3:uid="{FB581485-6F14-4DCB-B88E-2684EDE6568F}" name="Column10372"/>
    <tableColumn id="10378" xr3:uid="{C6F8FF65-EC28-4A19-8869-568B56B81F02}" name="Column10373"/>
    <tableColumn id="10379" xr3:uid="{5C3C7287-653C-482F-A472-D16B66DA149C}" name="Column10374"/>
    <tableColumn id="10380" xr3:uid="{4466236E-4341-4151-9B26-C414C5617455}" name="Column10375"/>
    <tableColumn id="10381" xr3:uid="{0652E28B-89FC-4635-A8E9-2115C23A17C6}" name="Column10376"/>
    <tableColumn id="10382" xr3:uid="{54F775CE-9056-4BEA-81B3-8EC6AE6870E3}" name="Column10377"/>
    <tableColumn id="10383" xr3:uid="{D7BCF377-73A8-4BD9-AC5B-7D8E3E265A88}" name="Column10378"/>
    <tableColumn id="10384" xr3:uid="{52B95A88-DC52-4C94-B19C-4A461C575AD0}" name="Column10379"/>
    <tableColumn id="10385" xr3:uid="{71DAEAE5-E3EE-4B61-BDF1-001CC661A97C}" name="Column10380"/>
    <tableColumn id="10386" xr3:uid="{E7D1350A-D704-4BFE-A66F-9C6056DC0345}" name="Column10381"/>
    <tableColumn id="10387" xr3:uid="{B17FCA7C-D954-4922-BEDD-B2D749315C2B}" name="Column10382"/>
    <tableColumn id="10388" xr3:uid="{5EE622D2-D850-480B-8A71-92A28BC38EAD}" name="Column10383"/>
    <tableColumn id="10389" xr3:uid="{B7F2F74F-1171-4897-B010-C43B19F168F9}" name="Column10384"/>
    <tableColumn id="10390" xr3:uid="{2A6D9311-26BF-485B-8E50-CCE53D8B2809}" name="Column10385"/>
    <tableColumn id="10391" xr3:uid="{9FB52937-64ED-4FAB-877F-78F5E1422D05}" name="Column10386"/>
    <tableColumn id="10392" xr3:uid="{FDC486C3-BA7E-49CC-9F0A-6E11BFF8B76A}" name="Column10387"/>
    <tableColumn id="10393" xr3:uid="{9EB89D27-4E2B-487A-88FB-7FD5AC38CC38}" name="Column10388"/>
    <tableColumn id="10394" xr3:uid="{8AC7C602-51B4-4B07-B4CB-E6D52CC834D0}" name="Column10389"/>
    <tableColumn id="10395" xr3:uid="{4B43ADA8-BDEE-4EC4-90DA-F8079793A616}" name="Column10390"/>
    <tableColumn id="10396" xr3:uid="{17CE074B-43EC-4400-9646-E0B40D85A5C5}" name="Column10391"/>
    <tableColumn id="10397" xr3:uid="{88D598E0-2C7D-4751-9518-8A22913B9738}" name="Column10392"/>
    <tableColumn id="10398" xr3:uid="{FE605655-A6B7-4804-B694-F2A04D09C3B1}" name="Column10393"/>
    <tableColumn id="10399" xr3:uid="{46D60C03-CC07-4A9B-8856-C7ED44C13188}" name="Column10394"/>
    <tableColumn id="10400" xr3:uid="{A24818E5-DF60-4517-A3A5-46D8F9284988}" name="Column10395"/>
    <tableColumn id="10401" xr3:uid="{3F0F2690-27DB-4DCA-983A-D7EF411053F8}" name="Column10396"/>
    <tableColumn id="10402" xr3:uid="{B9E681C2-AC3B-4200-8D83-AD5270C88BB5}" name="Column10397"/>
    <tableColumn id="10403" xr3:uid="{366B98D1-18C8-48C7-BF06-9EB3BDB74082}" name="Column10398"/>
    <tableColumn id="10404" xr3:uid="{D635C683-2AE9-4E22-A341-E34361FE9EE8}" name="Column10399"/>
    <tableColumn id="10405" xr3:uid="{29A5D20F-8ACB-4DBA-AEDD-793961D59893}" name="Column10400"/>
    <tableColumn id="10406" xr3:uid="{6A1F104B-C0D2-40F0-AB3C-A6753F6B920F}" name="Column10401"/>
    <tableColumn id="10407" xr3:uid="{F1DB44C0-6861-499E-A78B-C7BF05ABDDB0}" name="Column10402"/>
    <tableColumn id="10408" xr3:uid="{8A6212F1-D3DC-4BE1-ADFE-54DAB25EA3F0}" name="Column10403"/>
    <tableColumn id="10409" xr3:uid="{E8F40435-2C8E-4BF0-8E44-1B735D9025D0}" name="Column10404"/>
    <tableColumn id="10410" xr3:uid="{163566D9-B149-49E0-98E6-304945579B7F}" name="Column10405"/>
    <tableColumn id="10411" xr3:uid="{A67ACD08-A1D9-4EC4-A64D-E93317BA9641}" name="Column10406"/>
    <tableColumn id="10412" xr3:uid="{8A2D0C3E-53A5-4754-A857-1DBF2A9D6C82}" name="Column10407"/>
    <tableColumn id="10413" xr3:uid="{F0170CA0-982A-4EB6-A3DD-CD407AEE58DB}" name="Column10408"/>
    <tableColumn id="10414" xr3:uid="{A39EABAB-9E1D-4521-A703-9EBD59A41AEF}" name="Column10409"/>
    <tableColumn id="10415" xr3:uid="{867AEBEF-33B4-4F6E-9613-BDC9D8E76219}" name="Column10410"/>
    <tableColumn id="10416" xr3:uid="{6F6D31E9-DD93-4EC7-87D4-F7EE3F6FF31C}" name="Column10411"/>
    <tableColumn id="10417" xr3:uid="{CE6378D1-4388-43F6-8B86-3373E6FA8FB6}" name="Column10412"/>
    <tableColumn id="10418" xr3:uid="{03BDC81A-8404-4AAF-9CA7-DFCA916A53CD}" name="Column10413"/>
    <tableColumn id="10419" xr3:uid="{5A89BE22-AFA4-4EAA-8E1B-5BCBD063ACE4}" name="Column10414"/>
    <tableColumn id="10420" xr3:uid="{4E506C00-1C81-4A1F-9A86-C3EE05BAC5A4}" name="Column10415"/>
    <tableColumn id="10421" xr3:uid="{E1045E02-F403-479B-8654-AE206EBB386A}" name="Column10416"/>
    <tableColumn id="10422" xr3:uid="{7A1C873A-3A35-4461-86D4-5967A3B68FD0}" name="Column10417"/>
    <tableColumn id="10423" xr3:uid="{A8F5AF74-6638-478A-8308-228E40824759}" name="Column10418"/>
    <tableColumn id="10424" xr3:uid="{4094339F-8EAC-48B7-8E9A-2851F43754DA}" name="Column10419"/>
    <tableColumn id="10425" xr3:uid="{55A793E1-3E24-48B4-9865-7DF481821CA3}" name="Column10420"/>
    <tableColumn id="10426" xr3:uid="{8FB942D3-B5AF-4F50-B691-2CE34976454B}" name="Column10421"/>
    <tableColumn id="10427" xr3:uid="{42C332AB-BF68-4F0A-83DD-5087D2AA253D}" name="Column10422"/>
    <tableColumn id="10428" xr3:uid="{D3BF6642-304C-40C1-A91B-042982A47F90}" name="Column10423"/>
    <tableColumn id="10429" xr3:uid="{A85E0526-E56C-422B-9777-38FB3935CD2A}" name="Column10424"/>
    <tableColumn id="10430" xr3:uid="{79B451AB-642A-4972-A91B-A642A86250A5}" name="Column10425"/>
    <tableColumn id="10431" xr3:uid="{5BCE646B-9D99-46D6-8E16-D469428901C5}" name="Column10426"/>
    <tableColumn id="10432" xr3:uid="{C3D7097D-E760-4367-83FC-D84800D82CAB}" name="Column10427"/>
    <tableColumn id="10433" xr3:uid="{3C0E43E1-1C15-4FAA-915E-3926AAF9C007}" name="Column10428"/>
    <tableColumn id="10434" xr3:uid="{D8E4C1E9-DF00-4009-8B8C-35D3C396BB54}" name="Column10429"/>
    <tableColumn id="10435" xr3:uid="{A7426B54-D9E9-4542-9FA8-84DAC320D43B}" name="Column10430"/>
    <tableColumn id="10436" xr3:uid="{78F260CD-9B8C-4434-8A41-1990C70C4765}" name="Column10431"/>
    <tableColumn id="10437" xr3:uid="{E0147D15-E7FA-453D-8F70-E77710DDB26C}" name="Column10432"/>
    <tableColumn id="10438" xr3:uid="{6EF0B9C4-8940-4E63-8747-72A86660E48A}" name="Column10433"/>
    <tableColumn id="10439" xr3:uid="{A285EF4B-4CF7-4200-85C1-E18B94C2A2E8}" name="Column10434"/>
    <tableColumn id="10440" xr3:uid="{5EBEFD95-9F56-46F3-877D-DABA9F3956E2}" name="Column10435"/>
    <tableColumn id="10441" xr3:uid="{393962C9-906F-4C9C-8EAA-4C9DAEE365A1}" name="Column10436"/>
    <tableColumn id="10442" xr3:uid="{BC66F454-E3B1-4187-A2C2-DA078A3E0621}" name="Column10437"/>
    <tableColumn id="10443" xr3:uid="{14DBAD9C-7FF6-404E-A983-A4FEAF71D065}" name="Column10438"/>
    <tableColumn id="10444" xr3:uid="{E24F735E-7059-41F4-A2CE-A817D5CA6113}" name="Column10439"/>
    <tableColumn id="10445" xr3:uid="{90B229DC-58E5-4CAA-A48F-9C2A5D1117D3}" name="Column10440"/>
    <tableColumn id="10446" xr3:uid="{85758BD7-426F-4120-98BE-DA4ED1549CC2}" name="Column10441"/>
    <tableColumn id="10447" xr3:uid="{D1642470-8AF4-4CC6-A10C-E015E6D81C50}" name="Column10442"/>
    <tableColumn id="10448" xr3:uid="{68033D4D-1E9A-496E-A3A6-BE1DC813D7D6}" name="Column10443"/>
    <tableColumn id="10449" xr3:uid="{2F655E83-1BC8-46AC-80AC-57F7FEFE8FA0}" name="Column10444"/>
    <tableColumn id="10450" xr3:uid="{B01B9F51-86C1-4EAC-8B58-055F48F789CC}" name="Column10445"/>
    <tableColumn id="10451" xr3:uid="{B25E78D3-D2E7-4730-AFC6-DCA569316DC4}" name="Column10446"/>
    <tableColumn id="10452" xr3:uid="{F3BBCF82-8F54-4E42-96CF-3E106E7F2BD2}" name="Column10447"/>
    <tableColumn id="10453" xr3:uid="{696A290D-C1B6-4591-855A-6EEE4280068F}" name="Column10448"/>
    <tableColumn id="10454" xr3:uid="{325906DE-2F0B-42EA-AEFF-EB4846E8045B}" name="Column10449"/>
    <tableColumn id="10455" xr3:uid="{881C70CD-99B3-4264-ACED-6C69223A06A2}" name="Column10450"/>
    <tableColumn id="10456" xr3:uid="{C7F3E29F-0E73-4CB1-B6F9-4336EE47679F}" name="Column10451"/>
    <tableColumn id="10457" xr3:uid="{1F573E81-DDFA-4296-86A9-148A9F3DB65D}" name="Column10452"/>
    <tableColumn id="10458" xr3:uid="{6F133A55-6039-4C65-A4C2-0609D2655F31}" name="Column10453"/>
    <tableColumn id="10459" xr3:uid="{5D6128E4-54CF-4A07-AEA0-0746CA77D1AF}" name="Column10454"/>
    <tableColumn id="10460" xr3:uid="{1B6B731B-0081-4015-BE41-48D95AF66802}" name="Column10455"/>
    <tableColumn id="10461" xr3:uid="{3E2625F5-693F-4506-87AD-AF1D6114C3C9}" name="Column10456"/>
    <tableColumn id="10462" xr3:uid="{6E348170-CE37-4646-A15E-698FF3329E4E}" name="Column10457"/>
    <tableColumn id="10463" xr3:uid="{971F7572-8388-429E-9F0E-B558BA76FE84}" name="Column10458"/>
    <tableColumn id="10464" xr3:uid="{16AAF18C-7B57-4557-BD6D-4C099100D9AB}" name="Column10459"/>
    <tableColumn id="10465" xr3:uid="{214E759A-9FBF-4282-8AF1-FE8BCBB0E99A}" name="Column10460"/>
    <tableColumn id="10466" xr3:uid="{2D9640CF-B56C-4EB8-B184-B50FF0CD1EBD}" name="Column10461"/>
    <tableColumn id="10467" xr3:uid="{03EDA714-14FA-47D0-8379-02BD167CEED8}" name="Column10462"/>
    <tableColumn id="10468" xr3:uid="{3B883D78-1520-43DD-A403-F1303BC9EE6E}" name="Column10463"/>
    <tableColumn id="10469" xr3:uid="{80AC1377-C3C9-4684-AF32-8B82DF8BD58A}" name="Column10464"/>
    <tableColumn id="10470" xr3:uid="{2B3C6611-A12F-45BA-AFF7-BBE07E2AFF6C}" name="Column10465"/>
    <tableColumn id="10471" xr3:uid="{A1CB9164-840C-4DE3-8BBD-D8ADF81A7F67}" name="Column10466"/>
    <tableColumn id="10472" xr3:uid="{9921DCD9-CA14-4BD5-8A3D-12A645860294}" name="Column10467"/>
    <tableColumn id="10473" xr3:uid="{131CF7C5-88A3-482D-96F5-DFF8B378C2E2}" name="Column10468"/>
    <tableColumn id="10474" xr3:uid="{555A98A7-9B68-481C-9668-5702363E2F05}" name="Column10469"/>
    <tableColumn id="10475" xr3:uid="{0A3020F9-30B2-4B4E-8BD5-7EE338AA61AD}" name="Column10470"/>
    <tableColumn id="10476" xr3:uid="{8F604903-C825-4B98-9700-DAAC10D93798}" name="Column10471"/>
    <tableColumn id="10477" xr3:uid="{385313BF-E704-4871-9120-7204689EA9E5}" name="Column10472"/>
    <tableColumn id="10478" xr3:uid="{7DD01DB5-8BB4-4F93-B390-CEB706DF9A5A}" name="Column10473"/>
    <tableColumn id="10479" xr3:uid="{3ED40443-0DB0-40CE-9974-017472061C74}" name="Column10474"/>
    <tableColumn id="10480" xr3:uid="{08F0E48E-A63D-4628-BF78-440376BD9D90}" name="Column10475"/>
    <tableColumn id="10481" xr3:uid="{40552D07-1FB6-46FD-847B-C324B8312711}" name="Column10476"/>
    <tableColumn id="10482" xr3:uid="{BD73510F-E684-497A-892A-A28396C9B79F}" name="Column10477"/>
    <tableColumn id="10483" xr3:uid="{61247981-94A8-4133-A3AE-40CC177D64DB}" name="Column10478"/>
    <tableColumn id="10484" xr3:uid="{0D137576-20CA-4867-A854-26C36AFD3FBD}" name="Column10479"/>
    <tableColumn id="10485" xr3:uid="{E917F16E-2CA0-4389-9AD8-F06A6331AA6E}" name="Column10480"/>
    <tableColumn id="10486" xr3:uid="{BD2749D9-E004-4A49-B9E6-33EF4DEC24C4}" name="Column10481"/>
    <tableColumn id="10487" xr3:uid="{6976777C-ECC9-423C-94A3-BB1D4BC56B22}" name="Column10482"/>
    <tableColumn id="10488" xr3:uid="{AEE75F74-6729-4BB9-B339-3E8315A5AF8A}" name="Column10483"/>
    <tableColumn id="10489" xr3:uid="{C1470945-A76F-4CF0-91EA-7848CCDEABBA}" name="Column10484"/>
    <tableColumn id="10490" xr3:uid="{838F6C24-5739-4901-AE96-FEE934E35629}" name="Column10485"/>
    <tableColumn id="10491" xr3:uid="{280D055F-2832-48B8-BCFF-27B6F27924D6}" name="Column10486"/>
    <tableColumn id="10492" xr3:uid="{B72C5C0B-AE51-4B66-BF4F-5A9B89C0DFFE}" name="Column10487"/>
    <tableColumn id="10493" xr3:uid="{1DA860DB-F7A4-4A25-A680-679F100D6FD8}" name="Column10488"/>
    <tableColumn id="10494" xr3:uid="{A473BD7D-A50A-4DCE-9BA9-A6531F520569}" name="Column10489"/>
    <tableColumn id="10495" xr3:uid="{2947DF3D-431A-4D67-A9CB-945D6F09E8D0}" name="Column10490"/>
    <tableColumn id="10496" xr3:uid="{C5CF896E-78FE-4DE4-B6BD-A493E10B9978}" name="Column10491"/>
    <tableColumn id="10497" xr3:uid="{C009CE88-9519-4EC5-88E1-C3C181C69495}" name="Column10492"/>
    <tableColumn id="10498" xr3:uid="{114C3584-964B-40D2-9E95-A3969312E6CD}" name="Column10493"/>
    <tableColumn id="10499" xr3:uid="{4E735431-D5E0-4791-B307-85CBE609FA69}" name="Column10494"/>
    <tableColumn id="10500" xr3:uid="{1AB3F660-FDE0-4D1E-BA51-DCF8863FF92E}" name="Column10495"/>
    <tableColumn id="10501" xr3:uid="{8AB7BD7F-6C51-47AA-86BA-B82C13A68766}" name="Column10496"/>
    <tableColumn id="10502" xr3:uid="{D58AF82A-2A1D-458E-80C6-155B03B25E13}" name="Column10497"/>
    <tableColumn id="10503" xr3:uid="{50B72A59-9B90-4579-A1D9-B15F80608078}" name="Column10498"/>
    <tableColumn id="10504" xr3:uid="{3A01065A-5B1D-4A34-A28B-AF53F8111E98}" name="Column10499"/>
    <tableColumn id="10505" xr3:uid="{419AA062-4429-4D9C-B382-237BCF09B583}" name="Column10500"/>
    <tableColumn id="10506" xr3:uid="{8AD0E5A3-49C7-4F6F-AAE6-E2E5D49E3082}" name="Column10501"/>
    <tableColumn id="10507" xr3:uid="{5BE60EBA-D9D6-491C-BF25-51DE85DF114F}" name="Column10502"/>
    <tableColumn id="10508" xr3:uid="{AB96C34A-126A-4129-A1E6-1EB9FAB551E7}" name="Column10503"/>
    <tableColumn id="10509" xr3:uid="{AD81F3A2-0F16-4BA5-B845-1D9201ACA81B}" name="Column10504"/>
    <tableColumn id="10510" xr3:uid="{F752088C-1447-4C86-977B-98FE190F0114}" name="Column10505"/>
    <tableColumn id="10511" xr3:uid="{908044FD-562D-47FD-962C-E142A8ED1567}" name="Column10506"/>
    <tableColumn id="10512" xr3:uid="{E8AB1F20-7D27-45F9-A4E0-2C51AC8FB986}" name="Column10507"/>
    <tableColumn id="10513" xr3:uid="{EC327C0D-C899-40A6-917A-ABB2BE94D164}" name="Column10508"/>
    <tableColumn id="10514" xr3:uid="{08FE597B-63F3-4B41-AC9F-EA43B4AA7819}" name="Column10509"/>
    <tableColumn id="10515" xr3:uid="{846DB4AA-319D-4FF0-B09E-8C57099EA220}" name="Column10510"/>
    <tableColumn id="10516" xr3:uid="{4259D6C5-866F-4E0A-96C6-C7E0C54D1683}" name="Column10511"/>
    <tableColumn id="10517" xr3:uid="{9733FB77-0F7E-45E7-8F67-EF26A2065F0E}" name="Column10512"/>
    <tableColumn id="10518" xr3:uid="{2C148239-F7FE-4CF5-8647-521D535ACA65}" name="Column10513"/>
    <tableColumn id="10519" xr3:uid="{A07A6C16-162C-481B-B0BB-EDA444074E6F}" name="Column10514"/>
    <tableColumn id="10520" xr3:uid="{F47AD68F-BA23-4EDA-8A11-459A44B6611D}" name="Column10515"/>
    <tableColumn id="10521" xr3:uid="{079ECD83-9377-4C43-99BB-AB81EB72F715}" name="Column10516"/>
    <tableColumn id="10522" xr3:uid="{A84CC602-6CEC-4464-A3C5-4076DED9B6CE}" name="Column10517"/>
    <tableColumn id="10523" xr3:uid="{782A163C-3A35-4559-95C3-AED153E40810}" name="Column10518"/>
    <tableColumn id="10524" xr3:uid="{89EA2863-52B9-4135-8F6A-E8FD3F378C3B}" name="Column10519"/>
    <tableColumn id="10525" xr3:uid="{5AC28183-2256-4DEC-BCBB-853B8DAB1854}" name="Column10520"/>
    <tableColumn id="10526" xr3:uid="{83A82FA5-7EFB-441E-93F4-22A2AB93C3A0}" name="Column10521"/>
    <tableColumn id="10527" xr3:uid="{CCAA6106-2876-4465-92A0-DF02DAB42496}" name="Column10522"/>
    <tableColumn id="10528" xr3:uid="{4728FDA9-0187-4E0F-855A-B604EF1B15BE}" name="Column10523"/>
    <tableColumn id="10529" xr3:uid="{959C628E-8B69-4E62-BE26-ECE08DD01FC8}" name="Column10524"/>
    <tableColumn id="10530" xr3:uid="{21F8A174-7214-4E52-AB3F-53E682E1275E}" name="Column10525"/>
    <tableColumn id="10531" xr3:uid="{2791B25E-7F1B-4EF0-8B6A-340DF15B0768}" name="Column10526"/>
    <tableColumn id="10532" xr3:uid="{56080678-EBE1-41B7-A911-CDCF5C49C7E2}" name="Column10527"/>
    <tableColumn id="10533" xr3:uid="{AF36EC54-5A0D-4CB9-A01E-B429A0CC9FF5}" name="Column10528"/>
    <tableColumn id="10534" xr3:uid="{12D8BB52-A327-466D-A671-E6025A00AD41}" name="Column10529"/>
    <tableColumn id="10535" xr3:uid="{6373253D-4D9C-4198-A4DA-8304E8806D2D}" name="Column10530"/>
    <tableColumn id="10536" xr3:uid="{71944BEB-8585-4193-8929-BB4B1DF0784A}" name="Column10531"/>
    <tableColumn id="10537" xr3:uid="{4F1E7B33-A798-4FB3-8F2C-749DC591092E}" name="Column10532"/>
    <tableColumn id="10538" xr3:uid="{DB242384-82F0-49A2-9C30-470B9E15E1C2}" name="Column10533"/>
    <tableColumn id="10539" xr3:uid="{E5DA6A4F-C20A-4B71-8319-2879DF23712E}" name="Column10534"/>
    <tableColumn id="10540" xr3:uid="{CE0F95BA-1F0A-4E12-98F2-25895F38506A}" name="Column10535"/>
    <tableColumn id="10541" xr3:uid="{C460EF58-F8B9-43F0-8AFF-A346CDCD86FA}" name="Column10536"/>
    <tableColumn id="10542" xr3:uid="{8D37EB89-393E-4734-B3C0-45170F123269}" name="Column10537"/>
    <tableColumn id="10543" xr3:uid="{8F119C3C-2BCD-4D53-90B5-8F0E27F1FCC3}" name="Column10538"/>
    <tableColumn id="10544" xr3:uid="{9BC46523-C822-4F94-B50B-AF132409BAB0}" name="Column10539"/>
    <tableColumn id="10545" xr3:uid="{3718E325-556E-4539-AF1C-7D6C3AC819D7}" name="Column10540"/>
    <tableColumn id="10546" xr3:uid="{4479D2E6-11CB-4045-AF76-E99ED6FBD774}" name="Column10541"/>
    <tableColumn id="10547" xr3:uid="{82893EF4-006A-4215-9417-F47C7294B8B2}" name="Column10542"/>
    <tableColumn id="10548" xr3:uid="{7237D30D-8112-4803-B039-4839BFF87F99}" name="Column10543"/>
    <tableColumn id="10549" xr3:uid="{B86DECC3-A0F1-4DAF-8862-49B8C3F09942}" name="Column10544"/>
    <tableColumn id="10550" xr3:uid="{26D721DE-3362-4A3F-93F9-FD4A8252759D}" name="Column10545"/>
    <tableColumn id="10551" xr3:uid="{8E063A57-DF5A-48B3-8A1F-AE3985B99FFE}" name="Column10546"/>
    <tableColumn id="10552" xr3:uid="{248F9B5F-5E6D-432C-A69A-52D8EF8295C4}" name="Column10547"/>
    <tableColumn id="10553" xr3:uid="{7CE89849-4344-4A07-BDCC-AB5FDF464547}" name="Column10548"/>
    <tableColumn id="10554" xr3:uid="{87C8F196-1F2B-4170-BF12-8DE94FBE1478}" name="Column10549"/>
    <tableColumn id="10555" xr3:uid="{45E0A041-5847-4A2D-9791-31B5BFF9DC41}" name="Column10550"/>
    <tableColumn id="10556" xr3:uid="{0B47D189-1D53-4C3E-A5D3-AFF9F3EEB72D}" name="Column10551"/>
    <tableColumn id="10557" xr3:uid="{D6B9B4E0-3C78-46C7-868D-8DD7AD3BCF8E}" name="Column10552"/>
    <tableColumn id="10558" xr3:uid="{91E1E84E-3F2E-40F5-8348-E717177209DC}" name="Column10553"/>
    <tableColumn id="10559" xr3:uid="{D703D259-0CEB-4F72-86E1-BD63D1D1E66D}" name="Column10554"/>
    <tableColumn id="10560" xr3:uid="{E439B26D-2C10-4679-859D-D5F558258116}" name="Column10555"/>
    <tableColumn id="10561" xr3:uid="{02FAEB84-B71B-46F2-A31A-0710ED716BCB}" name="Column10556"/>
    <tableColumn id="10562" xr3:uid="{29AB2292-02DA-4C9A-89B0-032DA81548B4}" name="Column10557"/>
    <tableColumn id="10563" xr3:uid="{F42F0EAE-FF61-409D-898F-7532A9F40A06}" name="Column10558"/>
    <tableColumn id="10564" xr3:uid="{CFEE6AFA-4864-42F2-B5E3-D1A8B9503114}" name="Column10559"/>
    <tableColumn id="10565" xr3:uid="{9643DE78-2033-4A98-9B00-EAA70B828A6A}" name="Column10560"/>
    <tableColumn id="10566" xr3:uid="{42428E6D-E58D-4E50-81E6-44EA5C59670D}" name="Column10561"/>
    <tableColumn id="10567" xr3:uid="{6F9955EC-4268-4515-9E66-06B99EF63D49}" name="Column10562"/>
    <tableColumn id="10568" xr3:uid="{9BAFA04C-8B6B-40F2-9E73-98ADCE5C19F7}" name="Column10563"/>
    <tableColumn id="10569" xr3:uid="{993A6A34-D759-4268-9D92-00E318EE88B8}" name="Column10564"/>
    <tableColumn id="10570" xr3:uid="{2EBEB2C4-4E76-4DD0-A69B-EC8EA4360509}" name="Column10565"/>
    <tableColumn id="10571" xr3:uid="{2A19172E-D7CB-4101-AF12-BB9F81ACFDF4}" name="Column10566"/>
    <tableColumn id="10572" xr3:uid="{211E807D-7DC7-4772-8A22-1F38B2AFCE38}" name="Column10567"/>
    <tableColumn id="10573" xr3:uid="{75D79818-6CE7-499B-98C4-6404A0324E72}" name="Column10568"/>
    <tableColumn id="10574" xr3:uid="{456F61C0-6533-4992-8642-E829F557B541}" name="Column10569"/>
    <tableColumn id="10575" xr3:uid="{55F46120-4A68-46E8-90F3-0E64535617E7}" name="Column10570"/>
    <tableColumn id="10576" xr3:uid="{73DE35D5-8422-4128-9264-2F4BD85635B9}" name="Column10571"/>
    <tableColumn id="10577" xr3:uid="{09CAFE48-504F-4D9C-A626-5925B8FEAA69}" name="Column10572"/>
    <tableColumn id="10578" xr3:uid="{7435B3D8-00E4-43E6-A51C-94454B8E6A4E}" name="Column10573"/>
    <tableColumn id="10579" xr3:uid="{93F56E1E-8D7B-45B2-948D-C8A462D9EC76}" name="Column10574"/>
    <tableColumn id="10580" xr3:uid="{DE1FB498-63BF-446D-B683-A83413EFF20B}" name="Column10575"/>
    <tableColumn id="10581" xr3:uid="{284C90A4-448D-4488-93C9-6D474912A3F3}" name="Column10576"/>
    <tableColumn id="10582" xr3:uid="{134715A7-1632-4F5D-93BF-8D6ACDA90D7D}" name="Column10577"/>
    <tableColumn id="10583" xr3:uid="{12BBC094-16D5-48B6-844C-AF8B67382305}" name="Column10578"/>
    <tableColumn id="10584" xr3:uid="{422E8010-C55C-41E8-B4E3-A0061A803531}" name="Column10579"/>
    <tableColumn id="10585" xr3:uid="{64DE741B-77DD-4391-8F14-1FA36FA2AAA7}" name="Column10580"/>
    <tableColumn id="10586" xr3:uid="{1E961B01-53D2-493F-92B0-21062C47FE6F}" name="Column10581"/>
    <tableColumn id="10587" xr3:uid="{D671A6E8-3944-4999-8CF0-C2E8DD96E1B3}" name="Column10582"/>
    <tableColumn id="10588" xr3:uid="{FE0D10F8-764A-477F-9FD1-62600CCA3E06}" name="Column10583"/>
    <tableColumn id="10589" xr3:uid="{60752DB4-5D52-41D7-BC2A-8712FD750677}" name="Column10584"/>
    <tableColumn id="10590" xr3:uid="{2BC881C6-F177-46E7-85A5-53CE32D0E95C}" name="Column10585"/>
    <tableColumn id="10591" xr3:uid="{E9C4E99A-69EB-4104-9502-27C465ACDB44}" name="Column10586"/>
    <tableColumn id="10592" xr3:uid="{8AFEFED4-1EF3-449F-9941-38BCC171EC18}" name="Column10587"/>
    <tableColumn id="10593" xr3:uid="{567625E8-2753-4EDA-8AB7-3D9CACEEAD97}" name="Column10588"/>
    <tableColumn id="10594" xr3:uid="{98E52BA2-10E2-4147-9B29-31C8F565B68F}" name="Column10589"/>
    <tableColumn id="10595" xr3:uid="{5C9870DB-7E1C-41AD-BA64-5BE9CBA89163}" name="Column10590"/>
    <tableColumn id="10596" xr3:uid="{48055791-F2A3-410A-8BB8-6E8AB9BFA0F0}" name="Column10591"/>
    <tableColumn id="10597" xr3:uid="{C4F73339-94FA-4E64-BE98-54E3D69EC8F6}" name="Column10592"/>
    <tableColumn id="10598" xr3:uid="{66F6CB52-6CA9-4460-8127-171CE7C34F7A}" name="Column10593"/>
    <tableColumn id="10599" xr3:uid="{710C0970-28DF-49D6-8AD8-9D6509DF670D}" name="Column10594"/>
    <tableColumn id="10600" xr3:uid="{6E70779D-7C65-4A61-A64E-3CC9EB915219}" name="Column10595"/>
    <tableColumn id="10601" xr3:uid="{469FBCF1-23E8-400F-A124-59A7120861DE}" name="Column10596"/>
    <tableColumn id="10602" xr3:uid="{C9A49A9F-C1A3-431B-A937-FB8819B41DF2}" name="Column10597"/>
    <tableColumn id="10603" xr3:uid="{D0B3C0E6-AD22-49CC-8B33-582DA32CB10E}" name="Column10598"/>
    <tableColumn id="10604" xr3:uid="{6B490578-ABB5-4D4E-A2ED-9CFCACF725B7}" name="Column10599"/>
    <tableColumn id="10605" xr3:uid="{1F5C1E29-88E2-4DBA-AE38-2946D04DBE61}" name="Column10600"/>
    <tableColumn id="10606" xr3:uid="{1F151351-C534-4CE9-8B95-79867E99D104}" name="Column10601"/>
    <tableColumn id="10607" xr3:uid="{99980B9D-DDB7-41F1-A7DA-D30CC00B3C7A}" name="Column10602"/>
    <tableColumn id="10608" xr3:uid="{B3808C42-FAF2-4E64-A66E-56D055C27380}" name="Column10603"/>
    <tableColumn id="10609" xr3:uid="{9DD8E5AA-FC9A-4A37-8D1A-879C7E7BD8CC}" name="Column10604"/>
    <tableColumn id="10610" xr3:uid="{A80DED49-2FF5-409E-A557-DC025E098C31}" name="Column10605"/>
    <tableColumn id="10611" xr3:uid="{796C6920-C3EC-422E-BEF3-7D9E9A4B677B}" name="Column10606"/>
    <tableColumn id="10612" xr3:uid="{E1D0DD69-FD42-4F28-8521-3B2DBECA8451}" name="Column10607"/>
    <tableColumn id="10613" xr3:uid="{F6CCAD33-E0F0-4BC5-AF43-7CE1312CA2E6}" name="Column10608"/>
    <tableColumn id="10614" xr3:uid="{7E13A2C2-546E-4410-96F0-ACEB151D97AE}" name="Column10609"/>
    <tableColumn id="10615" xr3:uid="{A6D2CC9C-06D9-48B1-A935-78B9BD73A17F}" name="Column10610"/>
    <tableColumn id="10616" xr3:uid="{427BA3CF-A12A-4DDF-84D5-95E8F1E01486}" name="Column10611"/>
    <tableColumn id="10617" xr3:uid="{0A55925C-B392-4977-918F-15EE1622870C}" name="Column10612"/>
    <tableColumn id="10618" xr3:uid="{18CAF185-79C5-4314-AF9C-DB8256EBDDE8}" name="Column10613"/>
    <tableColumn id="10619" xr3:uid="{8CBF5B48-7984-4BEA-BC7B-C6CF3C10E5F8}" name="Column10614"/>
    <tableColumn id="10620" xr3:uid="{7409604F-C31D-4D5C-826D-971247D9D40D}" name="Column10615"/>
    <tableColumn id="10621" xr3:uid="{F3C7ECDF-1CD0-4E1E-9212-F994F6A8DC11}" name="Column10616"/>
    <tableColumn id="10622" xr3:uid="{3A6DDC87-A5DA-488F-B842-A62D6D7032EF}" name="Column10617"/>
    <tableColumn id="10623" xr3:uid="{0CA67892-B4C9-4FC4-A162-7A11DB50FC95}" name="Column10618"/>
    <tableColumn id="10624" xr3:uid="{011D61C6-C837-4E5E-9F47-0A3ED2C602B4}" name="Column10619"/>
    <tableColumn id="10625" xr3:uid="{5C254FAF-BCD9-4B1D-9077-443F98E5715F}" name="Column10620"/>
    <tableColumn id="10626" xr3:uid="{765B0176-2ABC-4145-823D-DFAF3DF02977}" name="Column10621"/>
    <tableColumn id="10627" xr3:uid="{AD6AF5A4-CAC3-4DAA-8ECB-D162C16810B7}" name="Column10622"/>
    <tableColumn id="10628" xr3:uid="{40AB0D11-0DAD-42BF-826D-222F53570F37}" name="Column10623"/>
    <tableColumn id="10629" xr3:uid="{44655E4A-5348-4011-9EEB-9C0B229C7D35}" name="Column10624"/>
    <tableColumn id="10630" xr3:uid="{82A3E9C3-1C68-45E1-AD99-082F39F649ED}" name="Column10625"/>
    <tableColumn id="10631" xr3:uid="{E89D4065-BEC8-42F2-BEE2-0E112DBAEC73}" name="Column10626"/>
    <tableColumn id="10632" xr3:uid="{04E34886-AD1D-44F2-B5FC-6136CE7C11BD}" name="Column10627"/>
    <tableColumn id="10633" xr3:uid="{3CD6E33C-97E2-4ADF-A8E2-EC773EDBA80F}" name="Column10628"/>
    <tableColumn id="10634" xr3:uid="{95964AA3-97BF-4F86-BDDC-891708DF2DBB}" name="Column10629"/>
    <tableColumn id="10635" xr3:uid="{3D001993-3C9B-465A-B3C1-19128E1A8F33}" name="Column10630"/>
    <tableColumn id="10636" xr3:uid="{3A667529-7D81-4B0E-9ED3-7C2B767F6F4C}" name="Column10631"/>
    <tableColumn id="10637" xr3:uid="{38C2EB7D-B770-4D47-8745-786ED7B1BEA0}" name="Column10632"/>
    <tableColumn id="10638" xr3:uid="{9E29805D-7215-40A4-AB94-8D0B343F6529}" name="Column10633"/>
    <tableColumn id="10639" xr3:uid="{0E3253ED-77E0-4B85-9FDC-737B58899A01}" name="Column10634"/>
    <tableColumn id="10640" xr3:uid="{9BA1BB61-93E3-4D82-A041-EDA71EBC5249}" name="Column10635"/>
    <tableColumn id="10641" xr3:uid="{9B1E1EE8-F3E3-405B-BA32-3E46A891CD9D}" name="Column10636"/>
    <tableColumn id="10642" xr3:uid="{942757BC-6EE6-47CA-9120-2EBD101074E6}" name="Column10637"/>
    <tableColumn id="10643" xr3:uid="{0A145194-1473-4AE9-9446-1E6255F892AF}" name="Column10638"/>
    <tableColumn id="10644" xr3:uid="{D5F944A9-FED3-4F5F-B27C-7C95247AC237}" name="Column10639"/>
    <tableColumn id="10645" xr3:uid="{8DF52FFF-3751-4E70-83E1-D17CFFCFFF90}" name="Column10640"/>
    <tableColumn id="10646" xr3:uid="{452AF42F-2B1F-45EE-A6F2-B2F0B7E24B95}" name="Column10641"/>
    <tableColumn id="10647" xr3:uid="{64949C02-527E-4213-865B-4AD580284A48}" name="Column10642"/>
    <tableColumn id="10648" xr3:uid="{14B4154B-86B9-471A-B948-46629988DD84}" name="Column10643"/>
    <tableColumn id="10649" xr3:uid="{75967E5E-5CE7-4656-B622-9E42C3FA1E79}" name="Column10644"/>
    <tableColumn id="10650" xr3:uid="{E28118A2-9C7B-4819-A6E0-BB757B9FA6EA}" name="Column10645"/>
    <tableColumn id="10651" xr3:uid="{8A794810-E815-437B-9B83-4F018617681C}" name="Column10646"/>
    <tableColumn id="10652" xr3:uid="{981AF682-2B58-43BC-8735-288FFD9D2178}" name="Column10647"/>
    <tableColumn id="10653" xr3:uid="{CF08DD2C-C262-410A-8E48-3B387B2408F1}" name="Column10648"/>
    <tableColumn id="10654" xr3:uid="{75CA8401-302D-4CD6-974A-313AAA29F02F}" name="Column10649"/>
    <tableColumn id="10655" xr3:uid="{EE561BD6-C4BB-419A-AE3D-21DCE77623C5}" name="Column10650"/>
    <tableColumn id="10656" xr3:uid="{DD3409AB-A549-424D-B556-0986EDD1221D}" name="Column10651"/>
    <tableColumn id="10657" xr3:uid="{F7A9E6E3-5D62-4C1A-A5A9-DC75C5A3F334}" name="Column10652"/>
    <tableColumn id="10658" xr3:uid="{C13A784B-D454-4A9D-84C3-CA30738E9919}" name="Column10653"/>
    <tableColumn id="10659" xr3:uid="{A92C9B19-BEE3-464D-BC8C-8EB41BA1A851}" name="Column10654"/>
    <tableColumn id="10660" xr3:uid="{1001484C-03DB-4DEF-975D-B23DE1A7C7C0}" name="Column10655"/>
    <tableColumn id="10661" xr3:uid="{E6F013CA-D018-406C-B84E-F3E6E243E3E4}" name="Column10656"/>
    <tableColumn id="10662" xr3:uid="{AAA183C9-9CB6-450C-8A28-A78754693B32}" name="Column10657"/>
    <tableColumn id="10663" xr3:uid="{E5DC63CF-DC0C-42CC-BB7A-4E3D66DE22D9}" name="Column10658"/>
    <tableColumn id="10664" xr3:uid="{F12A547C-7115-4404-B7BB-D1F8B68E18EC}" name="Column10659"/>
    <tableColumn id="10665" xr3:uid="{EB757A2C-4227-40DB-9552-B1840DA2102B}" name="Column10660"/>
    <tableColumn id="10666" xr3:uid="{69F0DBB3-F8DB-4412-A5FE-20A4254A891B}" name="Column10661"/>
    <tableColumn id="10667" xr3:uid="{FB7FE441-D761-40D0-BBF9-0124FCC6B3FD}" name="Column10662"/>
    <tableColumn id="10668" xr3:uid="{B1CBFD85-1754-4AFA-991D-974275F3473E}" name="Column10663"/>
    <tableColumn id="10669" xr3:uid="{047009CD-E39D-49A9-A4EB-D6ED3F0259CF}" name="Column10664"/>
    <tableColumn id="10670" xr3:uid="{CD428BFE-798A-420F-A8BC-764574F21369}" name="Column10665"/>
    <tableColumn id="10671" xr3:uid="{73883DB5-F1D6-4AF4-A819-5B5A2DA5A312}" name="Column10666"/>
    <tableColumn id="10672" xr3:uid="{66B58E32-F7E7-4011-8B9B-FFD5DCE8F609}" name="Column10667"/>
    <tableColumn id="10673" xr3:uid="{FA685C71-2784-4644-A88A-4FF358B92E06}" name="Column10668"/>
    <tableColumn id="10674" xr3:uid="{B08F9BD4-6C17-4E46-8A6F-EF2980564E10}" name="Column10669"/>
    <tableColumn id="10675" xr3:uid="{277F4B69-67CB-4E5C-AC8A-EF0E21281B28}" name="Column10670"/>
    <tableColumn id="10676" xr3:uid="{04739CB0-D92E-4B90-9AE1-1CAE4B785B15}" name="Column10671"/>
    <tableColumn id="10677" xr3:uid="{C50D02CA-9A8F-4EB7-9C8C-112F33B8E29F}" name="Column10672"/>
    <tableColumn id="10678" xr3:uid="{7F82CA90-6019-4502-999C-356E1F202B74}" name="Column10673"/>
    <tableColumn id="10679" xr3:uid="{37C85CD2-8E92-466E-901C-8A4B5608BC5C}" name="Column10674"/>
    <tableColumn id="10680" xr3:uid="{891D8924-8486-463A-B539-EACCB1136DE0}" name="Column10675"/>
    <tableColumn id="10681" xr3:uid="{B2D36154-8398-40F8-B674-B48CF12E1582}" name="Column10676"/>
    <tableColumn id="10682" xr3:uid="{93A895FB-8C57-40C7-89D6-657557C154AA}" name="Column10677"/>
    <tableColumn id="10683" xr3:uid="{9CEBD6F3-DF86-4E01-AFCD-F1A76DB3A028}" name="Column10678"/>
    <tableColumn id="10684" xr3:uid="{C6C40844-6D27-4A48-9745-FF201B64714F}" name="Column10679"/>
    <tableColumn id="10685" xr3:uid="{81BA8273-324C-4371-8EFF-F942D5AFC668}" name="Column10680"/>
    <tableColumn id="10686" xr3:uid="{DB06735D-C063-44D2-8D0E-351FFDF06835}" name="Column10681"/>
    <tableColumn id="10687" xr3:uid="{6DE52ADD-4DE3-4A96-AF4A-8B902571780D}" name="Column10682"/>
    <tableColumn id="10688" xr3:uid="{2749AC09-B23B-4A04-8238-5371055B5AC0}" name="Column10683"/>
    <tableColumn id="10689" xr3:uid="{FF32FB6E-B9D4-4BC0-8CA0-9281ED147CCB}" name="Column10684"/>
    <tableColumn id="10690" xr3:uid="{CB3EA4FF-1A80-4340-8BB4-679E893757D1}" name="Column10685"/>
    <tableColumn id="10691" xr3:uid="{4E389E17-3C4E-4848-8ABA-1D91E8B5BF72}" name="Column10686"/>
    <tableColumn id="10692" xr3:uid="{7A013458-6A01-4E6A-A0E9-7D92B53837E4}" name="Column10687"/>
    <tableColumn id="10693" xr3:uid="{67511BA5-B6A7-4D83-B2AA-36A5052AC2AB}" name="Column10688"/>
    <tableColumn id="10694" xr3:uid="{957EE199-2272-4850-921D-3E85CEAE5DC7}" name="Column10689"/>
    <tableColumn id="10695" xr3:uid="{076B9DBA-D946-498B-A8C1-3CAD854211E1}" name="Column10690"/>
    <tableColumn id="10696" xr3:uid="{E30372E2-1A5A-4E43-A4C4-CC24AD1C1687}" name="Column10691"/>
    <tableColumn id="10697" xr3:uid="{55CB646C-D4D2-4368-86C7-054FC29B1A22}" name="Column10692"/>
    <tableColumn id="10698" xr3:uid="{8FAC8F3F-846A-4B84-A7DB-D46D52E48590}" name="Column10693"/>
    <tableColumn id="10699" xr3:uid="{367012E8-F34E-4B8E-ABE8-E145540D82A0}" name="Column10694"/>
    <tableColumn id="10700" xr3:uid="{3C74502A-D650-4709-9E98-6C17EED2D313}" name="Column10695"/>
    <tableColumn id="10701" xr3:uid="{44FD647B-88F6-4B17-B16D-6CB78CAAAFEE}" name="Column10696"/>
    <tableColumn id="10702" xr3:uid="{640F7355-021A-4077-9312-4619C10D881E}" name="Column10697"/>
    <tableColumn id="10703" xr3:uid="{34873BC2-EC64-4F83-8B4A-0F805C6F4D47}" name="Column10698"/>
    <tableColumn id="10704" xr3:uid="{C1214BFD-2710-46F8-9C4A-2DCC2853C1FA}" name="Column10699"/>
    <tableColumn id="10705" xr3:uid="{A9271A12-6C84-47D1-A37D-4539F38A5BB0}" name="Column10700"/>
    <tableColumn id="10706" xr3:uid="{F2FE90E7-7A5D-4A15-B571-0800BBC0FA4C}" name="Column10701"/>
    <tableColumn id="10707" xr3:uid="{81F63E06-2138-4E1E-A247-5CA254063512}" name="Column10702"/>
    <tableColumn id="10708" xr3:uid="{C2140E9A-DA37-4766-B50D-7E78866230A6}" name="Column10703"/>
    <tableColumn id="10709" xr3:uid="{80507258-C79E-456E-92C2-640D9207AED8}" name="Column10704"/>
    <tableColumn id="10710" xr3:uid="{F12E1483-F99E-409B-A676-A64BDFCCC55D}" name="Column10705"/>
    <tableColumn id="10711" xr3:uid="{283EB247-41D4-4463-BFEE-C2F203429C00}" name="Column10706"/>
    <tableColumn id="10712" xr3:uid="{C68FE302-C6A6-410B-B7FC-A78B30AD1C32}" name="Column10707"/>
    <tableColumn id="10713" xr3:uid="{989127C3-67C3-4DA1-8DAB-FBC5865E8659}" name="Column10708"/>
    <tableColumn id="10714" xr3:uid="{7AE535D2-4B69-41C6-8534-41A6B9EFA6D7}" name="Column10709"/>
    <tableColumn id="10715" xr3:uid="{DB59F026-D491-458B-8DE2-07E31DB5938D}" name="Column10710"/>
    <tableColumn id="10716" xr3:uid="{3C492CAE-8AC2-4476-9868-E5E85B15D290}" name="Column10711"/>
    <tableColumn id="10717" xr3:uid="{940DFD0E-6AB3-4F41-AD69-7F80D0303DD2}" name="Column10712"/>
    <tableColumn id="10718" xr3:uid="{E2176943-7109-41AE-9D30-4E93EF9705B7}" name="Column10713"/>
    <tableColumn id="10719" xr3:uid="{DA9255B0-4BE7-47A0-8A46-90C4CF9EA937}" name="Column10714"/>
    <tableColumn id="10720" xr3:uid="{BF127838-8C70-4B2F-87D6-34EFE0C2D588}" name="Column10715"/>
    <tableColumn id="10721" xr3:uid="{7B02DBC0-3451-4D8F-B384-B3881932A31C}" name="Column10716"/>
    <tableColumn id="10722" xr3:uid="{E9189129-501C-466B-8E34-8AD06894659E}" name="Column10717"/>
    <tableColumn id="10723" xr3:uid="{747D624C-AEB6-44A2-858F-EFB2ECCF4F63}" name="Column10718"/>
    <tableColumn id="10724" xr3:uid="{C735A8FF-F69E-45E0-8B25-DF2CDBEAC7F1}" name="Column10719"/>
    <tableColumn id="10725" xr3:uid="{725F127F-7537-499D-A54E-B59BE9BABF91}" name="Column10720"/>
    <tableColumn id="10726" xr3:uid="{E78BAF9E-587C-41AE-96C7-C5FAC2F0D884}" name="Column10721"/>
    <tableColumn id="10727" xr3:uid="{1B8BE58A-4315-4EAD-91C5-39006DEDE440}" name="Column10722"/>
    <tableColumn id="10728" xr3:uid="{5944BEF0-DA54-4A08-BBE1-2622C20DA3D0}" name="Column10723"/>
    <tableColumn id="10729" xr3:uid="{E28FC792-AE4B-4A72-8CC1-3F7BC461ECC5}" name="Column10724"/>
    <tableColumn id="10730" xr3:uid="{0571C04C-7C8E-4512-9EA2-57F673E02096}" name="Column10725"/>
    <tableColumn id="10731" xr3:uid="{441B4819-7E88-4FD4-8627-44EAD4D5D10C}" name="Column10726"/>
    <tableColumn id="10732" xr3:uid="{18666A5D-AE58-460F-8287-5BA78276E8AB}" name="Column10727"/>
    <tableColumn id="10733" xr3:uid="{DA864C20-4C31-4993-AB76-9C1189E5349B}" name="Column10728"/>
    <tableColumn id="10734" xr3:uid="{84E22B42-999C-4B25-AE59-B20EF78E64D4}" name="Column10729"/>
    <tableColumn id="10735" xr3:uid="{69855ED9-79E8-4807-8405-3B41CCF40124}" name="Column10730"/>
    <tableColumn id="10736" xr3:uid="{53DBE3F9-CEA2-4B40-BF13-E6990511EC4D}" name="Column10731"/>
    <tableColumn id="10737" xr3:uid="{8242A0B6-E38C-469C-A971-16D488DFFBB6}" name="Column10732"/>
    <tableColumn id="10738" xr3:uid="{4F9151AD-5096-4F36-B33F-4F59850E0F06}" name="Column10733"/>
    <tableColumn id="10739" xr3:uid="{0B2B3DE3-0AE6-4F68-BB9B-BCEE062E4F10}" name="Column10734"/>
    <tableColumn id="10740" xr3:uid="{F7051186-0708-4431-ABEC-7214D0D45E66}" name="Column10735"/>
    <tableColumn id="10741" xr3:uid="{D2218EB3-A875-4179-85B4-1813FE8AA462}" name="Column10736"/>
    <tableColumn id="10742" xr3:uid="{4DD2EB1A-7228-4BEA-9059-F8B0A5800BF1}" name="Column10737"/>
    <tableColumn id="10743" xr3:uid="{80BE1E11-BE0A-4B6B-982B-48A22C80A0D5}" name="Column10738"/>
    <tableColumn id="10744" xr3:uid="{5D26FAEC-E51D-4C22-86B8-ACED89C65CEE}" name="Column10739"/>
    <tableColumn id="10745" xr3:uid="{72A7E443-5A30-4F80-99AB-AC030C0CC292}" name="Column10740"/>
    <tableColumn id="10746" xr3:uid="{EFAC21B2-9BCC-47E8-B44B-A650CE8642DE}" name="Column10741"/>
    <tableColumn id="10747" xr3:uid="{977B7E7F-25B4-4A7B-928F-3D06EEE0DC57}" name="Column10742"/>
    <tableColumn id="10748" xr3:uid="{9E56D053-D9EB-48A2-AE10-0CD37653494E}" name="Column10743"/>
    <tableColumn id="10749" xr3:uid="{BC418FA8-02CD-4C30-B0AA-FC8267B5E04C}" name="Column10744"/>
    <tableColumn id="10750" xr3:uid="{15E496CD-D918-4DC2-917B-781835D041B0}" name="Column10745"/>
    <tableColumn id="10751" xr3:uid="{77EEF070-7D6E-4C3F-BC9D-B4658D9D662B}" name="Column10746"/>
    <tableColumn id="10752" xr3:uid="{E6B2E7E2-7856-4C5A-9244-01730BF7ECE7}" name="Column10747"/>
    <tableColumn id="10753" xr3:uid="{0086110B-4420-40FD-ABB9-85B5C155A95B}" name="Column10748"/>
    <tableColumn id="10754" xr3:uid="{6FBC2471-DF8A-4C9C-ABFE-49BE8F8109E1}" name="Column10749"/>
    <tableColumn id="10755" xr3:uid="{4BA1FB05-4877-419A-A796-C79614641D21}" name="Column10750"/>
    <tableColumn id="10756" xr3:uid="{6901B123-F3E1-4887-B615-717B57AFEB84}" name="Column10751"/>
    <tableColumn id="10757" xr3:uid="{30C1661A-6D3B-4CCF-A1BB-64608063ED23}" name="Column10752"/>
    <tableColumn id="10758" xr3:uid="{25ACD47B-338D-4F4F-91CE-4417A8533D25}" name="Column10753"/>
    <tableColumn id="10759" xr3:uid="{C440D1A7-A8FF-44AC-A9D7-4946169D7E39}" name="Column10754"/>
    <tableColumn id="10760" xr3:uid="{7C3D1DA5-CC0C-4624-960B-A7CAE5B81542}" name="Column10755"/>
    <tableColumn id="10761" xr3:uid="{A274B514-16B7-4CE2-B285-7D793F9F4C00}" name="Column10756"/>
    <tableColumn id="10762" xr3:uid="{F5550564-8B05-4567-A107-1EEF81A6A9F8}" name="Column10757"/>
    <tableColumn id="10763" xr3:uid="{2FDEB16C-4ACD-46E2-AAF6-5C2B01C5A286}" name="Column10758"/>
    <tableColumn id="10764" xr3:uid="{CBFB5F0C-4BB9-4F34-8AAC-4E2E604449D8}" name="Column10759"/>
    <tableColumn id="10765" xr3:uid="{DB8BA8B1-8E09-4127-9D2E-3B70089C8FB1}" name="Column10760"/>
    <tableColumn id="10766" xr3:uid="{C7A3E03B-5DBD-4DCA-810F-4027C213044D}" name="Column10761"/>
    <tableColumn id="10767" xr3:uid="{1417F6BC-83C0-4715-AC9E-5442ABAAB1A5}" name="Column10762"/>
    <tableColumn id="10768" xr3:uid="{D5C80A60-3E5B-441F-A5CE-C4AC70CB753B}" name="Column10763"/>
    <tableColumn id="10769" xr3:uid="{7341EA88-12B1-4987-BAB2-9E057C1E1028}" name="Column10764"/>
    <tableColumn id="10770" xr3:uid="{81E90EE0-0A4C-41F1-94BC-45D2BC607717}" name="Column10765"/>
    <tableColumn id="10771" xr3:uid="{61892F18-7320-487E-89AF-4E053D677F18}" name="Column10766"/>
    <tableColumn id="10772" xr3:uid="{D2E2C59D-1383-4E64-9E4A-1DE5DCCB4294}" name="Column10767"/>
    <tableColumn id="10773" xr3:uid="{84B89695-2E43-4256-BA0D-B1A50A21B91C}" name="Column10768"/>
    <tableColumn id="10774" xr3:uid="{3A664DB0-357B-4E3E-9C4B-672B698CDA96}" name="Column10769"/>
    <tableColumn id="10775" xr3:uid="{94C273AB-6156-490F-84B3-CC5FBF1AF591}" name="Column10770"/>
    <tableColumn id="10776" xr3:uid="{B9967DEC-994B-4B2E-8A21-C138D8534BE7}" name="Column10771"/>
    <tableColumn id="10777" xr3:uid="{0F056915-0BA0-4135-AACC-0C476CDA542E}" name="Column10772"/>
    <tableColumn id="10778" xr3:uid="{0906E3A9-62F7-4955-B347-EDF95727562F}" name="Column10773"/>
    <tableColumn id="10779" xr3:uid="{D5F1032D-2777-482B-838C-FADE903D0394}" name="Column10774"/>
    <tableColumn id="10780" xr3:uid="{06168A23-F1E8-4791-8134-334DA14E30F4}" name="Column10775"/>
    <tableColumn id="10781" xr3:uid="{2E2AB0DE-708A-4A0A-BECB-5DFCB8FF0588}" name="Column10776"/>
    <tableColumn id="10782" xr3:uid="{AE5784FE-2E79-4D19-8DE5-A16C19A6D56B}" name="Column10777"/>
    <tableColumn id="10783" xr3:uid="{F92025CC-656C-4255-BD31-73E81A90D5DE}" name="Column10778"/>
    <tableColumn id="10784" xr3:uid="{88972724-EEFD-491E-9EF1-B3BE4C5F8B75}" name="Column10779"/>
    <tableColumn id="10785" xr3:uid="{A77AE7DD-40D6-406B-BBC3-01D7914DD35F}" name="Column10780"/>
    <tableColumn id="10786" xr3:uid="{FF1FA40B-99E2-4FF5-8CE0-955FD92BBDE5}" name="Column10781"/>
    <tableColumn id="10787" xr3:uid="{DCFBCEFC-63E5-4744-A6F3-D6D36B39FA1D}" name="Column10782"/>
    <tableColumn id="10788" xr3:uid="{2DAA5C35-026C-4A91-92F5-FCBFF8CDA9A0}" name="Column10783"/>
    <tableColumn id="10789" xr3:uid="{93DAD389-3555-454B-992F-10269B3BA3EE}" name="Column10784"/>
    <tableColumn id="10790" xr3:uid="{B33BB76A-878D-494E-BD92-E77610F18127}" name="Column10785"/>
    <tableColumn id="10791" xr3:uid="{F828C662-94F8-41C2-BBA5-19F49C0EDDD9}" name="Column10786"/>
    <tableColumn id="10792" xr3:uid="{C66A99B7-3498-4331-B11F-DF4DFB563A46}" name="Column10787"/>
    <tableColumn id="10793" xr3:uid="{CE08A3FB-17C1-45C5-AC8A-CDFCA1022A2D}" name="Column10788"/>
    <tableColumn id="10794" xr3:uid="{85A578DF-D4EC-4041-8FBD-A2AD59D4272A}" name="Column10789"/>
    <tableColumn id="10795" xr3:uid="{88E675A0-0AD4-44FC-BFF1-2DC889F7EA08}" name="Column10790"/>
    <tableColumn id="10796" xr3:uid="{3A899B17-40E7-4F12-8F18-843CF1381C7C}" name="Column10791"/>
    <tableColumn id="10797" xr3:uid="{EF75C51A-BAD7-4FF9-BF7D-FA31C667C825}" name="Column10792"/>
    <tableColumn id="10798" xr3:uid="{36B17564-D409-4252-BF74-49895FA76789}" name="Column10793"/>
    <tableColumn id="10799" xr3:uid="{D2C064D3-75E3-4B1C-82EF-60E2D6433A4D}" name="Column10794"/>
    <tableColumn id="10800" xr3:uid="{AC1B359F-8074-4DC2-9FD3-744776FA9A8C}" name="Column10795"/>
    <tableColumn id="10801" xr3:uid="{4AB53FC7-4CF0-4878-95FB-F4216552ACA2}" name="Column10796"/>
    <tableColumn id="10802" xr3:uid="{6062F679-87FB-4B6B-8DA4-8B0B7EA4148F}" name="Column10797"/>
    <tableColumn id="10803" xr3:uid="{C3499A31-0AF0-43A5-BC24-BB584768884B}" name="Column10798"/>
    <tableColumn id="10804" xr3:uid="{1D5894D1-7670-49D9-93B2-1F5E375FB05A}" name="Column10799"/>
    <tableColumn id="10805" xr3:uid="{4E4E1B7D-5931-462F-9B07-90C7CFB3FA3D}" name="Column10800"/>
    <tableColumn id="10806" xr3:uid="{5FC9DA0C-2610-4287-8957-9F971A2A5F54}" name="Column10801"/>
    <tableColumn id="10807" xr3:uid="{0187D959-12DC-4961-A763-A4901B14C8E8}" name="Column10802"/>
    <tableColumn id="10808" xr3:uid="{3FC21E0D-6517-43F8-AC5E-699A694DC6B2}" name="Column10803"/>
    <tableColumn id="10809" xr3:uid="{B46DD276-1C30-4C3D-8C2D-E8EBA7B8B91B}" name="Column10804"/>
    <tableColumn id="10810" xr3:uid="{82F7F6CD-6780-4F97-B9DD-863491292CD1}" name="Column10805"/>
    <tableColumn id="10811" xr3:uid="{44E7B21B-54B6-4323-9362-966EF292C39F}" name="Column10806"/>
    <tableColumn id="10812" xr3:uid="{6AFEE656-F589-4A6D-94C2-245397D8A549}" name="Column10807"/>
    <tableColumn id="10813" xr3:uid="{5E3D4528-F21F-4E78-B1C5-C8C1B8053250}" name="Column10808"/>
    <tableColumn id="10814" xr3:uid="{A6BBDBB7-3546-41EC-AB65-C2A95DCBBA21}" name="Column10809"/>
    <tableColumn id="10815" xr3:uid="{BB3BE34A-EA5A-4969-BE30-F31EE115377C}" name="Column10810"/>
    <tableColumn id="10816" xr3:uid="{AEC4ED8F-A591-4D13-A750-D6A248F18365}" name="Column10811"/>
    <tableColumn id="10817" xr3:uid="{177D2F76-712B-4C4D-B695-A1DDB7CAC222}" name="Column10812"/>
    <tableColumn id="10818" xr3:uid="{DC1AE08E-1B6C-4A3F-A5DC-EE7F360F402E}" name="Column10813"/>
    <tableColumn id="10819" xr3:uid="{0D3CF530-369B-4ADF-98F3-B0BB592E2323}" name="Column10814"/>
    <tableColumn id="10820" xr3:uid="{C45950BD-B0A1-4EB2-A8FF-21BC0E6A31FB}" name="Column10815"/>
    <tableColumn id="10821" xr3:uid="{29D0FEA5-46C6-4857-BC18-C47C49FA24FC}" name="Column10816"/>
    <tableColumn id="10822" xr3:uid="{348AE4CC-F956-4B1F-95DE-CFD68C65AE49}" name="Column10817"/>
    <tableColumn id="10823" xr3:uid="{FAE2CBEB-23DB-4FAC-ADCD-8E953D247999}" name="Column10818"/>
    <tableColumn id="10824" xr3:uid="{59B99168-611E-4AB5-A28E-9DCB8ED661F2}" name="Column10819"/>
    <tableColumn id="10825" xr3:uid="{EB490F1B-3F54-44FE-B4D4-D6F46AEE3D4F}" name="Column10820"/>
    <tableColumn id="10826" xr3:uid="{275C93BC-E93C-4D8A-A87A-AA646026995E}" name="Column10821"/>
    <tableColumn id="10827" xr3:uid="{53C42D49-42D8-4D07-86A9-F43F6EA8119B}" name="Column10822"/>
    <tableColumn id="10828" xr3:uid="{FBCEA5F1-177A-42D3-A977-01569CE1A151}" name="Column10823"/>
    <tableColumn id="10829" xr3:uid="{C9A89B08-CCD8-4E74-9920-B07C131040A4}" name="Column10824"/>
    <tableColumn id="10830" xr3:uid="{0F455018-8A25-4D33-9B8B-40D14DC82748}" name="Column10825"/>
    <tableColumn id="10831" xr3:uid="{B0354B5C-02C7-4242-95D2-0542D78722FC}" name="Column10826"/>
    <tableColumn id="10832" xr3:uid="{DD76428B-37D1-4AA0-A421-82489316E53B}" name="Column10827"/>
    <tableColumn id="10833" xr3:uid="{32654C3B-7D7E-4C78-9344-E04F1878C8D3}" name="Column10828"/>
    <tableColumn id="10834" xr3:uid="{1E253885-2D6B-42DA-96FF-6F393085AC4B}" name="Column10829"/>
    <tableColumn id="10835" xr3:uid="{56E0A608-D5A4-4DDE-A2A3-6BF216F89691}" name="Column10830"/>
    <tableColumn id="10836" xr3:uid="{6B971A2B-3B42-4FE6-90FF-7CDFFED56042}" name="Column10831"/>
    <tableColumn id="10837" xr3:uid="{9E4FEE8D-80ED-4C16-A882-471EB23037CF}" name="Column10832"/>
    <tableColumn id="10838" xr3:uid="{4921926C-3EC7-45E0-B737-6F0E7B1FF5AD}" name="Column10833"/>
    <tableColumn id="10839" xr3:uid="{463B6660-4F95-4246-BDAC-CAA8C31EB785}" name="Column10834"/>
    <tableColumn id="10840" xr3:uid="{1EBAF375-3B67-4F66-9FB5-42D3166639C2}" name="Column10835"/>
    <tableColumn id="10841" xr3:uid="{9D58CA85-296D-427D-9695-F7009D585A1D}" name="Column10836"/>
    <tableColumn id="10842" xr3:uid="{EC28576B-51D8-4700-A948-04F8267512BB}" name="Column10837"/>
    <tableColumn id="10843" xr3:uid="{63F63419-494D-441E-B312-F574D1C105B5}" name="Column10838"/>
    <tableColumn id="10844" xr3:uid="{B38A5D06-BEA4-4717-96C4-C0F3B14763B9}" name="Column10839"/>
    <tableColumn id="10845" xr3:uid="{39D3C831-37BF-457C-ACED-9699E0F7BA12}" name="Column10840"/>
    <tableColumn id="10846" xr3:uid="{A1E4D4AA-37DB-413C-8E14-BA2F2BB7B593}" name="Column10841"/>
    <tableColumn id="10847" xr3:uid="{7EEF49AC-FBA3-4B54-B482-44E5A71FE1DB}" name="Column10842"/>
    <tableColumn id="10848" xr3:uid="{2BDDD4A5-F285-4A9D-B467-047D7A2CFC1D}" name="Column10843"/>
    <tableColumn id="10849" xr3:uid="{AD272D44-751A-4D01-A9E6-9BFEBDECF28B}" name="Column10844"/>
    <tableColumn id="10850" xr3:uid="{8743FDD7-CF06-4FCE-89EF-7CBA85E00C4C}" name="Column10845"/>
    <tableColumn id="10851" xr3:uid="{C1DE384A-54B4-4307-9500-847C0915A88A}" name="Column10846"/>
    <tableColumn id="10852" xr3:uid="{FB6210F5-2B05-4D9C-BBA0-E633E4B777B0}" name="Column10847"/>
    <tableColumn id="10853" xr3:uid="{82171C5B-F01E-4386-A816-89563FDBB973}" name="Column10848"/>
    <tableColumn id="10854" xr3:uid="{6D006F38-4EFB-4088-9791-800F7580FC83}" name="Column10849"/>
    <tableColumn id="10855" xr3:uid="{6FCAE74F-2D01-46EB-BF22-98C5810AC9D4}" name="Column10850"/>
    <tableColumn id="10856" xr3:uid="{7C3479C1-335D-46B3-8A8E-347237687359}" name="Column10851"/>
    <tableColumn id="10857" xr3:uid="{CCCD6B4C-3A96-4EB2-8E86-B95C7BCDD46E}" name="Column10852"/>
    <tableColumn id="10858" xr3:uid="{B0D1FB75-B620-4DBE-9663-474CD2329086}" name="Column10853"/>
    <tableColumn id="10859" xr3:uid="{E9078139-D0F5-4375-B04F-2C1735CB7DCF}" name="Column10854"/>
    <tableColumn id="10860" xr3:uid="{C9C348EA-0569-4F59-8314-834F929F814A}" name="Column10855"/>
    <tableColumn id="10861" xr3:uid="{6B241482-AE53-4D84-89D3-762D259D2992}" name="Column10856"/>
    <tableColumn id="10862" xr3:uid="{0E6D4280-5B60-4127-9682-F4DFE1B1B518}" name="Column10857"/>
    <tableColumn id="10863" xr3:uid="{F0544FAD-F6D3-46F3-A691-B821F43C2100}" name="Column10858"/>
    <tableColumn id="10864" xr3:uid="{C59FF31A-8DDF-4F41-96DD-6F9AB3EC7D76}" name="Column10859"/>
    <tableColumn id="10865" xr3:uid="{EB0C1CB7-3C6B-4D1E-89B9-3655E1C1169B}" name="Column10860"/>
    <tableColumn id="10866" xr3:uid="{91F0E2E9-E83F-45DF-A872-1E7A799CFE30}" name="Column10861"/>
    <tableColumn id="10867" xr3:uid="{3B157498-39BA-46DC-9BA4-EFC40FB1686B}" name="Column10862"/>
    <tableColumn id="10868" xr3:uid="{8E1DD5E8-61B7-40B6-A376-A43BDCB1927E}" name="Column10863"/>
    <tableColumn id="10869" xr3:uid="{4C315A3B-47EA-4DF1-B650-8DE266E8369E}" name="Column10864"/>
    <tableColumn id="10870" xr3:uid="{34874F72-F880-48E0-8DA8-88D9A8F1121D}" name="Column10865"/>
    <tableColumn id="10871" xr3:uid="{BA8DAF5B-60CE-4359-B822-C597007014A4}" name="Column10866"/>
    <tableColumn id="10872" xr3:uid="{53D6E76F-CE9D-4EE5-86B5-7EA785B0A02B}" name="Column10867"/>
    <tableColumn id="10873" xr3:uid="{AD416B55-7CE0-4A93-9806-EE2C972A1E1C}" name="Column10868"/>
    <tableColumn id="10874" xr3:uid="{E0017095-A229-49D7-99BF-770220C9276D}" name="Column10869"/>
    <tableColumn id="10875" xr3:uid="{52ECF5DA-C350-4D34-BFA9-E3B7CC919669}" name="Column10870"/>
    <tableColumn id="10876" xr3:uid="{CE00F2C3-38E6-4261-B8D4-ED4A17802194}" name="Column10871"/>
    <tableColumn id="10877" xr3:uid="{924C6C8B-B8EE-4993-9433-47F66863B94F}" name="Column10872"/>
    <tableColumn id="10878" xr3:uid="{F7325B18-1A87-4B45-BEAB-C2FE87A04E8B}" name="Column10873"/>
    <tableColumn id="10879" xr3:uid="{24F64660-EEB0-4803-A9AB-F5E54F480889}" name="Column10874"/>
    <tableColumn id="10880" xr3:uid="{A2CF54CC-1FB2-4762-BA0C-32E6CF4E6BE9}" name="Column10875"/>
    <tableColumn id="10881" xr3:uid="{F1C61A70-5CAF-4104-965D-56304A8819E8}" name="Column10876"/>
    <tableColumn id="10882" xr3:uid="{0F5F3151-DA59-41F5-930F-6ADB0063E403}" name="Column10877"/>
    <tableColumn id="10883" xr3:uid="{400C6260-0E2E-4320-9D20-55D9B28AE6FB}" name="Column10878"/>
    <tableColumn id="10884" xr3:uid="{C7558435-4E9D-40B9-A648-4252DA854D17}" name="Column10879"/>
    <tableColumn id="10885" xr3:uid="{5D7CA7D7-B86B-4E6C-856F-753238A22EBB}" name="Column10880"/>
    <tableColumn id="10886" xr3:uid="{BD8F2F3E-9962-49D1-9456-26F7FF8B1C09}" name="Column10881"/>
    <tableColumn id="10887" xr3:uid="{50D3900D-8E19-4911-81EB-AAD5A73555FE}" name="Column10882"/>
    <tableColumn id="10888" xr3:uid="{553846C2-80F9-41A4-B56A-92ECE22B66AC}" name="Column10883"/>
    <tableColumn id="10889" xr3:uid="{B6FF7622-AADD-4591-B209-10C9DD8F29FF}" name="Column10884"/>
    <tableColumn id="10890" xr3:uid="{FB322463-197B-4A8B-8A30-A10D4EBD3CC8}" name="Column10885"/>
    <tableColumn id="10891" xr3:uid="{8D917462-12A5-49A6-BFA5-22B6869473A9}" name="Column10886"/>
    <tableColumn id="10892" xr3:uid="{E5AE4BB2-2B4E-4716-9AFF-6D3DAE6DD8C0}" name="Column10887"/>
    <tableColumn id="10893" xr3:uid="{9091768E-C4F7-4550-909C-8F09342B97F6}" name="Column10888"/>
    <tableColumn id="10894" xr3:uid="{9FEA6E39-FCCA-4AFB-B353-BC30A5936F81}" name="Column10889"/>
    <tableColumn id="10895" xr3:uid="{42BB706D-AF22-4606-9931-EC4C5833EF24}" name="Column10890"/>
    <tableColumn id="10896" xr3:uid="{54A0626D-7B83-440F-B22D-BE985A3D1B70}" name="Column10891"/>
    <tableColumn id="10897" xr3:uid="{C9D98D4A-63A3-40C2-9A37-1BC562552F88}" name="Column10892"/>
    <tableColumn id="10898" xr3:uid="{2B3A11AD-050B-4732-9F89-93778D8F5C62}" name="Column10893"/>
    <tableColumn id="10899" xr3:uid="{78754FEB-AD84-43A0-859C-39BA9721E23A}" name="Column10894"/>
    <tableColumn id="10900" xr3:uid="{F97B0F8E-D1AE-4D47-A973-7C690BE932F6}" name="Column10895"/>
    <tableColumn id="10901" xr3:uid="{D8ECA0B9-17B9-48DC-B028-A93666AAFAA7}" name="Column10896"/>
    <tableColumn id="10902" xr3:uid="{6B6091F7-D07C-4102-B044-8D5228CB2055}" name="Column10897"/>
    <tableColumn id="10903" xr3:uid="{04012BF0-31F0-47E6-8AD9-88B19C3939CD}" name="Column10898"/>
    <tableColumn id="10904" xr3:uid="{03E4147F-1803-4536-84F2-9C14095809A0}" name="Column10899"/>
    <tableColumn id="10905" xr3:uid="{606636FA-8E2E-4A73-ADEE-0E715F301D3A}" name="Column10900"/>
    <tableColumn id="10906" xr3:uid="{7D631368-51BA-4ECF-BFBA-284624B420D4}" name="Column10901"/>
    <tableColumn id="10907" xr3:uid="{6D62D404-E54E-4FE0-808D-5925D373A063}" name="Column10902"/>
    <tableColumn id="10908" xr3:uid="{C6C5DCEF-4F64-494E-BABE-0239D6D77DA1}" name="Column10903"/>
    <tableColumn id="10909" xr3:uid="{1CE78F42-BE92-4090-BA01-A0B0575938B5}" name="Column10904"/>
    <tableColumn id="10910" xr3:uid="{6C545A1B-F9A6-4230-8DC5-8689553DF2B0}" name="Column10905"/>
    <tableColumn id="10911" xr3:uid="{AC0BB855-FA4D-4343-80A2-5156C084FF68}" name="Column10906"/>
    <tableColumn id="10912" xr3:uid="{2EAE2DC3-03C8-471F-8BA9-0656BCC2D928}" name="Column10907"/>
    <tableColumn id="10913" xr3:uid="{84DAE354-2DEE-4C29-ABB9-CC8B3E7272B6}" name="Column10908"/>
    <tableColumn id="10914" xr3:uid="{0422DA60-5446-4541-A2C9-E95AAA1B75DC}" name="Column10909"/>
    <tableColumn id="10915" xr3:uid="{7C244713-B522-43FA-9A4C-3B24C6049C86}" name="Column10910"/>
    <tableColumn id="10916" xr3:uid="{DC915C92-1C2F-41F1-AADF-EE008C268469}" name="Column10911"/>
    <tableColumn id="10917" xr3:uid="{894DC21B-F0B9-4F6A-9593-E5A588D09D0F}" name="Column10912"/>
    <tableColumn id="10918" xr3:uid="{BC4E0845-156D-4E66-9F47-DC803553796C}" name="Column10913"/>
    <tableColumn id="10919" xr3:uid="{E4C1D512-216F-4402-AE13-11ECF05AD9E8}" name="Column10914"/>
    <tableColumn id="10920" xr3:uid="{A032A437-6B26-49EE-BCF9-A76B33077A6E}" name="Column10915"/>
    <tableColumn id="10921" xr3:uid="{34321249-3E7D-4347-A926-1EF615DDA9CD}" name="Column10916"/>
    <tableColumn id="10922" xr3:uid="{07FD076E-4A78-4958-9323-E8CD7D0E5E51}" name="Column10917"/>
    <tableColumn id="10923" xr3:uid="{EFC8C5F4-9C78-4DBA-BEDC-3669CA6F351F}" name="Column10918"/>
    <tableColumn id="10924" xr3:uid="{E9EFFD0F-4744-4FAE-9727-C8C79BCFDEEE}" name="Column10919"/>
    <tableColumn id="10925" xr3:uid="{195F0265-FFDC-471B-A8FC-9080D485B093}" name="Column10920"/>
    <tableColumn id="10926" xr3:uid="{1F227915-6541-451A-A679-24C4FDFC48FD}" name="Column10921"/>
    <tableColumn id="10927" xr3:uid="{59EC3C1C-2F31-425F-83CF-FFDAF2B21654}" name="Column10922"/>
    <tableColumn id="10928" xr3:uid="{37E6FB80-16A7-49A8-B87B-468D7566D85C}" name="Column10923"/>
    <tableColumn id="10929" xr3:uid="{11BA7DD2-A081-4AC2-9E26-A7354DD0FF2B}" name="Column10924"/>
    <tableColumn id="10930" xr3:uid="{3F39C09A-9AE5-4A9B-8D6F-E03F5E1D9BFC}" name="Column10925"/>
    <tableColumn id="10931" xr3:uid="{DC0BF4DC-88BB-45A3-BCB4-EE5A07D8DD1B}" name="Column10926"/>
    <tableColumn id="10932" xr3:uid="{32AE8283-F2C2-463D-BADE-A572755DA17E}" name="Column10927"/>
    <tableColumn id="10933" xr3:uid="{4A981661-5F12-496C-8EFA-B01826456D3E}" name="Column10928"/>
    <tableColumn id="10934" xr3:uid="{E9661093-CC19-4EDC-9E05-79AA1BBC4886}" name="Column10929"/>
    <tableColumn id="10935" xr3:uid="{C37DBE3E-19F3-447C-A825-185D95759122}" name="Column10930"/>
    <tableColumn id="10936" xr3:uid="{B31E8528-C1BD-4053-90FD-51751B6CC36C}" name="Column10931"/>
    <tableColumn id="10937" xr3:uid="{416DDFB7-4006-4973-AF27-9EA6F1C901B8}" name="Column10932"/>
    <tableColumn id="10938" xr3:uid="{BF8BA516-73AD-4C2B-98FC-7C95DFE0CED4}" name="Column10933"/>
    <tableColumn id="10939" xr3:uid="{68E1498A-1119-45E8-8AD9-3B35608DE80E}" name="Column10934"/>
    <tableColumn id="10940" xr3:uid="{67680442-05FE-46CF-8260-B7AC04232820}" name="Column10935"/>
    <tableColumn id="10941" xr3:uid="{2296C498-E6CE-4B2D-8971-4E889C0E01EB}" name="Column10936"/>
    <tableColumn id="10942" xr3:uid="{A591F142-D96F-4214-B83F-17FEB93740EF}" name="Column10937"/>
    <tableColumn id="10943" xr3:uid="{0ADE07A7-78FA-49C1-8AED-5EA030E01C24}" name="Column10938"/>
    <tableColumn id="10944" xr3:uid="{97E25A96-2803-4442-A974-AB59D2039D46}" name="Column10939"/>
    <tableColumn id="10945" xr3:uid="{61EAC864-08F3-4A79-8931-48B0BB20B1D4}" name="Column10940"/>
    <tableColumn id="10946" xr3:uid="{6E96BCD5-93E9-4BB8-B323-CE8D546C134D}" name="Column10941"/>
    <tableColumn id="10947" xr3:uid="{94721453-176E-4F92-A429-82C0DA235DB7}" name="Column10942"/>
    <tableColumn id="10948" xr3:uid="{13945F75-9CA4-4FA1-9E62-E089FCA7E405}" name="Column10943"/>
    <tableColumn id="10949" xr3:uid="{1C6C61E0-82F5-4571-BDB6-60797AD905B4}" name="Column10944"/>
    <tableColumn id="10950" xr3:uid="{641FF1D9-9F5B-465E-B037-78F8E1974EA3}" name="Column10945"/>
    <tableColumn id="10951" xr3:uid="{14F35A27-D9F6-4D1E-9AE1-4A36C9A271D9}" name="Column10946"/>
    <tableColumn id="10952" xr3:uid="{1D1D5ACE-60B0-4C74-8B15-F60E85A438E7}" name="Column10947"/>
    <tableColumn id="10953" xr3:uid="{DA955F66-60E7-40BC-86E4-AA0A0AAF4CE1}" name="Column10948"/>
    <tableColumn id="10954" xr3:uid="{5DFDE5AA-87D4-4D86-8CDB-94EC88AB0C07}" name="Column10949"/>
    <tableColumn id="10955" xr3:uid="{B010A9E4-AC52-4C03-88C3-D3F4372D756A}" name="Column10950"/>
    <tableColumn id="10956" xr3:uid="{D54901D3-3D67-4551-86BA-B7BDEB844F67}" name="Column10951"/>
    <tableColumn id="10957" xr3:uid="{E30BAA70-C9B1-4459-9B43-883597DA9D8A}" name="Column10952"/>
    <tableColumn id="10958" xr3:uid="{387B766A-DDF9-49E7-8EC1-CA034DD0F810}" name="Column10953"/>
    <tableColumn id="10959" xr3:uid="{75BE6BEE-86D5-4917-99F0-C8A38C7B3B42}" name="Column10954"/>
    <tableColumn id="10960" xr3:uid="{0FDD7410-9B7E-4E04-B926-DC168DC4CD56}" name="Column10955"/>
    <tableColumn id="10961" xr3:uid="{9287BD56-F347-45EC-9422-2824A7C2FBBC}" name="Column10956"/>
    <tableColumn id="10962" xr3:uid="{F1646967-47C4-40A4-AD0B-1EC87F242239}" name="Column10957"/>
    <tableColumn id="10963" xr3:uid="{C4492805-9F75-411C-AC5A-E70D2F60E9C9}" name="Column10958"/>
    <tableColumn id="10964" xr3:uid="{8BD0EED7-6A71-4379-9E77-FA9ACF2B6300}" name="Column10959"/>
    <tableColumn id="10965" xr3:uid="{CD91F84D-BACD-4A60-9FA5-4318184129EB}" name="Column10960"/>
    <tableColumn id="10966" xr3:uid="{09DDA0C0-ADF6-4DB8-8251-41EB0A74F637}" name="Column10961"/>
    <tableColumn id="10967" xr3:uid="{07486F17-5EBF-4978-8A4B-411DA9D6DF25}" name="Column10962"/>
    <tableColumn id="10968" xr3:uid="{B0CF21DD-8430-4B48-82D0-4FE2F8F3EE67}" name="Column10963"/>
    <tableColumn id="10969" xr3:uid="{E39C2B89-D48D-46F9-B791-52CA0B4D738E}" name="Column10964"/>
    <tableColumn id="10970" xr3:uid="{AC096F3D-7226-44E0-A56C-0F36DB0B6C07}" name="Column10965"/>
    <tableColumn id="10971" xr3:uid="{7F7D65A8-6B33-4772-8182-E08B31B6C5DE}" name="Column10966"/>
    <tableColumn id="10972" xr3:uid="{A71DEBBB-E31A-4B23-A31D-EF6706E1304A}" name="Column10967"/>
    <tableColumn id="10973" xr3:uid="{399036AC-653B-4671-8E93-A861F53B2DAC}" name="Column10968"/>
    <tableColumn id="10974" xr3:uid="{BC5B7D1B-96AC-4E6D-A540-7321831E1883}" name="Column10969"/>
    <tableColumn id="10975" xr3:uid="{1A4EC612-2D05-4AA6-92CC-10D9E08836E7}" name="Column10970"/>
    <tableColumn id="10976" xr3:uid="{8A25B15C-7BD9-458B-9A6F-CFD889B06E03}" name="Column10971"/>
    <tableColumn id="10977" xr3:uid="{884F2D3B-68E3-4A35-B55F-9AF0E6CEFC5C}" name="Column10972"/>
    <tableColumn id="10978" xr3:uid="{F39BF72E-9F87-419E-8235-DF32D91721D8}" name="Column10973"/>
    <tableColumn id="10979" xr3:uid="{0157AA85-70E9-4A3F-AB16-F3F831C9D51E}" name="Column10974"/>
    <tableColumn id="10980" xr3:uid="{3FD90806-9E05-4FE8-B9FE-9482B6976699}" name="Column10975"/>
    <tableColumn id="10981" xr3:uid="{6479D5F3-0B1D-4801-BAE4-B09463F2708D}" name="Column10976"/>
    <tableColumn id="10982" xr3:uid="{6A5BB4AC-BDB0-426F-BC7E-2906499539E5}" name="Column10977"/>
    <tableColumn id="10983" xr3:uid="{4368FD43-0E53-4EF5-9188-24441C77421D}" name="Column10978"/>
    <tableColumn id="10984" xr3:uid="{55373A99-6405-4AE4-A22A-AA970DB8CBC0}" name="Column10979"/>
    <tableColumn id="10985" xr3:uid="{4895B130-E85A-4935-8CE3-30DD907EE5C0}" name="Column10980"/>
    <tableColumn id="10986" xr3:uid="{B95BD5DD-F69C-47D3-94CB-3DF3B93002EE}" name="Column10981"/>
    <tableColumn id="10987" xr3:uid="{2A1F8848-0AE9-40DE-80A5-65C68C46A72D}" name="Column10982"/>
    <tableColumn id="10988" xr3:uid="{D2C55D01-0B31-44F7-850B-9000A7A85305}" name="Column10983"/>
    <tableColumn id="10989" xr3:uid="{29197672-F823-4059-AEA8-8D255764401A}" name="Column10984"/>
    <tableColumn id="10990" xr3:uid="{56E86481-E844-4A3F-B415-9440DC0DE95C}" name="Column10985"/>
    <tableColumn id="10991" xr3:uid="{75707BB5-73D7-4665-8E10-2F2F8E1D8FDB}" name="Column10986"/>
    <tableColumn id="10992" xr3:uid="{8CB943A1-B2E4-4B1D-AA1A-458A44F25B0F}" name="Column10987"/>
    <tableColumn id="10993" xr3:uid="{EF113DF6-8996-432D-BECA-10583BE95FFF}" name="Column10988"/>
    <tableColumn id="10994" xr3:uid="{33B4D288-14AB-4F0C-81DC-48DD7923A5A3}" name="Column10989"/>
    <tableColumn id="10995" xr3:uid="{0A5BD8C3-D877-439E-8212-DCF7152957A5}" name="Column10990"/>
    <tableColumn id="10996" xr3:uid="{968C07C5-2041-41F3-867A-C2F34677996C}" name="Column10991"/>
    <tableColumn id="10997" xr3:uid="{8864C4AC-3C12-4139-97CB-D7630BF3DF55}" name="Column10992"/>
    <tableColumn id="10998" xr3:uid="{8C99DE3F-20D9-49DD-A6BE-24F4683E0187}" name="Column10993"/>
    <tableColumn id="10999" xr3:uid="{D0514A40-FD55-4A5C-B74F-67057ED98174}" name="Column10994"/>
    <tableColumn id="11000" xr3:uid="{4E9408AC-838A-4501-B514-A6A3A8CB98CB}" name="Column10995"/>
    <tableColumn id="11001" xr3:uid="{717E8F0E-A33F-4311-9F0B-5EBE9ED9C7AA}" name="Column10996"/>
    <tableColumn id="11002" xr3:uid="{2FDD4ADA-F9E3-4576-92E4-C107A9F2C210}" name="Column10997"/>
    <tableColumn id="11003" xr3:uid="{673B1E1F-A14D-45E1-B169-3803A24535E5}" name="Column10998"/>
    <tableColumn id="11004" xr3:uid="{38311368-0F97-46EE-8AD5-6B800FF867B7}" name="Column10999"/>
    <tableColumn id="11005" xr3:uid="{B5835247-6E7E-41A0-84A6-C6E78013485C}" name="Column11000"/>
    <tableColumn id="11006" xr3:uid="{2EDFF21B-DB3E-4867-B7EF-8CD0D1FF1759}" name="Column11001"/>
    <tableColumn id="11007" xr3:uid="{7E3FB164-4C0C-4C2C-AAD6-862030188C50}" name="Column11002"/>
    <tableColumn id="11008" xr3:uid="{236140FA-E1DD-4FBC-A7E2-FC2FD431E130}" name="Column11003"/>
    <tableColumn id="11009" xr3:uid="{990941CE-AAA8-467A-8649-71A0486B6B23}" name="Column11004"/>
    <tableColumn id="11010" xr3:uid="{B74B659B-EE51-404F-933E-8D71715B26E3}" name="Column11005"/>
    <tableColumn id="11011" xr3:uid="{7238521A-ECD5-48A7-BFF4-82082D6C01A2}" name="Column11006"/>
    <tableColumn id="11012" xr3:uid="{DEAA475E-7714-4EA9-9206-47CFCF0F240A}" name="Column11007"/>
    <tableColumn id="11013" xr3:uid="{D5CC9884-9211-4653-8F65-6D74134D1762}" name="Column11008"/>
    <tableColumn id="11014" xr3:uid="{1F1DDF65-E1EF-4B79-802D-4C56DFD1F2A3}" name="Column11009"/>
    <tableColumn id="11015" xr3:uid="{0644AEC3-5C70-4A52-8EAD-199CBC347DCD}" name="Column11010"/>
    <tableColumn id="11016" xr3:uid="{B0171858-6A92-4272-B111-6850A1AD1AC7}" name="Column11011"/>
    <tableColumn id="11017" xr3:uid="{78BA9E38-AB2B-4EB3-96C5-6278C3C9AA87}" name="Column11012"/>
    <tableColumn id="11018" xr3:uid="{0C97E501-48AA-4829-B9E4-9A9146FF04B6}" name="Column11013"/>
    <tableColumn id="11019" xr3:uid="{A65F03CA-8B93-4D2A-AB1E-DAD06E020B27}" name="Column11014"/>
    <tableColumn id="11020" xr3:uid="{C9778754-B903-44E3-B41E-C494CF25F8AA}" name="Column11015"/>
    <tableColumn id="11021" xr3:uid="{57FDCBDA-E9CA-4CEC-B0E3-90DA5AA45FA2}" name="Column11016"/>
    <tableColumn id="11022" xr3:uid="{23C38A13-B0E5-485F-911E-500AC7D0AB57}" name="Column11017"/>
    <tableColumn id="11023" xr3:uid="{DBB1289A-1891-4503-95C6-175B9C479502}" name="Column11018"/>
    <tableColumn id="11024" xr3:uid="{C0F528A6-5EE8-479A-883D-3C4A1B4EF3E7}" name="Column11019"/>
    <tableColumn id="11025" xr3:uid="{DA16E7BD-ED5F-4985-AD6A-26339DC8D509}" name="Column11020"/>
    <tableColumn id="11026" xr3:uid="{7FF300D3-1B0F-4D63-84C8-1C61B4CAF777}" name="Column11021"/>
    <tableColumn id="11027" xr3:uid="{B668ED9F-E255-4DBC-B946-DC305E8D00EE}" name="Column11022"/>
    <tableColumn id="11028" xr3:uid="{F1EBC7AB-A9DB-4970-AE17-BBC3115C0280}" name="Column11023"/>
    <tableColumn id="11029" xr3:uid="{99D3881B-548C-4013-B83A-822E3E59588B}" name="Column11024"/>
    <tableColumn id="11030" xr3:uid="{5927CEF7-770B-452A-A6B2-A464AFCAE194}" name="Column11025"/>
    <tableColumn id="11031" xr3:uid="{952D0F42-0D46-4704-8051-3A75F9983444}" name="Column11026"/>
    <tableColumn id="11032" xr3:uid="{2C46119F-4834-41C3-B3A8-830A08480213}" name="Column11027"/>
    <tableColumn id="11033" xr3:uid="{21B3ACB1-9349-4703-B1EE-B47CE5DBF6AB}" name="Column11028"/>
    <tableColumn id="11034" xr3:uid="{EF2AC4F5-750A-4CDE-85AD-411F9393ABF5}" name="Column11029"/>
    <tableColumn id="11035" xr3:uid="{02E4F6F7-9E45-4862-B965-5CA414D96D13}" name="Column11030"/>
    <tableColumn id="11036" xr3:uid="{1F9545A2-08CD-4309-8934-64105CB4FF96}" name="Column11031"/>
    <tableColumn id="11037" xr3:uid="{B343482C-FB77-4AE0-870F-71AB10C82583}" name="Column11032"/>
    <tableColumn id="11038" xr3:uid="{D4BB4CB8-6DB9-4262-A821-2F0AD713629E}" name="Column11033"/>
    <tableColumn id="11039" xr3:uid="{E36DC2E0-B0E0-455E-B7EA-33027BC5505A}" name="Column11034"/>
    <tableColumn id="11040" xr3:uid="{EDCE7B90-26BB-4C6F-A926-76C26D4CD692}" name="Column11035"/>
    <tableColumn id="11041" xr3:uid="{AB86F204-3785-4CC0-9517-AF88D91995C0}" name="Column11036"/>
    <tableColumn id="11042" xr3:uid="{D90F9187-A8E3-4407-B52F-DCBDA9D46C51}" name="Column11037"/>
    <tableColumn id="11043" xr3:uid="{3C68090A-57B2-4F9D-807C-78601B58E177}" name="Column11038"/>
    <tableColumn id="11044" xr3:uid="{EA75F2FD-96A6-4CE4-A022-98A5387F84C6}" name="Column11039"/>
    <tableColumn id="11045" xr3:uid="{97EA261D-432B-4A92-9B12-C1F875B4B887}" name="Column11040"/>
    <tableColumn id="11046" xr3:uid="{40B4AD71-BA2D-4969-BAED-3BB8978062F0}" name="Column11041"/>
    <tableColumn id="11047" xr3:uid="{E9065E5D-9FDC-41C1-9466-A580BD5CA088}" name="Column11042"/>
    <tableColumn id="11048" xr3:uid="{3BAD79FC-7B2C-4219-9570-66E343477C72}" name="Column11043"/>
    <tableColumn id="11049" xr3:uid="{82F48E59-E517-4C82-9EA2-E58D0497FCC9}" name="Column11044"/>
    <tableColumn id="11050" xr3:uid="{4D3EBDF6-B7C4-4C10-931C-1B1BA0BE4979}" name="Column11045"/>
    <tableColumn id="11051" xr3:uid="{57F2A395-96C5-4895-ADF8-492E9502F835}" name="Column11046"/>
    <tableColumn id="11052" xr3:uid="{42A7FAE6-E1DB-4D0E-8707-CD2484DC3F76}" name="Column11047"/>
    <tableColumn id="11053" xr3:uid="{E37ABDD7-8EED-4787-B343-B22E02EF3E69}" name="Column11048"/>
    <tableColumn id="11054" xr3:uid="{524F9903-8B4D-41AD-9222-AC95297310E9}" name="Column11049"/>
    <tableColumn id="11055" xr3:uid="{34561D95-62B2-4950-8E54-123B12A30E8A}" name="Column11050"/>
    <tableColumn id="11056" xr3:uid="{67B150EF-B453-45B7-BBBB-823B8B0FE9C1}" name="Column11051"/>
    <tableColumn id="11057" xr3:uid="{D5AFC999-DF3F-4F20-B520-78254C43B6C7}" name="Column11052"/>
    <tableColumn id="11058" xr3:uid="{3A7F2131-4412-4920-885E-58E78F96C95E}" name="Column11053"/>
    <tableColumn id="11059" xr3:uid="{96C9D288-F8B1-4A4F-BFAB-2A13C2A46106}" name="Column11054"/>
    <tableColumn id="11060" xr3:uid="{CD6DC5FD-11F1-45B5-A113-E5E3B5891DAE}" name="Column11055"/>
    <tableColumn id="11061" xr3:uid="{B3D8A4EB-EB41-42BD-BDDA-22DB38523BA4}" name="Column11056"/>
    <tableColumn id="11062" xr3:uid="{74413346-E8EA-484E-BFC4-60AEB3FFD692}" name="Column11057"/>
    <tableColumn id="11063" xr3:uid="{716252F8-E667-4E16-98C4-9F919CDBF899}" name="Column11058"/>
    <tableColumn id="11064" xr3:uid="{1F501D38-91B2-4595-9C2E-1F624C9EF272}" name="Column11059"/>
    <tableColumn id="11065" xr3:uid="{82134A1F-62D7-4AB1-9641-E92EF4315D14}" name="Column11060"/>
    <tableColumn id="11066" xr3:uid="{642A8B95-FFEA-4BB1-9D77-4A71C4C9446E}" name="Column11061"/>
    <tableColumn id="11067" xr3:uid="{C657ACA4-8671-4AD0-BAD4-6C8BD41B851E}" name="Column11062"/>
    <tableColumn id="11068" xr3:uid="{A113BA2D-69DD-4295-B086-C729B044DC1B}" name="Column11063"/>
    <tableColumn id="11069" xr3:uid="{DDD76C26-DE65-4E85-A24E-61C3B415FE55}" name="Column11064"/>
    <tableColumn id="11070" xr3:uid="{76B206ED-B9BD-4415-A855-729EA4EF808B}" name="Column11065"/>
    <tableColumn id="11071" xr3:uid="{D0404D0D-365B-49A8-A1A9-05C012B48211}" name="Column11066"/>
    <tableColumn id="11072" xr3:uid="{88F909C7-111C-4B70-AD16-D68DF868BDA2}" name="Column11067"/>
    <tableColumn id="11073" xr3:uid="{B355037D-C974-4A25-822A-306EB2FD68B3}" name="Column11068"/>
    <tableColumn id="11074" xr3:uid="{9017A966-842C-420E-802F-0ADF97598C36}" name="Column11069"/>
    <tableColumn id="11075" xr3:uid="{BD691591-D4DA-42D1-BA2A-994A93878E15}" name="Column11070"/>
    <tableColumn id="11076" xr3:uid="{4757B499-6EA3-4FEE-874B-6A4767528ED4}" name="Column11071"/>
    <tableColumn id="11077" xr3:uid="{E1B0187C-752C-4BC8-BF80-9F948762FCAC}" name="Column11072"/>
    <tableColumn id="11078" xr3:uid="{EEB93787-D49E-4177-A50B-C9ABDA405058}" name="Column11073"/>
    <tableColumn id="11079" xr3:uid="{08A3DBF2-2940-4177-B182-2476271236B2}" name="Column11074"/>
    <tableColumn id="11080" xr3:uid="{2670C570-20A9-47D0-A6C3-8993502E7962}" name="Column11075"/>
    <tableColumn id="11081" xr3:uid="{85BEFCD9-2F5E-40FB-AB0C-DA7ADAB97CEA}" name="Column11076"/>
    <tableColumn id="11082" xr3:uid="{DFFC48FA-E3B8-4239-9439-C272281B6EA7}" name="Column11077"/>
    <tableColumn id="11083" xr3:uid="{558FA34C-B872-49EA-A2ED-C4400EE59179}" name="Column11078"/>
    <tableColumn id="11084" xr3:uid="{DDAB70FB-30B2-41E3-84EC-D2CD03167EDB}" name="Column11079"/>
    <tableColumn id="11085" xr3:uid="{7044E532-8AE7-4A60-82FB-A1D38CAE70A2}" name="Column11080"/>
    <tableColumn id="11086" xr3:uid="{364EFACA-5C59-44CD-89C7-7B1B3A7CE9BB}" name="Column11081"/>
    <tableColumn id="11087" xr3:uid="{3FFEFA65-A91C-4390-8C0F-C63D58E70C1F}" name="Column11082"/>
    <tableColumn id="11088" xr3:uid="{FA61A48B-40AB-406F-A17C-204DC03316BB}" name="Column11083"/>
    <tableColumn id="11089" xr3:uid="{62139B41-D04E-452E-B8CB-0C2426486F81}" name="Column11084"/>
    <tableColumn id="11090" xr3:uid="{477B5BBD-15C9-41E8-9F57-E447569D2DFF}" name="Column11085"/>
    <tableColumn id="11091" xr3:uid="{F3CF6BD2-C00E-4168-A788-4B8BA75F8749}" name="Column11086"/>
    <tableColumn id="11092" xr3:uid="{A54C1E69-A07E-468F-B678-FF0196FE09BC}" name="Column11087"/>
    <tableColumn id="11093" xr3:uid="{CED9790A-FD0D-4510-BDC1-CDC838146598}" name="Column11088"/>
    <tableColumn id="11094" xr3:uid="{651EF1AA-F160-434F-B17C-CA9E00BAF9ED}" name="Column11089"/>
    <tableColumn id="11095" xr3:uid="{87674714-92C1-48EB-B7ED-2E5D3B15E7B3}" name="Column11090"/>
    <tableColumn id="11096" xr3:uid="{031E911C-87C4-4338-BB5C-11AEDFDE437B}" name="Column11091"/>
    <tableColumn id="11097" xr3:uid="{B170D2F9-2067-4DC8-A2EB-EA58B87C633A}" name="Column11092"/>
    <tableColumn id="11098" xr3:uid="{FFFF80C9-614D-4E1F-A999-4090D83E152C}" name="Column11093"/>
    <tableColumn id="11099" xr3:uid="{F9DF8A16-5109-46B9-A2CB-09BD385A0CE4}" name="Column11094"/>
    <tableColumn id="11100" xr3:uid="{A91E08ED-D219-4721-97A8-B53DCB84068D}" name="Column11095"/>
    <tableColumn id="11101" xr3:uid="{7D8B832A-6425-4E31-9E3C-6F44BF6A83E2}" name="Column11096"/>
    <tableColumn id="11102" xr3:uid="{09A8E606-4DFF-4EC5-AAFC-ED725E1C9515}" name="Column11097"/>
    <tableColumn id="11103" xr3:uid="{B6CA8852-B2DC-44C8-B07A-777EE82187FC}" name="Column11098"/>
    <tableColumn id="11104" xr3:uid="{B18BA5E2-E814-466C-9AF1-3955EF9CE0BB}" name="Column11099"/>
    <tableColumn id="11105" xr3:uid="{229FC1EF-575E-49DD-978A-1816A6433684}" name="Column11100"/>
    <tableColumn id="11106" xr3:uid="{F94F096E-1418-4DD6-A764-83E078CDE85A}" name="Column11101"/>
    <tableColumn id="11107" xr3:uid="{DEA4BEDE-0455-4A43-B1E6-43B2427F660F}" name="Column11102"/>
    <tableColumn id="11108" xr3:uid="{EE3FED7F-24E5-4489-8A5D-86ADC64D6765}" name="Column11103"/>
    <tableColumn id="11109" xr3:uid="{9387AB3C-9306-4940-94A2-E393D453AFFF}" name="Column11104"/>
    <tableColumn id="11110" xr3:uid="{9A46237B-949C-47A9-A2D4-6A48CF3F4F72}" name="Column11105"/>
    <tableColumn id="11111" xr3:uid="{5627DA44-877A-48F6-A0A1-FF308F321E11}" name="Column11106"/>
    <tableColumn id="11112" xr3:uid="{966A86E4-8599-459A-B918-7EBF114AE058}" name="Column11107"/>
    <tableColumn id="11113" xr3:uid="{D43917F6-51F7-45A0-8DF7-4CB39715D4D7}" name="Column11108"/>
    <tableColumn id="11114" xr3:uid="{E7B1DC67-5BA2-4009-90E5-AD62299CF706}" name="Column11109"/>
    <tableColumn id="11115" xr3:uid="{9FF800DB-C341-4E74-AEE7-26DEFEAC65F9}" name="Column11110"/>
    <tableColumn id="11116" xr3:uid="{479382EE-F5E5-4656-A5FE-6397103F158F}" name="Column11111"/>
    <tableColumn id="11117" xr3:uid="{9C08D994-A3A8-4BDA-96B8-F0C9EBC1E40B}" name="Column11112"/>
    <tableColumn id="11118" xr3:uid="{7881E85D-D5B3-4171-B9F0-ADE2FBD81E85}" name="Column11113"/>
    <tableColumn id="11119" xr3:uid="{F9862E43-C4C0-4E5A-AFD5-35B8D48E0955}" name="Column11114"/>
    <tableColumn id="11120" xr3:uid="{3E77AD2F-4D1F-42CA-AA22-F8D7DF599840}" name="Column11115"/>
    <tableColumn id="11121" xr3:uid="{83902BD6-726A-4795-B79F-75FEC504D888}" name="Column11116"/>
    <tableColumn id="11122" xr3:uid="{8DE164EB-0B8E-4C79-8A84-BE3EA6DF67E7}" name="Column11117"/>
    <tableColumn id="11123" xr3:uid="{2F2E6DA7-B269-425E-8118-C3C51B9DA970}" name="Column11118"/>
    <tableColumn id="11124" xr3:uid="{7D53F885-62BF-4630-B798-B61192F8A00D}" name="Column11119"/>
    <tableColumn id="11125" xr3:uid="{9E2C6648-31AF-4D8D-A7F5-D1DDD05B4FFE}" name="Column11120"/>
    <tableColumn id="11126" xr3:uid="{9E1AF9E0-E041-4837-A6F2-EA41FFE075AA}" name="Column11121"/>
    <tableColumn id="11127" xr3:uid="{1A5DF906-0539-44FD-BB6E-994FEE9382E5}" name="Column11122"/>
    <tableColumn id="11128" xr3:uid="{DF71A5A3-3DD8-469B-8E65-CD6820B89775}" name="Column11123"/>
    <tableColumn id="11129" xr3:uid="{642B1D45-CA42-4F17-AF89-44B6F74FE34F}" name="Column11124"/>
    <tableColumn id="11130" xr3:uid="{7BAD0959-E400-40B1-97D6-8AF0A6253F7F}" name="Column11125"/>
    <tableColumn id="11131" xr3:uid="{C099722A-46AF-4003-8A71-1A2236604180}" name="Column11126"/>
    <tableColumn id="11132" xr3:uid="{64557650-F404-4595-B92A-7451EF14F2B1}" name="Column11127"/>
    <tableColumn id="11133" xr3:uid="{F28D4B9D-F13F-4EA2-9345-07A2942B53A6}" name="Column11128"/>
    <tableColumn id="11134" xr3:uid="{85CF4608-9FC7-43C9-A227-072AD10B0EEB}" name="Column11129"/>
    <tableColumn id="11135" xr3:uid="{691878CF-8475-4631-BD80-4F33BD1094E4}" name="Column11130"/>
    <tableColumn id="11136" xr3:uid="{0A9C6737-A90D-4878-9F43-4C70EEE90F7D}" name="Column11131"/>
    <tableColumn id="11137" xr3:uid="{8880581F-B374-40B1-9582-5972A7012DC8}" name="Column11132"/>
    <tableColumn id="11138" xr3:uid="{A78CB758-1961-4FFD-B06B-C6F248098D98}" name="Column11133"/>
    <tableColumn id="11139" xr3:uid="{D6E656AE-0EBA-4635-A0A3-834A5DA4E5C4}" name="Column11134"/>
    <tableColumn id="11140" xr3:uid="{BB0A95C4-B357-4916-88D6-E6880D3CFFA7}" name="Column11135"/>
    <tableColumn id="11141" xr3:uid="{44707AB1-1478-407D-AE13-84353CB66C45}" name="Column11136"/>
    <tableColumn id="11142" xr3:uid="{0DBF5FE1-95F5-4868-B8B4-70075599CC8B}" name="Column11137"/>
    <tableColumn id="11143" xr3:uid="{7611511E-9F96-46FF-8832-9BA1B5BBC9D9}" name="Column11138"/>
    <tableColumn id="11144" xr3:uid="{1A17435E-2EAF-40AF-9B81-039CAF4E6365}" name="Column11139"/>
    <tableColumn id="11145" xr3:uid="{508C8040-7F3A-49A9-8A05-A0BBE011782F}" name="Column11140"/>
    <tableColumn id="11146" xr3:uid="{BBFD1239-1A74-4BC4-A18E-26777A5A50C3}" name="Column11141"/>
    <tableColumn id="11147" xr3:uid="{76FA3BA8-F323-4F99-BF96-17B19D0653CF}" name="Column11142"/>
    <tableColumn id="11148" xr3:uid="{B340EE19-6961-4457-9E0D-0C232F64E28A}" name="Column11143"/>
    <tableColumn id="11149" xr3:uid="{35D26835-2F2D-4D87-A6E4-B81EB3F0089B}" name="Column11144"/>
    <tableColumn id="11150" xr3:uid="{97B0B2A8-9612-4CE0-92B2-74171DCA71CD}" name="Column11145"/>
    <tableColumn id="11151" xr3:uid="{C2666AA9-871D-42E2-8F44-50B7D0B01D82}" name="Column11146"/>
    <tableColumn id="11152" xr3:uid="{92BD2D82-A529-4D73-BCA5-8D8C8F0D495F}" name="Column11147"/>
    <tableColumn id="11153" xr3:uid="{3DB57D50-6BE1-48CA-8F4D-2A4D5668AFF5}" name="Column11148"/>
    <tableColumn id="11154" xr3:uid="{0AF53C84-DA13-42F0-B0E6-BC58F3DBFBD3}" name="Column11149"/>
    <tableColumn id="11155" xr3:uid="{9F76F420-F5EA-4E02-B52C-0E35888DE9FE}" name="Column11150"/>
    <tableColumn id="11156" xr3:uid="{DFA4AABD-81AA-4CA9-A37B-72EB076BCF30}" name="Column11151"/>
    <tableColumn id="11157" xr3:uid="{8B4E98F8-9C55-4FA5-9469-8B59D92F29C4}" name="Column11152"/>
    <tableColumn id="11158" xr3:uid="{A54A1D63-24E5-4005-AE80-D2EB9789D0BA}" name="Column11153"/>
    <tableColumn id="11159" xr3:uid="{CD32CCC1-969A-4D96-B3B3-320DE727CB6A}" name="Column11154"/>
    <tableColumn id="11160" xr3:uid="{A23D63D2-A9D2-48A0-A077-57FAC488F669}" name="Column11155"/>
    <tableColumn id="11161" xr3:uid="{FBF56442-6D03-4999-BD25-8C8C0E82F564}" name="Column11156"/>
    <tableColumn id="11162" xr3:uid="{1982C3DD-59FA-4354-80C7-FD6A59C5244D}" name="Column11157"/>
    <tableColumn id="11163" xr3:uid="{4586E1E6-C5A6-4E95-8CCC-6A921DB190F8}" name="Column11158"/>
    <tableColumn id="11164" xr3:uid="{AB259582-262A-4443-877C-AC666013919A}" name="Column11159"/>
    <tableColumn id="11165" xr3:uid="{5800A4AA-D745-4426-A870-77EE442EA45A}" name="Column11160"/>
    <tableColumn id="11166" xr3:uid="{D734F6DF-194F-45AA-8684-AECF89034DFE}" name="Column11161"/>
    <tableColumn id="11167" xr3:uid="{CA250D6F-A70C-4372-B807-BA6D41D5736D}" name="Column11162"/>
    <tableColumn id="11168" xr3:uid="{0712AA89-8958-467D-9D57-0C6BB1D027EC}" name="Column11163"/>
    <tableColumn id="11169" xr3:uid="{8A4F1582-77E3-4C7E-A4BF-5767DA45AC34}" name="Column11164"/>
    <tableColumn id="11170" xr3:uid="{F2507698-5C6E-4C30-A1EB-9C23A08BCFEF}" name="Column11165"/>
    <tableColumn id="11171" xr3:uid="{C5553D43-FF44-4AAA-857F-7E0340F7CD50}" name="Column11166"/>
    <tableColumn id="11172" xr3:uid="{B5C2ABEB-EF2B-4284-B7B3-CE1B15D2367A}" name="Column11167"/>
    <tableColumn id="11173" xr3:uid="{72F221AB-26CD-478B-887C-A5E033A01790}" name="Column11168"/>
    <tableColumn id="11174" xr3:uid="{295C7AB7-D3CD-4F61-AE2E-9CD36852AA8A}" name="Column11169"/>
    <tableColumn id="11175" xr3:uid="{21295898-777B-4B9D-B488-CE3B9DC87859}" name="Column11170"/>
    <tableColumn id="11176" xr3:uid="{B15303AB-4301-478A-AC80-79D57F9E430C}" name="Column11171"/>
    <tableColumn id="11177" xr3:uid="{05D721B7-E39D-45A7-90EA-43E7F03BD579}" name="Column11172"/>
    <tableColumn id="11178" xr3:uid="{9A1FB95E-CE6E-4CF7-8190-FC8FAC59F7BD}" name="Column11173"/>
    <tableColumn id="11179" xr3:uid="{49FD8359-0526-42BE-9112-7087FB8257E4}" name="Column11174"/>
    <tableColumn id="11180" xr3:uid="{E6C88B2B-C078-4307-B264-3AB2255E67A6}" name="Column11175"/>
    <tableColumn id="11181" xr3:uid="{9C3205F9-D1B0-43AB-8B80-36BABECA5E6E}" name="Column11176"/>
    <tableColumn id="11182" xr3:uid="{2AB38AC4-9DD1-48A1-8E3F-16DD334A9143}" name="Column11177"/>
    <tableColumn id="11183" xr3:uid="{BF87D5DA-64B6-4E09-AF2D-F6679AF47C10}" name="Column11178"/>
    <tableColumn id="11184" xr3:uid="{0B75D425-43C2-4BF9-BDD8-F43C185A27C5}" name="Column11179"/>
    <tableColumn id="11185" xr3:uid="{6A5DAD0B-9A36-4DFF-B4FB-8EE5EF3FFE41}" name="Column11180"/>
    <tableColumn id="11186" xr3:uid="{59DEC8C3-40F5-4280-8F87-2CD6814EBE30}" name="Column11181"/>
    <tableColumn id="11187" xr3:uid="{C73F381C-8253-42FA-A919-65BDD2770FD7}" name="Column11182"/>
    <tableColumn id="11188" xr3:uid="{94105619-206E-456C-AF6A-002F1AF523B2}" name="Column11183"/>
    <tableColumn id="11189" xr3:uid="{FA8D3846-C21D-42DC-92F8-8EAE5BC4BFE6}" name="Column11184"/>
    <tableColumn id="11190" xr3:uid="{2560151B-4295-4D2A-955F-07248D6E151E}" name="Column11185"/>
    <tableColumn id="11191" xr3:uid="{66B0046C-339A-4B0E-BFA4-E1BE3CCD54D9}" name="Column11186"/>
    <tableColumn id="11192" xr3:uid="{6C3D902B-07CB-402D-9744-53B38C46C2D9}" name="Column11187"/>
    <tableColumn id="11193" xr3:uid="{2858327C-1870-403D-98D9-8B7C639FDDD9}" name="Column11188"/>
    <tableColumn id="11194" xr3:uid="{D7DADCCF-1C8E-4AF8-A080-48605C931B06}" name="Column11189"/>
    <tableColumn id="11195" xr3:uid="{8309253E-4645-42C9-B4EF-E3D22A82101A}" name="Column11190"/>
    <tableColumn id="11196" xr3:uid="{3F9F87AC-A2D9-4E9A-9124-C6635BECEE74}" name="Column11191"/>
    <tableColumn id="11197" xr3:uid="{FE84FCF1-2C6B-4C9A-92C9-479071041E15}" name="Column11192"/>
    <tableColumn id="11198" xr3:uid="{11C69A83-FE3D-4237-AA0B-63EAAC8C4899}" name="Column11193"/>
    <tableColumn id="11199" xr3:uid="{A4794D8D-29B7-46DF-93D5-727A4392EDDA}" name="Column11194"/>
    <tableColumn id="11200" xr3:uid="{FC00CC9A-182F-46E6-8968-81A347A62B4F}" name="Column11195"/>
    <tableColumn id="11201" xr3:uid="{821FA6FE-3587-4D7B-969D-55059601A80A}" name="Column11196"/>
    <tableColumn id="11202" xr3:uid="{26CC906B-8776-4731-BCEF-0924C8EBCE5E}" name="Column11197"/>
    <tableColumn id="11203" xr3:uid="{073B7103-0A59-4EEE-98D9-A529D99AA3D3}" name="Column11198"/>
    <tableColumn id="11204" xr3:uid="{2771C3AE-607B-4C79-A812-BC02C9A6BE6E}" name="Column11199"/>
    <tableColumn id="11205" xr3:uid="{7F7418FA-2B3C-49E4-8EB1-A3181770CF18}" name="Column11200"/>
    <tableColumn id="11206" xr3:uid="{142B0AA9-C8CC-42AB-873C-6FA976B4AAB2}" name="Column11201"/>
    <tableColumn id="11207" xr3:uid="{F0342EB2-BE58-4C96-BF39-BB377A91345F}" name="Column11202"/>
    <tableColumn id="11208" xr3:uid="{D4FFB241-EEEC-4D6E-A4D7-133F72D8D40C}" name="Column11203"/>
    <tableColumn id="11209" xr3:uid="{C3747EA2-A775-4D03-A9BB-8F8BDA630602}" name="Column11204"/>
    <tableColumn id="11210" xr3:uid="{6DCAF403-CC69-4CC6-B8C5-69AB23FB7966}" name="Column11205"/>
    <tableColumn id="11211" xr3:uid="{9F091465-8D16-4F58-87D4-3CF6945BFACD}" name="Column11206"/>
    <tableColumn id="11212" xr3:uid="{4C5AC112-382F-43B5-9B53-0C4DED4D6C58}" name="Column11207"/>
    <tableColumn id="11213" xr3:uid="{6BEF999D-301F-4916-AC4B-AF71E8C0B927}" name="Column11208"/>
    <tableColumn id="11214" xr3:uid="{DDEF1060-DB42-412C-91E7-1EF57FE844C8}" name="Column11209"/>
    <tableColumn id="11215" xr3:uid="{7EB3DC7B-381E-41B2-A375-DD80B412C26D}" name="Column11210"/>
    <tableColumn id="11216" xr3:uid="{0B72B61D-DF0B-4554-BCDD-787581C0D96B}" name="Column11211"/>
    <tableColumn id="11217" xr3:uid="{C48CC153-FCC4-4301-8C36-D419477A3671}" name="Column11212"/>
    <tableColumn id="11218" xr3:uid="{68FF9EEB-B215-4B6D-9C5F-D1C20CC86DB4}" name="Column11213"/>
    <tableColumn id="11219" xr3:uid="{CA2AB80B-BFA2-49A7-9EB8-13508DF44DAF}" name="Column11214"/>
    <tableColumn id="11220" xr3:uid="{8C98492F-5637-4FCC-B814-FD05EC728640}" name="Column11215"/>
    <tableColumn id="11221" xr3:uid="{20339210-D2DD-458B-945B-B1CA5C8080CB}" name="Column11216"/>
    <tableColumn id="11222" xr3:uid="{583E72D9-35FF-4A71-8FCB-FB1D081F28D6}" name="Column11217"/>
    <tableColumn id="11223" xr3:uid="{20521448-A49D-4341-B940-5B0339CE791C}" name="Column11218"/>
    <tableColumn id="11224" xr3:uid="{8569FBB8-2060-48DE-A6AA-0082606BA1DD}" name="Column11219"/>
    <tableColumn id="11225" xr3:uid="{A2ED927C-309F-4838-9DCD-170EBDF965E2}" name="Column11220"/>
    <tableColumn id="11226" xr3:uid="{0D5A0B5E-17DD-497B-A0C5-C83C921B5683}" name="Column11221"/>
    <tableColumn id="11227" xr3:uid="{8FF1FB52-A3F0-4E1E-89E7-DA2DD4FD4080}" name="Column11222"/>
    <tableColumn id="11228" xr3:uid="{309E79DD-8B87-4B73-A280-8BB1D89348F8}" name="Column11223"/>
    <tableColumn id="11229" xr3:uid="{1D69C2EB-1B66-4893-A3A5-71F8A872A171}" name="Column11224"/>
    <tableColumn id="11230" xr3:uid="{E849BE6C-E36D-4B12-BCE8-EA1B83334A40}" name="Column11225"/>
    <tableColumn id="11231" xr3:uid="{3ADBB3BB-9137-4D6C-A519-AEA78D8C4B07}" name="Column11226"/>
    <tableColumn id="11232" xr3:uid="{1D426894-22A8-442D-A843-6912C6D86123}" name="Column11227"/>
    <tableColumn id="11233" xr3:uid="{ABBC760D-1C36-4383-877A-3E0D59C14516}" name="Column11228"/>
    <tableColumn id="11234" xr3:uid="{1B148D46-1944-4C03-A695-2285E05FA357}" name="Column11229"/>
    <tableColumn id="11235" xr3:uid="{9C3C4C1F-B507-461E-B899-B0CED38B6066}" name="Column11230"/>
    <tableColumn id="11236" xr3:uid="{99B458B2-B2A3-4E7C-A05E-FAF7B7F8F098}" name="Column11231"/>
    <tableColumn id="11237" xr3:uid="{335E1D96-3E80-4752-9CCB-3036F5649244}" name="Column11232"/>
    <tableColumn id="11238" xr3:uid="{86CB6D1D-6CD9-4AAC-B986-307EC1AEB540}" name="Column11233"/>
    <tableColumn id="11239" xr3:uid="{ACB629F7-B9B6-486A-8158-2FA938CDE428}" name="Column11234"/>
    <tableColumn id="11240" xr3:uid="{6705D83F-E5BE-4EDE-9902-F6A454DC48A5}" name="Column11235"/>
    <tableColumn id="11241" xr3:uid="{DAE9BFB8-3DCA-4797-8856-31BF1CBDB4F8}" name="Column11236"/>
    <tableColumn id="11242" xr3:uid="{924C0C7D-0FED-4AED-A11F-C9ACF04DB181}" name="Column11237"/>
    <tableColumn id="11243" xr3:uid="{0A4E48BE-18E0-4FA5-980A-2869DE0B9989}" name="Column11238"/>
    <tableColumn id="11244" xr3:uid="{C9F33038-E0AA-4CBD-9083-32940C292CC9}" name="Column11239"/>
    <tableColumn id="11245" xr3:uid="{A9AB024E-5AE0-4BD8-86E1-548E24445FA3}" name="Column11240"/>
    <tableColumn id="11246" xr3:uid="{9A50AB9C-D1F4-4108-8839-74CBCA7A2B89}" name="Column11241"/>
    <tableColumn id="11247" xr3:uid="{C97A9C08-6B7F-480E-A13F-0A0C2F8037E8}" name="Column11242"/>
    <tableColumn id="11248" xr3:uid="{AA6EDC3E-1836-4D2C-A55E-0D263C3AF3D0}" name="Column11243"/>
    <tableColumn id="11249" xr3:uid="{84BD00BF-452C-43E6-8E85-1E9727334B58}" name="Column11244"/>
    <tableColumn id="11250" xr3:uid="{3033151A-48C2-4AFF-907E-BA5ABEB8A179}" name="Column11245"/>
    <tableColumn id="11251" xr3:uid="{6DF69B09-C8DA-49ED-BB28-DC6AC0473EF9}" name="Column11246"/>
    <tableColumn id="11252" xr3:uid="{5E3279EE-6C45-4FDD-9346-F18770CADD20}" name="Column11247"/>
    <tableColumn id="11253" xr3:uid="{A65F1C71-2F64-40CF-A2CB-F8404FBBB8EB}" name="Column11248"/>
    <tableColumn id="11254" xr3:uid="{5436033B-2DB0-4240-8651-4403D5632610}" name="Column11249"/>
    <tableColumn id="11255" xr3:uid="{FCDA8115-5D6E-4AB6-83B1-9A12D91AE16E}" name="Column11250"/>
    <tableColumn id="11256" xr3:uid="{2F6EF619-01BB-4105-B498-B45CB25FB60B}" name="Column11251"/>
    <tableColumn id="11257" xr3:uid="{B71BC23E-50E5-4B3A-8335-5523D4BEC099}" name="Column11252"/>
    <tableColumn id="11258" xr3:uid="{5E9D9BE8-2176-4EB8-A76B-6B90155BB318}" name="Column11253"/>
    <tableColumn id="11259" xr3:uid="{1F5EAB22-9801-474F-98BE-D3C8F0D9E093}" name="Column11254"/>
    <tableColumn id="11260" xr3:uid="{ED9BED7C-16B8-48DE-94D3-78A81D846B8E}" name="Column11255"/>
    <tableColumn id="11261" xr3:uid="{3FD5E078-0646-405E-ACD0-28DC64D98464}" name="Column11256"/>
    <tableColumn id="11262" xr3:uid="{323AF78E-06A8-4F7E-8186-23F4E990E6BA}" name="Column11257"/>
    <tableColumn id="11263" xr3:uid="{3DE022FF-DAFD-494E-9CD3-C749089B0418}" name="Column11258"/>
    <tableColumn id="11264" xr3:uid="{024B6A60-71B0-49B4-A5AF-DF3FD9202BBE}" name="Column11259"/>
    <tableColumn id="11265" xr3:uid="{E59AF94E-CC3E-4708-B187-205BB0BE7247}" name="Column11260"/>
    <tableColumn id="11266" xr3:uid="{1A021A30-0B2D-44F0-B857-D05B532192F6}" name="Column11261"/>
    <tableColumn id="11267" xr3:uid="{E9FC636C-3192-4425-B450-5CC9B8859BA6}" name="Column11262"/>
    <tableColumn id="11268" xr3:uid="{93AD842E-6B59-42B5-99DC-9B039CAC3ED7}" name="Column11263"/>
    <tableColumn id="11269" xr3:uid="{F98A7E72-A9AF-4071-8041-6D08ECB10FE3}" name="Column11264"/>
    <tableColumn id="11270" xr3:uid="{B602FD25-4BC8-4A3C-A7C4-F39E3DF09432}" name="Column11265"/>
    <tableColumn id="11271" xr3:uid="{42641C4E-09EE-462B-9370-9E3114DD8EB9}" name="Column11266"/>
    <tableColumn id="11272" xr3:uid="{7B81752F-0AC9-4F4D-8ED6-2A82494334DC}" name="Column11267"/>
    <tableColumn id="11273" xr3:uid="{D775453E-E486-4FAC-BB39-BB35B60E70E7}" name="Column11268"/>
    <tableColumn id="11274" xr3:uid="{5A8C4987-6F6F-4DBE-B7AF-5695B6FF08F2}" name="Column11269"/>
    <tableColumn id="11275" xr3:uid="{EEE758C0-7CD1-4FD8-AEB4-B8220C2FA55A}" name="Column11270"/>
    <tableColumn id="11276" xr3:uid="{862C5E5F-C2CD-4AEC-A871-C53232554CC2}" name="Column11271"/>
    <tableColumn id="11277" xr3:uid="{B0A4566B-9D22-49B3-A2DF-E2FAD4866C88}" name="Column11272"/>
    <tableColumn id="11278" xr3:uid="{9BCE26F2-506D-4EC9-9A34-8575BA82DC11}" name="Column11273"/>
    <tableColumn id="11279" xr3:uid="{8736B121-C2B7-4C8D-B9E6-86F7C983E15C}" name="Column11274"/>
    <tableColumn id="11280" xr3:uid="{91709964-AAD0-4541-938D-B2C191C3452D}" name="Column11275"/>
    <tableColumn id="11281" xr3:uid="{481A0E7A-9551-468D-9A7F-2378B5F569AD}" name="Column11276"/>
    <tableColumn id="11282" xr3:uid="{2DD8EDF7-9F55-4F47-84C8-1C8EBDEB7034}" name="Column11277"/>
    <tableColumn id="11283" xr3:uid="{BE8B4354-1633-4EBF-A16D-5F11609EFD2F}" name="Column11278"/>
    <tableColumn id="11284" xr3:uid="{B5578249-DEA2-4277-9C09-536D8000700B}" name="Column11279"/>
    <tableColumn id="11285" xr3:uid="{50A58C41-7F71-46D4-A712-51B2DC77F97C}" name="Column11280"/>
    <tableColumn id="11286" xr3:uid="{D49F1307-AA55-42E8-A33A-91C2B8A86D56}" name="Column11281"/>
    <tableColumn id="11287" xr3:uid="{CDDE7794-8B2C-4375-8AEA-B6D0DEC29326}" name="Column11282"/>
    <tableColumn id="11288" xr3:uid="{9F01CA70-23D4-4627-942F-5B432F9F1A15}" name="Column11283"/>
    <tableColumn id="11289" xr3:uid="{3260B472-466B-4B98-A92A-200819D3931E}" name="Column11284"/>
    <tableColumn id="11290" xr3:uid="{9680D033-BFAD-40CD-8CBF-E9CA8494ECA2}" name="Column11285"/>
    <tableColumn id="11291" xr3:uid="{4413CDE9-CEEB-4FF9-B8AD-C25E2DDEC698}" name="Column11286"/>
    <tableColumn id="11292" xr3:uid="{153C2D02-70A8-4E53-B589-DF60D52D7E2E}" name="Column11287"/>
    <tableColumn id="11293" xr3:uid="{26C6F432-6080-48D2-BF2C-AB0BB2449B32}" name="Column11288"/>
    <tableColumn id="11294" xr3:uid="{9A1EE977-2376-40FD-868C-180249FC5D45}" name="Column11289"/>
    <tableColumn id="11295" xr3:uid="{C436FCA3-04AF-47BC-A497-EA78C6B35531}" name="Column11290"/>
    <tableColumn id="11296" xr3:uid="{F60D0CC4-9910-42A4-9709-DFDED784D7FD}" name="Column11291"/>
    <tableColumn id="11297" xr3:uid="{354FCB33-3A67-43DA-959D-5CA8D57BD0E2}" name="Column11292"/>
    <tableColumn id="11298" xr3:uid="{535546C3-DB0D-499F-A4EA-C2EDB17864CC}" name="Column11293"/>
    <tableColumn id="11299" xr3:uid="{88990A37-D8CB-4A4E-83AA-923A533C2A71}" name="Column11294"/>
    <tableColumn id="11300" xr3:uid="{56F9C2EE-4824-4529-942A-F6F04276A81C}" name="Column11295"/>
    <tableColumn id="11301" xr3:uid="{5A582B54-BBC3-4C55-9086-42DA55028FF7}" name="Column11296"/>
    <tableColumn id="11302" xr3:uid="{88596561-5477-4CC9-97E1-066381E33B97}" name="Column11297"/>
    <tableColumn id="11303" xr3:uid="{5B3B602F-CFF4-4AAD-A675-5D98A5529BA5}" name="Column11298"/>
    <tableColumn id="11304" xr3:uid="{D0A3CB30-213B-4CB8-9592-694A79BCD8BE}" name="Column11299"/>
    <tableColumn id="11305" xr3:uid="{E5B5E521-63D9-4013-9FF8-C14DB9C9784B}" name="Column11300"/>
    <tableColumn id="11306" xr3:uid="{F666B44C-3A2F-4663-BA71-B0F00D044C95}" name="Column11301"/>
    <tableColumn id="11307" xr3:uid="{4B69A56A-A48C-4281-94A8-ED9E4578BF34}" name="Column11302"/>
    <tableColumn id="11308" xr3:uid="{0038BAE9-4C46-45D1-9C32-17A166BF22E4}" name="Column11303"/>
    <tableColumn id="11309" xr3:uid="{C9B4B8F9-B3E6-456A-9228-4C017FC06EE7}" name="Column11304"/>
    <tableColumn id="11310" xr3:uid="{17AC6F50-653E-470E-A772-0016675F9B81}" name="Column11305"/>
    <tableColumn id="11311" xr3:uid="{3B651C98-F27A-430B-90F0-9BC9D66FB8DD}" name="Column11306"/>
    <tableColumn id="11312" xr3:uid="{BE168CCA-91F3-436C-834C-8B48A059F01D}" name="Column11307"/>
    <tableColumn id="11313" xr3:uid="{75B18F68-98DD-4004-9CC1-351C3111E44D}" name="Column11308"/>
    <tableColumn id="11314" xr3:uid="{0D473503-A630-4307-973E-40B0127BAA9D}" name="Column11309"/>
    <tableColumn id="11315" xr3:uid="{2D7A3CC8-6A8D-4877-87FA-0FE13B46F609}" name="Column11310"/>
    <tableColumn id="11316" xr3:uid="{11FBF971-7E1D-404C-B364-BA29D362420C}" name="Column11311"/>
    <tableColumn id="11317" xr3:uid="{848E5540-C5D8-4BA7-ABBF-E791A9FD1AF9}" name="Column11312"/>
    <tableColumn id="11318" xr3:uid="{E4BDBDE8-0546-4A6F-A655-A8B16E2FB241}" name="Column11313"/>
    <tableColumn id="11319" xr3:uid="{77964D4D-BBD6-4403-BEA8-3C5BA598DF1E}" name="Column11314"/>
    <tableColumn id="11320" xr3:uid="{647C57A2-C8DC-41CE-BECC-CD0E0EAFA735}" name="Column11315"/>
    <tableColumn id="11321" xr3:uid="{C63DB3C8-83A8-4679-9330-FEEE97329A9A}" name="Column11316"/>
    <tableColumn id="11322" xr3:uid="{92A53FAB-D0EF-4322-B416-B2B3FFC10C5D}" name="Column11317"/>
    <tableColumn id="11323" xr3:uid="{D6CC7AA9-4B6D-4BF6-A62E-E301DC84BBD5}" name="Column11318"/>
    <tableColumn id="11324" xr3:uid="{920A60FD-8965-4991-B815-BB3519560EE9}" name="Column11319"/>
    <tableColumn id="11325" xr3:uid="{3FD061C7-FA87-4AB3-95A9-8DC8B1C7056E}" name="Column11320"/>
    <tableColumn id="11326" xr3:uid="{52EB45E4-AD8F-40F4-8937-F4A7D1FE91D3}" name="Column11321"/>
    <tableColumn id="11327" xr3:uid="{950BCF24-767C-4086-BABB-395129C33DEB}" name="Column11322"/>
    <tableColumn id="11328" xr3:uid="{36207C82-3073-4C76-B58B-AAC9E200DE1B}" name="Column11323"/>
    <tableColumn id="11329" xr3:uid="{8D9946B5-187B-438D-9A4C-98A907D4DE79}" name="Column11324"/>
    <tableColumn id="11330" xr3:uid="{2E1B79DA-DB96-4C4B-9CCD-42482F35F4E4}" name="Column11325"/>
    <tableColumn id="11331" xr3:uid="{30CF67E8-E253-4FA4-9334-AFF435FCCB4F}" name="Column11326"/>
    <tableColumn id="11332" xr3:uid="{5CAE9F17-8FD3-4816-A4A1-25FC6120C788}" name="Column11327"/>
    <tableColumn id="11333" xr3:uid="{0810D028-103B-44A2-B98D-0BD66767DE3E}" name="Column11328"/>
    <tableColumn id="11334" xr3:uid="{0A3D4654-9CAF-4813-AAA4-BD93543E581B}" name="Column11329"/>
    <tableColumn id="11335" xr3:uid="{9120584C-2B53-4468-8AC3-DECBA530AABD}" name="Column11330"/>
    <tableColumn id="11336" xr3:uid="{D5604575-4EB4-4900-B924-33CCB139DDF4}" name="Column11331"/>
    <tableColumn id="11337" xr3:uid="{15BAD5E6-A531-4B49-9824-C62731A3F459}" name="Column11332"/>
    <tableColumn id="11338" xr3:uid="{A4F9ED99-2662-47A8-89AF-91763916FA94}" name="Column11333"/>
    <tableColumn id="11339" xr3:uid="{998E5587-BA2D-4649-AB73-F38A674052CF}" name="Column11334"/>
    <tableColumn id="11340" xr3:uid="{EFE77720-2749-4AFD-9F4E-089A87056367}" name="Column11335"/>
    <tableColumn id="11341" xr3:uid="{3887D4C3-B61E-41FD-81BA-652B6ADA1125}" name="Column11336"/>
    <tableColumn id="11342" xr3:uid="{E1ECCBEF-6128-471C-B0FE-94284F86676F}" name="Column11337"/>
    <tableColumn id="11343" xr3:uid="{92678F87-B408-46BF-8A71-F9982EF9D7C3}" name="Column11338"/>
    <tableColumn id="11344" xr3:uid="{60B43887-3623-4261-86DB-130A4347119B}" name="Column11339"/>
    <tableColumn id="11345" xr3:uid="{2D7607F5-378C-4023-A621-0AC6FFECCC52}" name="Column11340"/>
    <tableColumn id="11346" xr3:uid="{C7953FBD-693F-485F-8356-403099953EC4}" name="Column11341"/>
    <tableColumn id="11347" xr3:uid="{4A712283-0E9C-45E0-A388-FEB9E03036C3}" name="Column11342"/>
    <tableColumn id="11348" xr3:uid="{A7637747-E696-4859-A635-703CE26C93FE}" name="Column11343"/>
    <tableColumn id="11349" xr3:uid="{AF705182-FE39-4C1F-A13E-B4085C07D7E8}" name="Column11344"/>
    <tableColumn id="11350" xr3:uid="{1A82BB1C-E448-49FF-A8C7-01ED4B3C96BA}" name="Column11345"/>
    <tableColumn id="11351" xr3:uid="{1EF80EBE-46A0-4911-9D6F-6F906813FA49}" name="Column11346"/>
    <tableColumn id="11352" xr3:uid="{FEAF18F6-7B75-4D50-A3DB-E3090025F8AE}" name="Column11347"/>
    <tableColumn id="11353" xr3:uid="{5E2C9D4A-3066-4CA0-BF2C-22635FF74F16}" name="Column11348"/>
    <tableColumn id="11354" xr3:uid="{64BFFF2C-4B3B-45DE-B5E3-2B376A6B28B9}" name="Column11349"/>
    <tableColumn id="11355" xr3:uid="{F4BB753C-6E8A-4BE0-AC68-B1C6D1DFA343}" name="Column11350"/>
    <tableColumn id="11356" xr3:uid="{DB2878F9-C03B-4FA9-B5B7-2943AD0B715B}" name="Column11351"/>
    <tableColumn id="11357" xr3:uid="{6DECF1C8-D8FB-4214-9543-EDAA6FC1E620}" name="Column11352"/>
    <tableColumn id="11358" xr3:uid="{9CF01A44-F552-4D32-942A-996E4774EA0C}" name="Column11353"/>
    <tableColumn id="11359" xr3:uid="{9D2A33D7-88E7-4522-ADEB-0F1AF653B1CF}" name="Column11354"/>
    <tableColumn id="11360" xr3:uid="{E10316DA-FB92-4B65-9F57-7DE894E96969}" name="Column11355"/>
    <tableColumn id="11361" xr3:uid="{FCCC4AC0-8844-4726-8E25-B1C8D18DF258}" name="Column11356"/>
    <tableColumn id="11362" xr3:uid="{653C89DC-EC58-48CD-B45D-74AE8900ADF2}" name="Column11357"/>
    <tableColumn id="11363" xr3:uid="{084A95BE-364C-46EF-8D43-147BE6FD41BC}" name="Column11358"/>
    <tableColumn id="11364" xr3:uid="{4F229624-078F-4322-8873-59F9439453E3}" name="Column11359"/>
    <tableColumn id="11365" xr3:uid="{DCFB31CF-E967-4F59-8481-8094CF8BC7A2}" name="Column11360"/>
    <tableColumn id="11366" xr3:uid="{72393788-AC8F-4065-9590-6AEEF83BDF48}" name="Column11361"/>
    <tableColumn id="11367" xr3:uid="{A42C2DD9-A99C-46BB-BA33-8D809FD3E84F}" name="Column11362"/>
    <tableColumn id="11368" xr3:uid="{3D0F972D-119C-4866-9062-22BF751B9FAC}" name="Column11363"/>
    <tableColumn id="11369" xr3:uid="{5C8B8832-50E1-49B4-B5D7-35488CD21FE0}" name="Column11364"/>
    <tableColumn id="11370" xr3:uid="{92E3D628-43C3-4008-8165-A9A8D1D40D5D}" name="Column11365"/>
    <tableColumn id="11371" xr3:uid="{5E2561A2-3895-413D-8C29-08562BC0E5B3}" name="Column11366"/>
    <tableColumn id="11372" xr3:uid="{7A9E6424-1886-4D30-BF42-FB506AE880F8}" name="Column11367"/>
    <tableColumn id="11373" xr3:uid="{8BD0C971-79EF-4FC0-829D-772D80C22B0D}" name="Column11368"/>
    <tableColumn id="11374" xr3:uid="{8818D8E4-1879-44B4-97C5-62072C62ED67}" name="Column11369"/>
    <tableColumn id="11375" xr3:uid="{9682BF2E-8AD8-4408-AEB8-F78995E6D40C}" name="Column11370"/>
    <tableColumn id="11376" xr3:uid="{C7921824-7555-4FC3-B65E-5252663FB8C7}" name="Column11371"/>
    <tableColumn id="11377" xr3:uid="{38293C3B-E222-40FB-8EDD-1C4105E0CB8E}" name="Column11372"/>
    <tableColumn id="11378" xr3:uid="{8DC20B5C-FA1E-4747-B78A-878718B184EF}" name="Column11373"/>
    <tableColumn id="11379" xr3:uid="{567B21B2-AC54-48D3-9B3C-5925CF9EA9AB}" name="Column11374"/>
    <tableColumn id="11380" xr3:uid="{50FF9CC8-F45B-4F79-96E7-6F05C0673C9A}" name="Column11375"/>
    <tableColumn id="11381" xr3:uid="{F6E9E8FE-B862-488D-983C-71248586C96B}" name="Column11376"/>
    <tableColumn id="11382" xr3:uid="{705D621B-E7C9-49CF-8BE5-412F07C9DA5C}" name="Column11377"/>
    <tableColumn id="11383" xr3:uid="{052EFD4E-764E-4C32-935C-ADDBF26CAFAD}" name="Column11378"/>
    <tableColumn id="11384" xr3:uid="{20C2559C-17CC-4AE8-BF51-F5F50E4DC0EE}" name="Column11379"/>
    <tableColumn id="11385" xr3:uid="{C08D06BD-0818-47B9-9372-CDCEB06B42AD}" name="Column11380"/>
    <tableColumn id="11386" xr3:uid="{0A624DEF-B291-47CE-A1A7-B17E44AB7025}" name="Column11381"/>
    <tableColumn id="11387" xr3:uid="{5F43E3F5-E5F6-4551-9C89-5D797602DF48}" name="Column11382"/>
    <tableColumn id="11388" xr3:uid="{3B5B0A68-AFA7-443E-81FF-25603AD18964}" name="Column11383"/>
    <tableColumn id="11389" xr3:uid="{97CBB673-5EBC-4116-928E-F9D10317AC82}" name="Column11384"/>
    <tableColumn id="11390" xr3:uid="{9BA33FAC-8517-4A53-B965-7FE5B74ADF9D}" name="Column11385"/>
    <tableColumn id="11391" xr3:uid="{32DFAFF5-E535-4241-A0FA-F44709498102}" name="Column11386"/>
    <tableColumn id="11392" xr3:uid="{C3FA7923-72D9-45A5-8807-54A17D94F3DD}" name="Column11387"/>
    <tableColumn id="11393" xr3:uid="{E4DFF986-2A65-4821-BC85-891716F40A25}" name="Column11388"/>
    <tableColumn id="11394" xr3:uid="{08400AEC-761B-4952-841E-CD7E4E3FB337}" name="Column11389"/>
    <tableColumn id="11395" xr3:uid="{F399D475-EE3F-4E2F-A5E2-70DB14F69AA6}" name="Column11390"/>
    <tableColumn id="11396" xr3:uid="{DE7ECB84-6F5F-427A-A84A-4337F2B124FC}" name="Column11391"/>
    <tableColumn id="11397" xr3:uid="{485CBE99-3756-4D46-957D-D07921EB9EB4}" name="Column11392"/>
    <tableColumn id="11398" xr3:uid="{B24F253B-EC68-480F-9E2B-0B4C1F4ECFEA}" name="Column11393"/>
    <tableColumn id="11399" xr3:uid="{E018B17E-EB59-41CB-A960-DFD02286ED41}" name="Column11394"/>
    <tableColumn id="11400" xr3:uid="{0309D2E4-65C7-46AE-ABE8-5624E8F97A62}" name="Column11395"/>
    <tableColumn id="11401" xr3:uid="{F2D9815E-888A-4102-BDE1-53D0EB1095C4}" name="Column11396"/>
    <tableColumn id="11402" xr3:uid="{7ED168B6-59BA-471C-B103-E947DE25CEC3}" name="Column11397"/>
    <tableColumn id="11403" xr3:uid="{A7AA04F6-2B50-4D77-AD32-0CA06A02EDB1}" name="Column11398"/>
    <tableColumn id="11404" xr3:uid="{3574DCA2-F6EC-48EC-AA98-8F492226A748}" name="Column11399"/>
    <tableColumn id="11405" xr3:uid="{F4429689-2EAA-40C3-85E5-1DCBB8BA90A3}" name="Column11400"/>
    <tableColumn id="11406" xr3:uid="{FC753354-0E98-4B86-8A19-1597116D25D9}" name="Column11401"/>
    <tableColumn id="11407" xr3:uid="{CC034EF2-79EE-4C06-B687-119397742B38}" name="Column11402"/>
    <tableColumn id="11408" xr3:uid="{5947C539-10B2-4A96-9E7E-668309F9A7BE}" name="Column11403"/>
    <tableColumn id="11409" xr3:uid="{3D0E12C7-DBFC-461A-A5FF-A3BFB1C79A75}" name="Column11404"/>
    <tableColumn id="11410" xr3:uid="{4DC3B3AA-3C18-4745-B93C-F82CB0D1F4B4}" name="Column11405"/>
    <tableColumn id="11411" xr3:uid="{0E87AFFB-59E0-494A-9A57-AF89B5EF2606}" name="Column11406"/>
    <tableColumn id="11412" xr3:uid="{5B4DFA68-DDA3-497D-80BF-3D34FA6D536E}" name="Column11407"/>
    <tableColumn id="11413" xr3:uid="{BDC6BD1F-313A-4770-8058-EC6CC1F3998D}" name="Column11408"/>
    <tableColumn id="11414" xr3:uid="{7DD42E86-388F-4FE5-826A-0E6F4531058C}" name="Column11409"/>
    <tableColumn id="11415" xr3:uid="{7771D3CA-6D47-48BB-A701-D45452BFC224}" name="Column11410"/>
    <tableColumn id="11416" xr3:uid="{A013DBAC-F36D-4494-9BD1-614D16168F58}" name="Column11411"/>
    <tableColumn id="11417" xr3:uid="{BC8E07B8-DD76-47D9-8221-540E55F2078D}" name="Column11412"/>
    <tableColumn id="11418" xr3:uid="{8657C318-4D4D-4ABF-B81F-077DD0BD8864}" name="Column11413"/>
    <tableColumn id="11419" xr3:uid="{D454A178-64ED-4BF7-A39E-8DA015A29288}" name="Column11414"/>
    <tableColumn id="11420" xr3:uid="{71AFFB3E-35BD-4774-A172-7D65E1EEC384}" name="Column11415"/>
    <tableColumn id="11421" xr3:uid="{C54F3447-3535-43BC-A4BF-74197088AA57}" name="Column11416"/>
    <tableColumn id="11422" xr3:uid="{766075CD-B8B8-4819-A7C1-6AD46E10F894}" name="Column11417"/>
    <tableColumn id="11423" xr3:uid="{04FCF224-869C-4034-8775-A9AC9C5F0912}" name="Column11418"/>
    <tableColumn id="11424" xr3:uid="{96B65B9F-C87B-4A86-8D03-C9CCF2793E93}" name="Column11419"/>
    <tableColumn id="11425" xr3:uid="{65BF5B10-31A5-4709-97C9-1C54B49CB9C7}" name="Column11420"/>
    <tableColumn id="11426" xr3:uid="{3AE4902C-F1B7-4F07-8501-F28AB24232A0}" name="Column11421"/>
    <tableColumn id="11427" xr3:uid="{EF899EC4-BC95-490B-A286-53EF74E9DF79}" name="Column11422"/>
    <tableColumn id="11428" xr3:uid="{4F60D98F-D5F9-4CCD-9607-8DFC8E40E736}" name="Column11423"/>
    <tableColumn id="11429" xr3:uid="{BE31F367-188C-467A-8FDF-85A29C0586A5}" name="Column11424"/>
    <tableColumn id="11430" xr3:uid="{BB8366F6-0E4B-482A-A098-C3C92E08866C}" name="Column11425"/>
    <tableColumn id="11431" xr3:uid="{04DB6BA9-B82D-4076-ACE9-1C89593C2CA2}" name="Column11426"/>
    <tableColumn id="11432" xr3:uid="{789DCBC0-B9EF-4425-96F1-E2CED148E1E0}" name="Column11427"/>
    <tableColumn id="11433" xr3:uid="{C0033919-B0C1-415E-A29C-6A60A9F3CA23}" name="Column11428"/>
    <tableColumn id="11434" xr3:uid="{72C9A119-78DA-4CD7-AE78-61E8D4281386}" name="Column11429"/>
    <tableColumn id="11435" xr3:uid="{7CB89640-EE00-48A9-8CA6-FC7F40EA9052}" name="Column11430"/>
    <tableColumn id="11436" xr3:uid="{614A8836-1C08-4BA8-B1ED-E0993B2D8DC9}" name="Column11431"/>
    <tableColumn id="11437" xr3:uid="{D6975677-D6B7-4250-AB72-E15EB878AD94}" name="Column11432"/>
    <tableColumn id="11438" xr3:uid="{A8EB16B6-6823-47C1-8809-F9730ADE9D6C}" name="Column11433"/>
    <tableColumn id="11439" xr3:uid="{D9F8ED3A-E352-48A9-BBAD-E674C45996DF}" name="Column11434"/>
    <tableColumn id="11440" xr3:uid="{D5E9F0DD-2ECE-4FC4-8379-E0769BA1D66C}" name="Column11435"/>
    <tableColumn id="11441" xr3:uid="{7D96DC7D-0B9F-4B80-BDFF-766182376136}" name="Column11436"/>
    <tableColumn id="11442" xr3:uid="{9137DAAE-80D1-482E-A005-3FB853FCED0D}" name="Column11437"/>
    <tableColumn id="11443" xr3:uid="{C3CD19AA-AA2E-4070-831D-0B87A190125F}" name="Column11438"/>
    <tableColumn id="11444" xr3:uid="{F902B811-5052-43B6-A687-3E637025A7B7}" name="Column11439"/>
    <tableColumn id="11445" xr3:uid="{03B17F0F-C859-4062-9E28-5DBAEB973F60}" name="Column11440"/>
    <tableColumn id="11446" xr3:uid="{7D20C01B-4858-47BE-A7AD-F3FE0E2679CF}" name="Column11441"/>
    <tableColumn id="11447" xr3:uid="{B75FFF69-846D-4BBE-B01D-8DBE48080CE8}" name="Column11442"/>
    <tableColumn id="11448" xr3:uid="{68DFF697-DEDA-4851-A095-DE00F973A3AB}" name="Column11443"/>
    <tableColumn id="11449" xr3:uid="{9E1C1C46-F401-4BAC-A8A5-5BA1A74B87EB}" name="Column11444"/>
    <tableColumn id="11450" xr3:uid="{77000DB3-C27D-46B3-98CA-8598E221CF14}" name="Column11445"/>
    <tableColumn id="11451" xr3:uid="{58EF63F7-7ADB-440B-A499-D4155CBC3C2C}" name="Column11446"/>
    <tableColumn id="11452" xr3:uid="{4F6C0526-94CC-4678-9BE5-0A84EF1D032B}" name="Column11447"/>
    <tableColumn id="11453" xr3:uid="{90BFDE99-3D3E-45DB-94A4-DE9356A4D700}" name="Column11448"/>
    <tableColumn id="11454" xr3:uid="{83C5D878-CCA5-4016-8481-E1BBCC265618}" name="Column11449"/>
    <tableColumn id="11455" xr3:uid="{90FF75B7-94C1-4A78-8E3A-B9046DAC6E6C}" name="Column11450"/>
    <tableColumn id="11456" xr3:uid="{C76F9703-9172-4F24-B597-692FB7FCA56D}" name="Column11451"/>
    <tableColumn id="11457" xr3:uid="{4A51CF58-2C96-4F63-BB53-D1DB9885F831}" name="Column11452"/>
    <tableColumn id="11458" xr3:uid="{2345CBD0-B9F2-4FD1-96E1-5961F5B83198}" name="Column11453"/>
    <tableColumn id="11459" xr3:uid="{A6EC9D52-40E2-4660-A003-A5501379B330}" name="Column11454"/>
    <tableColumn id="11460" xr3:uid="{0C5C3A12-6A39-4AD5-AFB7-79A2CAE78266}" name="Column11455"/>
    <tableColumn id="11461" xr3:uid="{7041F7BA-53D5-48EE-8D39-8E53D42C334F}" name="Column11456"/>
    <tableColumn id="11462" xr3:uid="{D2C997C8-D801-4141-BB87-56BF3B760C5A}" name="Column11457"/>
    <tableColumn id="11463" xr3:uid="{205153F4-D906-4CD4-A1C7-5BB5EC7429C4}" name="Column11458"/>
    <tableColumn id="11464" xr3:uid="{8238004C-3EFF-4D17-BC4D-64F6C859464F}" name="Column11459"/>
    <tableColumn id="11465" xr3:uid="{21632455-9D2A-466C-B9CE-DB75FF022D82}" name="Column11460"/>
    <tableColumn id="11466" xr3:uid="{8EA508E5-92BA-4F16-95A8-CDEFD2DB9BF4}" name="Column11461"/>
    <tableColumn id="11467" xr3:uid="{DDF153E2-F460-44EA-B7AC-0367958FF09F}" name="Column11462"/>
    <tableColumn id="11468" xr3:uid="{4D41D430-C14E-4E3F-84C6-018C2B58F36A}" name="Column11463"/>
    <tableColumn id="11469" xr3:uid="{71C4D53A-5890-4A57-B1FE-26D43D9BA589}" name="Column11464"/>
    <tableColumn id="11470" xr3:uid="{1C861342-08EA-4B2C-BBD1-DA744B111853}" name="Column11465"/>
    <tableColumn id="11471" xr3:uid="{D6319705-C245-4696-81F9-AB988D5552E8}" name="Column11466"/>
    <tableColumn id="11472" xr3:uid="{E9D5C7BA-D06E-4673-9C02-9701ED66FC6C}" name="Column11467"/>
    <tableColumn id="11473" xr3:uid="{EA8B2ED4-84F5-4061-BAA8-F1C81E3B50B4}" name="Column11468"/>
    <tableColumn id="11474" xr3:uid="{A22CD848-12BE-464C-B1CF-EACB6CD67CD0}" name="Column11469"/>
    <tableColumn id="11475" xr3:uid="{48187C7C-6164-4A80-8645-E25C127D1374}" name="Column11470"/>
    <tableColumn id="11476" xr3:uid="{A3FBFFE3-A25C-4946-80FE-B6925B26DD93}" name="Column11471"/>
    <tableColumn id="11477" xr3:uid="{6C1F12E8-E6CC-4673-82C2-CF1AF50E31A6}" name="Column11472"/>
    <tableColumn id="11478" xr3:uid="{8410BCC3-C446-47EB-9A1F-A38448BD7B41}" name="Column11473"/>
    <tableColumn id="11479" xr3:uid="{3DDB88F8-13E1-43B4-BCC7-0FD723E09FEC}" name="Column11474"/>
    <tableColumn id="11480" xr3:uid="{E0E24F36-282A-4264-85E9-30702D7948BF}" name="Column11475"/>
    <tableColumn id="11481" xr3:uid="{3B16C576-1BE9-4BF8-93E3-1949E7607E29}" name="Column11476"/>
    <tableColumn id="11482" xr3:uid="{9B3CE6C0-DB0C-454D-B9E1-ABB024DF3B81}" name="Column11477"/>
    <tableColumn id="11483" xr3:uid="{72BEA96C-8E26-487E-AF44-4DC255B3B22C}" name="Column11478"/>
    <tableColumn id="11484" xr3:uid="{F68A11B6-643D-4316-B97A-214DAC15C94C}" name="Column11479"/>
    <tableColumn id="11485" xr3:uid="{7B7C021B-B576-493B-858E-6B698B91ADE3}" name="Column11480"/>
    <tableColumn id="11486" xr3:uid="{BF465D91-4CD0-4416-8326-D0AAFB523243}" name="Column11481"/>
    <tableColumn id="11487" xr3:uid="{F4D7ADB6-5842-4BB3-B06E-78A2E3EEBF42}" name="Column11482"/>
    <tableColumn id="11488" xr3:uid="{1543FEFE-3F99-4B48-B184-B8C2223A5BFE}" name="Column11483"/>
    <tableColumn id="11489" xr3:uid="{5E1D036B-44C6-438D-A2CF-F76F2353FDE7}" name="Column11484"/>
    <tableColumn id="11490" xr3:uid="{BB209604-F323-4FE5-A7B6-D6A04F1F533E}" name="Column11485"/>
    <tableColumn id="11491" xr3:uid="{81086FB2-0257-426A-AF7F-B9EFD752FEB6}" name="Column11486"/>
    <tableColumn id="11492" xr3:uid="{7CAF83C8-CA4F-49CA-9134-D791A615DFB1}" name="Column11487"/>
    <tableColumn id="11493" xr3:uid="{68519BC3-560B-4D39-939D-78B691AAF5BF}" name="Column11488"/>
    <tableColumn id="11494" xr3:uid="{8E161CB1-EF7D-4A77-BF47-F5CADFF59F6A}" name="Column11489"/>
    <tableColumn id="11495" xr3:uid="{E6C3F178-45D6-420A-B957-BDA219809D25}" name="Column11490"/>
    <tableColumn id="11496" xr3:uid="{B11DF415-9396-4906-9102-51DB451C5765}" name="Column11491"/>
    <tableColumn id="11497" xr3:uid="{FE9BD964-7CCD-4A4A-B04B-1E4FECBB0E2C}" name="Column11492"/>
    <tableColumn id="11498" xr3:uid="{1F7ED99D-78E7-409C-9801-1127670BF8F5}" name="Column11493"/>
    <tableColumn id="11499" xr3:uid="{A716A875-16BE-47BD-B4A7-57F5573B8022}" name="Column11494"/>
    <tableColumn id="11500" xr3:uid="{42BB396A-F8F8-4D71-8ABE-33949BAC8807}" name="Column11495"/>
    <tableColumn id="11501" xr3:uid="{89747B45-8ABD-4F8E-A278-A826BECCA9DE}" name="Column11496"/>
    <tableColumn id="11502" xr3:uid="{C4899E99-BCD6-4120-86FF-7DDB28A51112}" name="Column11497"/>
    <tableColumn id="11503" xr3:uid="{F7B46BA8-2D41-495E-BF96-57AF38F577A6}" name="Column11498"/>
    <tableColumn id="11504" xr3:uid="{3ED714D8-1CB7-4ACE-B374-0BAB44BD464B}" name="Column11499"/>
    <tableColumn id="11505" xr3:uid="{1CA467BE-9205-4859-A45B-27F7394A2798}" name="Column11500"/>
    <tableColumn id="11506" xr3:uid="{950C9514-82A5-4AA4-94D8-A3350FF20E5F}" name="Column11501"/>
    <tableColumn id="11507" xr3:uid="{37E57CDD-9BD0-4886-B183-8D9EBEC553F9}" name="Column11502"/>
    <tableColumn id="11508" xr3:uid="{73B336D7-8A94-4157-ADFB-324651EC9557}" name="Column11503"/>
    <tableColumn id="11509" xr3:uid="{8656252C-881E-461A-B255-D99A7BC508B1}" name="Column11504"/>
    <tableColumn id="11510" xr3:uid="{B5C3859B-DA9D-4F53-807D-21ED824F82AF}" name="Column11505"/>
    <tableColumn id="11511" xr3:uid="{B37A8822-2FCB-427B-8E97-4683424FCD05}" name="Column11506"/>
    <tableColumn id="11512" xr3:uid="{78D95E42-2291-478D-8B10-31A73819AF85}" name="Column11507"/>
    <tableColumn id="11513" xr3:uid="{D4A7F4C9-03CC-4CD2-96FC-E7D805AC529A}" name="Column11508"/>
    <tableColumn id="11514" xr3:uid="{6EE139DF-38C2-4EE7-B3DF-3F6EBEDE3652}" name="Column11509"/>
    <tableColumn id="11515" xr3:uid="{8445C673-28CA-4472-86A8-9496F5DF4608}" name="Column11510"/>
    <tableColumn id="11516" xr3:uid="{85E24FC9-6B70-4C14-965B-3DEAF6C387BE}" name="Column11511"/>
    <tableColumn id="11517" xr3:uid="{6BCA2503-DC0A-4B53-9E9B-67A5752BAC6E}" name="Column11512"/>
    <tableColumn id="11518" xr3:uid="{504451F8-3F81-4067-AC30-39E567254F26}" name="Column11513"/>
    <tableColumn id="11519" xr3:uid="{61B75B51-7133-4902-B6E0-A237D82A0D89}" name="Column11514"/>
    <tableColumn id="11520" xr3:uid="{07793F0E-4EA0-41DC-AB18-B4D09459ED57}" name="Column11515"/>
    <tableColumn id="11521" xr3:uid="{A2F82344-5618-4EE2-BE0E-85982DA0B367}" name="Column11516"/>
    <tableColumn id="11522" xr3:uid="{2D7A5A28-C248-40BF-A79C-B26DE9DBA0E2}" name="Column11517"/>
    <tableColumn id="11523" xr3:uid="{C49ADA63-3CA3-4E8B-840F-9CF1CE85484A}" name="Column11518"/>
    <tableColumn id="11524" xr3:uid="{9FE128BC-5FB0-45F0-BAA8-52BF7E95DF33}" name="Column11519"/>
    <tableColumn id="11525" xr3:uid="{1894017D-1C4B-4CFF-8821-E3B6D24E71AD}" name="Column11520"/>
    <tableColumn id="11526" xr3:uid="{2507239A-8AED-4264-9434-9531AC7C5D77}" name="Column11521"/>
    <tableColumn id="11527" xr3:uid="{BD6FCE3B-D3E1-495E-BA9A-178564A1BBF7}" name="Column11522"/>
    <tableColumn id="11528" xr3:uid="{3F3B654E-C12A-471C-9D60-6A08490AE3AA}" name="Column11523"/>
    <tableColumn id="11529" xr3:uid="{022F3514-B089-478C-92FA-45810E24C050}" name="Column11524"/>
    <tableColumn id="11530" xr3:uid="{0FD2F2DC-996C-456A-AEB4-4E3131045649}" name="Column11525"/>
    <tableColumn id="11531" xr3:uid="{CD353B5F-E6FD-4EA9-8384-E16050FDB356}" name="Column11526"/>
    <tableColumn id="11532" xr3:uid="{425E71D7-0B1A-48B3-96A0-F3413D97B4AE}" name="Column11527"/>
    <tableColumn id="11533" xr3:uid="{DEA1CFA3-893E-4D37-9357-DF081DD78B5A}" name="Column11528"/>
    <tableColumn id="11534" xr3:uid="{2C0ABC95-C054-4033-976D-7E023EBFB77A}" name="Column11529"/>
    <tableColumn id="11535" xr3:uid="{DBB840AD-6D51-451C-8605-DD28EB66BE59}" name="Column11530"/>
    <tableColumn id="11536" xr3:uid="{EB3F740F-6EDB-40E4-98E9-AED463DCF87A}" name="Column11531"/>
    <tableColumn id="11537" xr3:uid="{8EFE656D-0DA3-4145-ABA4-CB86369FD561}" name="Column11532"/>
    <tableColumn id="11538" xr3:uid="{A22BC97C-DD92-45FB-BBC6-42FABD80080D}" name="Column11533"/>
    <tableColumn id="11539" xr3:uid="{34D4440C-CFA2-4EAB-9012-C6313AACF964}" name="Column11534"/>
    <tableColumn id="11540" xr3:uid="{DD40BFC4-9416-4FAB-8989-F8C9FA51742F}" name="Column11535"/>
    <tableColumn id="11541" xr3:uid="{A0E9BC16-51AF-497C-812D-0BEC15B50CA3}" name="Column11536"/>
    <tableColumn id="11542" xr3:uid="{6BEF8921-0E98-4420-863D-83A6AC5FEAF2}" name="Column11537"/>
    <tableColumn id="11543" xr3:uid="{7D5D601E-7161-461B-93BC-C938C1B177AA}" name="Column11538"/>
    <tableColumn id="11544" xr3:uid="{6639E33E-E459-4339-BAE7-A4E04555EEBB}" name="Column11539"/>
    <tableColumn id="11545" xr3:uid="{2EDFEAB6-6CC1-4D93-99F3-427E637DB9AD}" name="Column11540"/>
    <tableColumn id="11546" xr3:uid="{B9D277A6-65F5-45F3-B0E0-1F7CDD71A495}" name="Column11541"/>
    <tableColumn id="11547" xr3:uid="{48521F28-7094-40C4-99F3-FD02E21BF6FD}" name="Column11542"/>
    <tableColumn id="11548" xr3:uid="{0B038767-0DEB-4EB5-9097-1C6BCD565817}" name="Column11543"/>
    <tableColumn id="11549" xr3:uid="{BE1B2DB8-98F1-418D-B611-23D3AF809E95}" name="Column11544"/>
    <tableColumn id="11550" xr3:uid="{DCEC5AA1-EE3B-4546-B83C-BC7751A394C5}" name="Column11545"/>
    <tableColumn id="11551" xr3:uid="{0CE29B34-C717-4ABF-8818-A356F7DC10FC}" name="Column11546"/>
    <tableColumn id="11552" xr3:uid="{AFF4C9FC-16E5-4674-96BD-49EB97B9DD1B}" name="Column11547"/>
    <tableColumn id="11553" xr3:uid="{5C4CCC8B-BD11-48E5-A821-6B10A9849EAC}" name="Column11548"/>
    <tableColumn id="11554" xr3:uid="{32508B65-32CC-4913-BCE1-6C69BBAE3F37}" name="Column11549"/>
    <tableColumn id="11555" xr3:uid="{A9D45C36-C49F-41A5-A1B0-2BF9731ED70C}" name="Column11550"/>
    <tableColumn id="11556" xr3:uid="{A86442A8-8259-4D76-AE8C-A041F8542430}" name="Column11551"/>
    <tableColumn id="11557" xr3:uid="{3523DAEC-C16B-47C2-A6AF-61E61DF50FDA}" name="Column11552"/>
    <tableColumn id="11558" xr3:uid="{90903BC3-9F3A-4A27-8509-7C75C2CB97FA}" name="Column11553"/>
    <tableColumn id="11559" xr3:uid="{4DBA0C02-C1ED-44AA-847A-1CC3A0F1EAA7}" name="Column11554"/>
    <tableColumn id="11560" xr3:uid="{28D3C72C-F53E-4ABD-A95E-6C0E248CB891}" name="Column11555"/>
    <tableColumn id="11561" xr3:uid="{43DF4C8A-46DF-4619-8EBA-D6737D5A9C46}" name="Column11556"/>
    <tableColumn id="11562" xr3:uid="{C249D0CE-3B3F-4E67-B1DF-98032B1B452D}" name="Column11557"/>
    <tableColumn id="11563" xr3:uid="{F0482038-9431-46A3-8272-52483EA32D82}" name="Column11558"/>
    <tableColumn id="11564" xr3:uid="{F3A717B9-8C79-46B0-938D-52C96E5D2225}" name="Column11559"/>
    <tableColumn id="11565" xr3:uid="{980F9DC1-39F5-4172-B664-DD55D0096AB3}" name="Column11560"/>
    <tableColumn id="11566" xr3:uid="{8B3B9164-3976-4B16-9A18-3F8D4BD9E5DE}" name="Column11561"/>
    <tableColumn id="11567" xr3:uid="{DB684342-B29E-40D4-B94A-A46310AD24CE}" name="Column11562"/>
    <tableColumn id="11568" xr3:uid="{E6EF41FA-B704-40EE-80E8-CCDBFF3950E8}" name="Column11563"/>
    <tableColumn id="11569" xr3:uid="{05C5E2A1-8DE4-4FF3-93B4-A37D2736AC81}" name="Column11564"/>
    <tableColumn id="11570" xr3:uid="{4248CF63-C6E6-4841-BFDE-F1DA3D51C52C}" name="Column11565"/>
    <tableColumn id="11571" xr3:uid="{65A7543A-1881-4188-BE99-B3DB514A4141}" name="Column11566"/>
    <tableColumn id="11572" xr3:uid="{65308AB5-961C-403A-AEEA-5CC387720E19}" name="Column11567"/>
    <tableColumn id="11573" xr3:uid="{D05F6C00-8342-44EC-98C7-0B0EE3A90EFB}" name="Column11568"/>
    <tableColumn id="11574" xr3:uid="{9F6D9BE8-4065-418F-9F37-C4C25756A803}" name="Column11569"/>
    <tableColumn id="11575" xr3:uid="{DB81C43A-F3C4-4357-BB78-C485820A6B90}" name="Column11570"/>
    <tableColumn id="11576" xr3:uid="{548F3DAD-3BA3-4000-8D01-3854F71E9858}" name="Column11571"/>
    <tableColumn id="11577" xr3:uid="{D73D104C-006E-4D45-9AFC-42ADAD19D1B9}" name="Column11572"/>
    <tableColumn id="11578" xr3:uid="{B5FA0B5B-EEF8-4A8F-A331-615434C462AA}" name="Column11573"/>
    <tableColumn id="11579" xr3:uid="{0F2ABDAC-F3D8-4BB6-8832-0B2440D74B4B}" name="Column11574"/>
    <tableColumn id="11580" xr3:uid="{5A143D4F-4AE6-42B6-AB39-9B80E6221BA6}" name="Column11575"/>
    <tableColumn id="11581" xr3:uid="{67134C0B-7208-4D7C-8F7B-0EF32A0D9335}" name="Column11576"/>
    <tableColumn id="11582" xr3:uid="{033E4872-1BD9-48F8-83D8-0C5F2CB1786A}" name="Column11577"/>
    <tableColumn id="11583" xr3:uid="{D77C9838-C501-4767-AF26-6540D3081FCC}" name="Column11578"/>
    <tableColumn id="11584" xr3:uid="{792B5308-A0FB-4A0F-B4FB-ED5FEC3D6DE4}" name="Column11579"/>
    <tableColumn id="11585" xr3:uid="{57A182B9-A120-4281-8FEB-8169C6F463EA}" name="Column11580"/>
    <tableColumn id="11586" xr3:uid="{6839D919-3CA8-43E7-8517-7788EEB47B37}" name="Column11581"/>
    <tableColumn id="11587" xr3:uid="{34AF003C-FF13-40A3-8B01-8B9B6741CF9B}" name="Column11582"/>
    <tableColumn id="11588" xr3:uid="{032F71AC-F329-4771-8DD3-4728458EA312}" name="Column11583"/>
    <tableColumn id="11589" xr3:uid="{884A5DAD-0A57-4BE4-9676-8FAA826E32B4}" name="Column11584"/>
    <tableColumn id="11590" xr3:uid="{CF790FE9-CE4E-43D3-9F7B-7B2E518AD68D}" name="Column11585"/>
    <tableColumn id="11591" xr3:uid="{92967102-5E42-4886-BEB9-95A38D57C95B}" name="Column11586"/>
    <tableColumn id="11592" xr3:uid="{5A488087-CDD5-4931-AC92-14778E9F1427}" name="Column11587"/>
    <tableColumn id="11593" xr3:uid="{60DCCCF1-FC96-47C3-AB08-DC625AA8D864}" name="Column11588"/>
    <tableColumn id="11594" xr3:uid="{5AF7A8CC-8CA0-4DA5-A19B-E1D53FB21A23}" name="Column11589"/>
    <tableColumn id="11595" xr3:uid="{D822AD54-B0C8-4D79-B162-B4B07BB0954D}" name="Column11590"/>
    <tableColumn id="11596" xr3:uid="{5DE0A6D6-6BEE-421F-9C21-E37DB4BD2B80}" name="Column11591"/>
    <tableColumn id="11597" xr3:uid="{63BA4917-2C1B-4B40-A229-9E450E1DB7C3}" name="Column11592"/>
    <tableColumn id="11598" xr3:uid="{8A2074FF-3714-4623-81F3-9439730B59B4}" name="Column11593"/>
    <tableColumn id="11599" xr3:uid="{51D1EBEA-E7AF-4367-A5ED-555CBB405608}" name="Column11594"/>
    <tableColumn id="11600" xr3:uid="{102FD373-A04D-467F-91F4-ACFB79394091}" name="Column11595"/>
    <tableColumn id="11601" xr3:uid="{2F746461-D34B-418E-90C3-3A4E7F20FF08}" name="Column11596"/>
    <tableColumn id="11602" xr3:uid="{52DC818D-160C-4BDC-963F-70E39166191D}" name="Column11597"/>
    <tableColumn id="11603" xr3:uid="{B3A9698D-F8FD-402E-9131-8C3BE90206FE}" name="Column11598"/>
    <tableColumn id="11604" xr3:uid="{003F08F5-CDE9-4445-83AF-B5AEF52D3F4E}" name="Column11599"/>
    <tableColumn id="11605" xr3:uid="{45EDA4E1-81A2-463A-A9BC-80D7933EE5AB}" name="Column11600"/>
    <tableColumn id="11606" xr3:uid="{84A73B8A-A1A7-4A1E-B6A4-E1F35DD90A9B}" name="Column11601"/>
    <tableColumn id="11607" xr3:uid="{06B825E5-5BA1-4E15-AA99-DBAE13269C73}" name="Column11602"/>
    <tableColumn id="11608" xr3:uid="{2833AE62-2DCA-4007-8C83-246FB3780AC0}" name="Column11603"/>
    <tableColumn id="11609" xr3:uid="{A96CAF7A-7C90-495C-AFCE-8FA0585B399B}" name="Column11604"/>
    <tableColumn id="11610" xr3:uid="{02DAD1DF-68DA-47A5-874D-BBA0CD48B3CD}" name="Column11605"/>
    <tableColumn id="11611" xr3:uid="{2016D73C-E7AA-44C8-B404-572E87E8A90A}" name="Column11606"/>
    <tableColumn id="11612" xr3:uid="{AE92EFC1-DC46-461E-9B40-8C889EB6AB98}" name="Column11607"/>
    <tableColumn id="11613" xr3:uid="{099562AC-FC57-4A2F-B0BD-6CFED99D7D4D}" name="Column11608"/>
    <tableColumn id="11614" xr3:uid="{CDBA5CD7-2247-4016-A339-D54BB32DDAF9}" name="Column11609"/>
    <tableColumn id="11615" xr3:uid="{B66E42CB-41FE-49B2-826B-CCF4D15FF34B}" name="Column11610"/>
    <tableColumn id="11616" xr3:uid="{98D5EC71-4D37-4FD8-89E4-991B45650FDD}" name="Column11611"/>
    <tableColumn id="11617" xr3:uid="{2C062A84-7033-4655-B98F-4FCFEF065476}" name="Column11612"/>
    <tableColumn id="11618" xr3:uid="{433A370B-737A-48B4-BA28-AD025F17E65A}" name="Column11613"/>
    <tableColumn id="11619" xr3:uid="{33BA6701-DE27-4797-A332-B2AEFD3C54D8}" name="Column11614"/>
    <tableColumn id="11620" xr3:uid="{2DF9DCC5-C75B-4A62-8BC5-4B9D2A0DD285}" name="Column11615"/>
    <tableColumn id="11621" xr3:uid="{CCF4266B-461A-47F6-9589-870834304E5C}" name="Column11616"/>
    <tableColumn id="11622" xr3:uid="{F96A6F60-F2F6-4938-B143-C93468E10439}" name="Column11617"/>
    <tableColumn id="11623" xr3:uid="{02F61F9E-2DA1-4049-A66F-C6050ED9A4DF}" name="Column11618"/>
    <tableColumn id="11624" xr3:uid="{62B6039C-8F1E-4C10-8366-E6F05173B168}" name="Column11619"/>
    <tableColumn id="11625" xr3:uid="{6F1509EB-3AF8-4823-93E0-26D57D8EB270}" name="Column11620"/>
    <tableColumn id="11626" xr3:uid="{ACEB11C2-1F73-4C6E-A7ED-C4931130F1AE}" name="Column11621"/>
    <tableColumn id="11627" xr3:uid="{2A0728B3-C76D-4E0B-9A61-9209654E444F}" name="Column11622"/>
    <tableColumn id="11628" xr3:uid="{470DEDFC-A59E-4A29-ABBA-17DF7D6FF1F7}" name="Column11623"/>
    <tableColumn id="11629" xr3:uid="{242E0269-7A37-478C-A4A9-44EE01669D6F}" name="Column11624"/>
    <tableColumn id="11630" xr3:uid="{502EB3F7-B3B1-421F-B99A-B45BFD9F6363}" name="Column11625"/>
    <tableColumn id="11631" xr3:uid="{A8277661-2EE0-405E-868E-1F3CBDCF6B43}" name="Column11626"/>
    <tableColumn id="11632" xr3:uid="{30B09BC9-7F85-442D-961F-3641C00FD068}" name="Column11627"/>
    <tableColumn id="11633" xr3:uid="{5B083E29-1AF2-4952-82B2-5511D98B5271}" name="Column11628"/>
    <tableColumn id="11634" xr3:uid="{2A576044-5D75-497A-90C6-4D6C48C62E67}" name="Column11629"/>
    <tableColumn id="11635" xr3:uid="{A1744BE1-779A-49DC-BCD0-53578472E470}" name="Column11630"/>
    <tableColumn id="11636" xr3:uid="{076280FD-6D99-41FC-BA67-429D03B039A6}" name="Column11631"/>
    <tableColumn id="11637" xr3:uid="{CBC956A4-8493-4461-9A5B-31732AB2B1A9}" name="Column11632"/>
    <tableColumn id="11638" xr3:uid="{AB5ADFDE-A1B3-45B4-9CD9-1B345A53F62E}" name="Column11633"/>
    <tableColumn id="11639" xr3:uid="{97785691-4A14-42A9-9EF7-F6A91311E2D6}" name="Column11634"/>
    <tableColumn id="11640" xr3:uid="{43C55C0C-D8C8-4424-8B5E-46575CA9EFB6}" name="Column11635"/>
    <tableColumn id="11641" xr3:uid="{23F1720A-78A5-4908-829A-EF457CDE0524}" name="Column11636"/>
    <tableColumn id="11642" xr3:uid="{3E8D1E2C-204E-40C9-8A7A-ABC60AD7EBB3}" name="Column11637"/>
    <tableColumn id="11643" xr3:uid="{1864D1A5-394F-4C6B-9B69-D54199CFCAD2}" name="Column11638"/>
    <tableColumn id="11644" xr3:uid="{2C146FFD-57AE-47F2-AF93-5F201454E8E9}" name="Column11639"/>
    <tableColumn id="11645" xr3:uid="{A056619D-AFF1-4E08-80BD-A501B45BADDB}" name="Column11640"/>
    <tableColumn id="11646" xr3:uid="{51BA8B84-1444-4FB1-80CF-915B3DF47ED3}" name="Column11641"/>
    <tableColumn id="11647" xr3:uid="{74D3896C-A504-4E13-82EB-B5F361371FF3}" name="Column11642"/>
    <tableColumn id="11648" xr3:uid="{168D9F73-CEAC-4683-9BA9-4E86030BCE4C}" name="Column11643"/>
    <tableColumn id="11649" xr3:uid="{09936995-42B0-47C6-8DF1-9209202F538C}" name="Column11644"/>
    <tableColumn id="11650" xr3:uid="{784AEF99-BA09-427C-AA8A-EDEB816C5421}" name="Column11645"/>
    <tableColumn id="11651" xr3:uid="{59B3F6B9-D7DB-40B2-A5A0-A80422424732}" name="Column11646"/>
    <tableColumn id="11652" xr3:uid="{02FA66C0-F3D6-4026-B60F-7B3FA02C7AC6}" name="Column11647"/>
    <tableColumn id="11653" xr3:uid="{83045F9C-6762-4A56-9C87-6EF0FC8A33E6}" name="Column11648"/>
    <tableColumn id="11654" xr3:uid="{A5840643-4D91-4782-B512-A61E18B928C4}" name="Column11649"/>
    <tableColumn id="11655" xr3:uid="{E9A06C7B-480D-478F-98F1-22AC7208180A}" name="Column11650"/>
    <tableColumn id="11656" xr3:uid="{50BEB610-DC40-4589-9843-D1FA61E1B6A7}" name="Column11651"/>
    <tableColumn id="11657" xr3:uid="{3AFE24E4-6517-4F9D-A978-4902EB674062}" name="Column11652"/>
    <tableColumn id="11658" xr3:uid="{8BE819CD-0F6C-4868-AE98-793B519435DA}" name="Column11653"/>
    <tableColumn id="11659" xr3:uid="{B346BDFD-AEB8-4DDE-8B2F-97ED0152B993}" name="Column11654"/>
    <tableColumn id="11660" xr3:uid="{4A73E470-390D-4F83-A8DA-A03F638C24D3}" name="Column11655"/>
    <tableColumn id="11661" xr3:uid="{342FBDA2-1A8F-46CB-ADCF-4B40838C6493}" name="Column11656"/>
    <tableColumn id="11662" xr3:uid="{646AFC4C-E843-4095-81D7-A68EA3497DCE}" name="Column11657"/>
    <tableColumn id="11663" xr3:uid="{128562B8-87FD-4548-8557-B2CDD32058A2}" name="Column11658"/>
    <tableColumn id="11664" xr3:uid="{2DA35C2F-9C33-41F3-B847-F4AE075FD90E}" name="Column11659"/>
    <tableColumn id="11665" xr3:uid="{2EFB5150-50E0-40B9-8AD1-ADE3D214701C}" name="Column11660"/>
    <tableColumn id="11666" xr3:uid="{1D4CCBD6-7BA6-4462-9022-6AE325C6B059}" name="Column11661"/>
    <tableColumn id="11667" xr3:uid="{69A78D8B-F91B-4757-A2B9-AFF05229C7E2}" name="Column11662"/>
    <tableColumn id="11668" xr3:uid="{636D5445-09C7-4BDD-9D78-E6723F817299}" name="Column11663"/>
    <tableColumn id="11669" xr3:uid="{56ED6B20-98B1-43B5-8917-1438C8A6F8CE}" name="Column11664"/>
    <tableColumn id="11670" xr3:uid="{03E1395C-D014-45A9-959C-1B4F94CD7241}" name="Column11665"/>
    <tableColumn id="11671" xr3:uid="{D198932A-4561-4A0D-B1BE-0D1A69313439}" name="Column11666"/>
    <tableColumn id="11672" xr3:uid="{428BC624-27B3-42F1-BF95-BFAC54F3BCB6}" name="Column11667"/>
    <tableColumn id="11673" xr3:uid="{08B035D9-3BA7-466E-9BD7-4316F77F7A2F}" name="Column11668"/>
    <tableColumn id="11674" xr3:uid="{3D4A0098-817A-4A18-9BD2-9D6E7168F450}" name="Column11669"/>
    <tableColumn id="11675" xr3:uid="{4F003E1A-1E82-450D-8253-C14228F033D2}" name="Column11670"/>
    <tableColumn id="11676" xr3:uid="{AA4707F3-EC3E-4AB1-A142-07126AA8E573}" name="Column11671"/>
    <tableColumn id="11677" xr3:uid="{E5723CD4-ECFC-406C-8FC7-A41657DF3C60}" name="Column11672"/>
    <tableColumn id="11678" xr3:uid="{D64AC264-B71D-4F59-84B6-ABBB434624C2}" name="Column11673"/>
    <tableColumn id="11679" xr3:uid="{93FA1482-2EDF-425F-BE17-FE020E51E142}" name="Column11674"/>
    <tableColumn id="11680" xr3:uid="{18F30E7B-7D46-4D7E-9EB3-E27752560B13}" name="Column11675"/>
    <tableColumn id="11681" xr3:uid="{7E242F37-168A-4EE1-9AFB-26F7B99994FC}" name="Column11676"/>
    <tableColumn id="11682" xr3:uid="{2D5E1E47-0D12-48AA-937A-741DBEEC87B4}" name="Column11677"/>
    <tableColumn id="11683" xr3:uid="{0753DD99-D028-431B-8D64-E01630BD86D6}" name="Column11678"/>
    <tableColumn id="11684" xr3:uid="{EEC9E64A-FADB-4429-8F88-AB129FA5F8BC}" name="Column11679"/>
    <tableColumn id="11685" xr3:uid="{AE2363B9-1B38-460C-8F8E-38262E1D530E}" name="Column11680"/>
    <tableColumn id="11686" xr3:uid="{48403A4C-8CDE-4A26-BEC7-6B3926BA13E5}" name="Column11681"/>
    <tableColumn id="11687" xr3:uid="{AA9E88A4-6CE0-4311-ADCD-77642B4CC1B0}" name="Column11682"/>
    <tableColumn id="11688" xr3:uid="{37963D3A-15B7-4805-938A-620148F7D648}" name="Column11683"/>
    <tableColumn id="11689" xr3:uid="{DA1B1952-9D47-408B-9B7F-A4E9CABEC7E9}" name="Column11684"/>
    <tableColumn id="11690" xr3:uid="{D512FBA4-693C-4041-97E6-8EBC03C899CA}" name="Column11685"/>
    <tableColumn id="11691" xr3:uid="{A8859B4A-F481-4EFD-AEBB-8AF4C277E59E}" name="Column11686"/>
    <tableColumn id="11692" xr3:uid="{5F3CEBB3-0A3A-4DD2-AAD2-AB352A61C9BE}" name="Column11687"/>
    <tableColumn id="11693" xr3:uid="{77E9C32E-63E9-4F20-BCB3-AE6C860C6125}" name="Column11688"/>
    <tableColumn id="11694" xr3:uid="{CF758B76-9B9B-4EB2-B28C-142CFB587675}" name="Column11689"/>
    <tableColumn id="11695" xr3:uid="{2F292DE4-CB34-4FBC-9796-83ADF7B0004E}" name="Column11690"/>
    <tableColumn id="11696" xr3:uid="{8706B792-13A4-44AE-A2ED-FA6A21CB3F94}" name="Column11691"/>
    <tableColumn id="11697" xr3:uid="{ACD1A4BA-0E65-4FE2-971F-EF94172C0177}" name="Column11692"/>
    <tableColumn id="11698" xr3:uid="{6B002889-8328-4E2D-BDEC-5C8D56856E86}" name="Column11693"/>
    <tableColumn id="11699" xr3:uid="{9F78072A-1B02-451A-B0AF-7497CC92D8BF}" name="Column11694"/>
    <tableColumn id="11700" xr3:uid="{6DC507FA-8403-4538-8A6B-541DE8FCC5CC}" name="Column11695"/>
    <tableColumn id="11701" xr3:uid="{AEE6789A-90D8-4E40-8837-7182FFAF1E2A}" name="Column11696"/>
    <tableColumn id="11702" xr3:uid="{95CCB02E-F3CA-489B-BFAF-BCEA8EAA17D1}" name="Column11697"/>
    <tableColumn id="11703" xr3:uid="{41E012A4-FD12-4BE6-A367-711A214C27E9}" name="Column11698"/>
    <tableColumn id="11704" xr3:uid="{07EEE2C0-5AE8-4F73-83FB-73C41FDA8BCF}" name="Column11699"/>
    <tableColumn id="11705" xr3:uid="{2DB3FF70-1061-400F-8CAD-3467633D2169}" name="Column11700"/>
    <tableColumn id="11706" xr3:uid="{21162D00-F75B-430B-8472-434F28FEF331}" name="Column11701"/>
    <tableColumn id="11707" xr3:uid="{53EEDB25-9BE2-42E8-990F-1E355D2B0C92}" name="Column11702"/>
    <tableColumn id="11708" xr3:uid="{DD0A550D-233B-4180-9034-A289E0ED5631}" name="Column11703"/>
    <tableColumn id="11709" xr3:uid="{ED9D5EFE-18A7-469D-9F29-DC2B96E8C351}" name="Column11704"/>
    <tableColumn id="11710" xr3:uid="{C5566259-2C2A-432A-947D-D69098397BA5}" name="Column11705"/>
    <tableColumn id="11711" xr3:uid="{1749862E-4A43-44BC-8226-48B24243041D}" name="Column11706"/>
    <tableColumn id="11712" xr3:uid="{ED439C5C-FCD1-4249-8F1E-5403340CC69C}" name="Column11707"/>
    <tableColumn id="11713" xr3:uid="{A759D0B4-ADEA-41E9-9101-F43E2B7AF33F}" name="Column11708"/>
    <tableColumn id="11714" xr3:uid="{F30D656A-E5E2-4C58-9423-3D1D3A31EF03}" name="Column11709"/>
    <tableColumn id="11715" xr3:uid="{A6BC17C6-8CBA-4220-BEF4-96AC7AB577A9}" name="Column11710"/>
    <tableColumn id="11716" xr3:uid="{9C54C470-D4CD-49D1-AA4F-77F20F33DFDC}" name="Column11711"/>
    <tableColumn id="11717" xr3:uid="{98FAD7DA-E4BB-4EA4-8E27-6567F176618D}" name="Column11712"/>
    <tableColumn id="11718" xr3:uid="{5FF7FA20-6CB0-4208-9DFB-A2387730E16A}" name="Column11713"/>
    <tableColumn id="11719" xr3:uid="{55C2A4A7-783A-4B10-A856-A41391FFF520}" name="Column11714"/>
    <tableColumn id="11720" xr3:uid="{4B1694A6-73AB-402F-845B-BA0ED5A50A0B}" name="Column11715"/>
    <tableColumn id="11721" xr3:uid="{05136E5E-05E5-440E-B29C-EB4FA755F81B}" name="Column11716"/>
    <tableColumn id="11722" xr3:uid="{2BE05EB9-40F1-48A0-AED1-62BD88BB2F90}" name="Column11717"/>
    <tableColumn id="11723" xr3:uid="{BC8252C3-02AA-4D1B-9408-4A63D72D15A5}" name="Column11718"/>
    <tableColumn id="11724" xr3:uid="{25C662BE-A8C0-42D1-B918-00B8491E379A}" name="Column11719"/>
    <tableColumn id="11725" xr3:uid="{BCB0B68C-A38C-4173-9411-EEEA0DC5F58A}" name="Column11720"/>
    <tableColumn id="11726" xr3:uid="{C87526DE-4C0E-4283-AEDF-D92923271E98}" name="Column11721"/>
    <tableColumn id="11727" xr3:uid="{9DA2E766-0F96-4E4E-AE84-5B3299BDA3C0}" name="Column11722"/>
    <tableColumn id="11728" xr3:uid="{DBCDE22D-BF9E-4D80-95B4-92D1939B08CD}" name="Column11723"/>
    <tableColumn id="11729" xr3:uid="{D96DE73E-E5C8-4199-AE6C-AB607D67A85A}" name="Column11724"/>
    <tableColumn id="11730" xr3:uid="{471F27C4-97F0-4A13-9487-7E40E3B336BF}" name="Column11725"/>
    <tableColumn id="11731" xr3:uid="{8BA3DCB0-22F4-46FB-9138-5468707DDE35}" name="Column11726"/>
    <tableColumn id="11732" xr3:uid="{6841B8EB-4ADC-4775-BE1B-59F5A3145029}" name="Column11727"/>
    <tableColumn id="11733" xr3:uid="{17B67A11-E3AB-4C7F-B976-2187C3700EA4}" name="Column11728"/>
    <tableColumn id="11734" xr3:uid="{A18A95C7-E13D-485F-AEC5-606E5A123174}" name="Column11729"/>
    <tableColumn id="11735" xr3:uid="{19A14AC6-1506-44D1-B8B4-2A8D1427330C}" name="Column11730"/>
    <tableColumn id="11736" xr3:uid="{45301D41-EA6A-408A-A2B8-2C8ECE33EEFE}" name="Column11731"/>
    <tableColumn id="11737" xr3:uid="{AA5959FC-77BD-44B0-A14F-2E644D08E5B6}" name="Column11732"/>
    <tableColumn id="11738" xr3:uid="{BFE59EA4-E8F2-4A95-BCB8-2DB22E4B104C}" name="Column11733"/>
    <tableColumn id="11739" xr3:uid="{7EE43F6B-C305-4F50-83B6-3CF356114D96}" name="Column11734"/>
    <tableColumn id="11740" xr3:uid="{6FE6ED83-DA94-4AC4-9935-52F5C3176D1B}" name="Column11735"/>
    <tableColumn id="11741" xr3:uid="{C136C419-67FA-49EB-9B6B-B9CC764191C7}" name="Column11736"/>
    <tableColumn id="11742" xr3:uid="{FA9DF1F7-3D98-4435-9C18-276CB700D4DD}" name="Column11737"/>
    <tableColumn id="11743" xr3:uid="{EC106AD7-DA8D-44B8-BD14-9578201C2098}" name="Column11738"/>
    <tableColumn id="11744" xr3:uid="{D55B9EA4-9288-4B31-9364-4133D827F7D5}" name="Column11739"/>
    <tableColumn id="11745" xr3:uid="{36ADC391-B9D6-4277-9BEE-A4BB045323DE}" name="Column11740"/>
    <tableColumn id="11746" xr3:uid="{4ED4DBA0-B43A-4829-83C4-48CB72AE9867}" name="Column11741"/>
    <tableColumn id="11747" xr3:uid="{BD823D4B-3B64-47B5-842C-D2EEDE15E554}" name="Column11742"/>
    <tableColumn id="11748" xr3:uid="{685CD811-BEDA-4167-B3E3-8D657E55F573}" name="Column11743"/>
    <tableColumn id="11749" xr3:uid="{55F5C411-8634-4931-B51D-5ED5692CBAEE}" name="Column11744"/>
    <tableColumn id="11750" xr3:uid="{1C3DC6DF-CD1B-4D8A-92BC-3964A56955A1}" name="Column11745"/>
    <tableColumn id="11751" xr3:uid="{33FD9497-E6C5-4E01-9EA0-AF321DBCBCDE}" name="Column11746"/>
    <tableColumn id="11752" xr3:uid="{A878189F-2AF2-41C2-AA5F-36D33925CB37}" name="Column11747"/>
    <tableColumn id="11753" xr3:uid="{82933F0B-B221-4089-ADDF-0E9E0128D03E}" name="Column11748"/>
    <tableColumn id="11754" xr3:uid="{DAE42AF3-A2F5-4038-8A9D-E5972A0A0AD0}" name="Column11749"/>
    <tableColumn id="11755" xr3:uid="{3700F628-2A22-4FDA-8498-3A1081042303}" name="Column11750"/>
    <tableColumn id="11756" xr3:uid="{E41CD058-0FC4-4329-88CF-5EC9C5142C9F}" name="Column11751"/>
    <tableColumn id="11757" xr3:uid="{8C5079C7-F76E-459B-8281-0936C12282BF}" name="Column11752"/>
    <tableColumn id="11758" xr3:uid="{1AB2795C-C55C-4934-B7B9-04928F455799}" name="Column11753"/>
    <tableColumn id="11759" xr3:uid="{60C42C56-D22C-4834-B58D-1EB041626B6C}" name="Column11754"/>
    <tableColumn id="11760" xr3:uid="{0C3C4953-3D38-481A-BB8A-CABA4715ACD6}" name="Column11755"/>
    <tableColumn id="11761" xr3:uid="{8924821C-178A-488A-ADB8-E51B4FCDB221}" name="Column11756"/>
    <tableColumn id="11762" xr3:uid="{18049188-9A02-403D-A6F9-696E9CA4D57A}" name="Column11757"/>
    <tableColumn id="11763" xr3:uid="{4B53C369-1CA5-4491-9B66-D5C57A499660}" name="Column11758"/>
    <tableColumn id="11764" xr3:uid="{B2C3ED64-4618-4563-8E67-11FEBA1E9A6E}" name="Column11759"/>
    <tableColumn id="11765" xr3:uid="{FABF3AEB-D7BB-4ABF-AA2E-0CEB91EC1158}" name="Column11760"/>
    <tableColumn id="11766" xr3:uid="{39362897-3A9F-4348-A8F6-345E58628668}" name="Column11761"/>
    <tableColumn id="11767" xr3:uid="{A34BC4BE-E410-40E3-A1FE-9981800F64C8}" name="Column11762"/>
    <tableColumn id="11768" xr3:uid="{7DCF5462-05C6-4555-A8C3-28046C4D4863}" name="Column11763"/>
    <tableColumn id="11769" xr3:uid="{2F7E8FC9-84CA-4E9F-9CE4-800172F0B03A}" name="Column11764"/>
    <tableColumn id="11770" xr3:uid="{F6C0BEEF-85DA-467F-A338-D8A6B5BB2F04}" name="Column11765"/>
    <tableColumn id="11771" xr3:uid="{3E80EFE4-372A-4961-832C-A4E29F9207FE}" name="Column11766"/>
    <tableColumn id="11772" xr3:uid="{65C79D47-8F92-4767-9C68-24E0021145FC}" name="Column11767"/>
    <tableColumn id="11773" xr3:uid="{96E30890-E008-42AD-9257-782A6CE883D1}" name="Column11768"/>
    <tableColumn id="11774" xr3:uid="{65807C1A-E825-43F4-8530-8A107E3BE466}" name="Column11769"/>
    <tableColumn id="11775" xr3:uid="{066B55EC-DA25-432B-BCCB-4C48B963A7B1}" name="Column11770"/>
    <tableColumn id="11776" xr3:uid="{992373FE-6D8B-46A3-9911-1BCF88D6DBAD}" name="Column11771"/>
    <tableColumn id="11777" xr3:uid="{ECE235E9-DE8B-44F2-9FE1-D928934A9A53}" name="Column11772"/>
    <tableColumn id="11778" xr3:uid="{97047EAB-2104-4EF9-95A8-E62F41EB81A0}" name="Column11773"/>
    <tableColumn id="11779" xr3:uid="{FE481936-9A39-4B02-8BE8-BBC84BAB2BCD}" name="Column11774"/>
    <tableColumn id="11780" xr3:uid="{97EC6DF3-6A5C-40B0-B510-16803142AEEA}" name="Column11775"/>
    <tableColumn id="11781" xr3:uid="{9B2FB2B4-B525-4D16-8E1C-1419AA5EB21B}" name="Column11776"/>
    <tableColumn id="11782" xr3:uid="{DB93E4B9-ACE4-468D-941D-540D782EA526}" name="Column11777"/>
    <tableColumn id="11783" xr3:uid="{34DCB6BF-A852-4AA7-8435-2C9EB0C8A059}" name="Column11778"/>
    <tableColumn id="11784" xr3:uid="{DF5320C4-689C-434B-BC79-CCA300EB6516}" name="Column11779"/>
    <tableColumn id="11785" xr3:uid="{E15C38E2-70F7-4DB9-B857-551C9960A8A0}" name="Column11780"/>
    <tableColumn id="11786" xr3:uid="{544F7FC4-A86A-4B61-B0F6-CF356B2916DA}" name="Column11781"/>
    <tableColumn id="11787" xr3:uid="{DA78F0B7-B389-4E00-82F0-5B8E122C29F3}" name="Column11782"/>
    <tableColumn id="11788" xr3:uid="{E0380107-10D9-436A-A559-7F2F96D2C1EB}" name="Column11783"/>
    <tableColumn id="11789" xr3:uid="{59DD7F55-F209-4C5A-AEFE-CF363005B163}" name="Column11784"/>
    <tableColumn id="11790" xr3:uid="{084A1351-118D-4F9D-96C6-F02D270D04AD}" name="Column11785"/>
    <tableColumn id="11791" xr3:uid="{93369BC5-4CEE-4617-BA76-615984778070}" name="Column11786"/>
    <tableColumn id="11792" xr3:uid="{86C7405B-B607-40E8-ACFD-AF3BACED40A5}" name="Column11787"/>
    <tableColumn id="11793" xr3:uid="{8D37AAF0-441E-418C-A424-E3791F7ABBDF}" name="Column11788"/>
    <tableColumn id="11794" xr3:uid="{55903170-54B1-4010-8178-DC7F456A0C21}" name="Column11789"/>
    <tableColumn id="11795" xr3:uid="{53A1986A-2C9D-45B5-B318-A102BCE8C41E}" name="Column11790"/>
    <tableColumn id="11796" xr3:uid="{A46062C0-357B-4736-8FA0-68DEE62D9203}" name="Column11791"/>
    <tableColumn id="11797" xr3:uid="{84C8A7ED-A1FA-499A-9F93-47EACEDF6129}" name="Column11792"/>
    <tableColumn id="11798" xr3:uid="{B4DA539B-DDEE-4589-934A-D063A9732B93}" name="Column11793"/>
    <tableColumn id="11799" xr3:uid="{F307FC89-640F-4EC0-B61E-5A974B612752}" name="Column11794"/>
    <tableColumn id="11800" xr3:uid="{D4ADE701-94D0-4FE4-A4B1-0550D6EC9B28}" name="Column11795"/>
    <tableColumn id="11801" xr3:uid="{422852F6-2577-49CD-8094-D4C5947C830E}" name="Column11796"/>
    <tableColumn id="11802" xr3:uid="{BED1BE78-38EE-4653-A337-13498EC1BA82}" name="Column11797"/>
    <tableColumn id="11803" xr3:uid="{CDED021D-601C-48BF-9DEC-E24E43873C0F}" name="Column11798"/>
    <tableColumn id="11804" xr3:uid="{7D75AB45-4C7B-4786-AFCA-9EED483040B2}" name="Column11799"/>
    <tableColumn id="11805" xr3:uid="{BC02552C-1C6F-4F6C-B0D8-738FAEF150C3}" name="Column11800"/>
    <tableColumn id="11806" xr3:uid="{C2EAE055-1DE4-41DF-B407-ACA10A411AA6}" name="Column11801"/>
    <tableColumn id="11807" xr3:uid="{96D6CCF8-E3DC-46C0-89F7-8E8B9BB2E09D}" name="Column11802"/>
    <tableColumn id="11808" xr3:uid="{3E639D7B-0CFF-42F4-A065-8DCA753305B8}" name="Column11803"/>
    <tableColumn id="11809" xr3:uid="{91FC9658-5F76-4F39-B8DD-9BA64DC12ABB}" name="Column11804"/>
    <tableColumn id="11810" xr3:uid="{4CBB6491-3F93-40D1-BB86-91A0073C7C31}" name="Column11805"/>
    <tableColumn id="11811" xr3:uid="{D976CD0B-DA06-454C-93B8-D416D6B9478B}" name="Column11806"/>
    <tableColumn id="11812" xr3:uid="{25D6405E-D034-417A-9DD8-3235148542E7}" name="Column11807"/>
    <tableColumn id="11813" xr3:uid="{F2D0E58D-DA0D-40A0-B1FD-7F8D91E3BEDF}" name="Column11808"/>
    <tableColumn id="11814" xr3:uid="{15817146-9A2E-4772-8EDD-5505634DBBA0}" name="Column11809"/>
    <tableColumn id="11815" xr3:uid="{FABA5132-E38D-4119-9D73-767024F154D3}" name="Column11810"/>
    <tableColumn id="11816" xr3:uid="{6760ACD3-0223-428F-B114-C5A4A95B2A4F}" name="Column11811"/>
    <tableColumn id="11817" xr3:uid="{9A7C7B50-9462-411A-9907-218954B8F138}" name="Column11812"/>
    <tableColumn id="11818" xr3:uid="{9F31C8B5-6076-4C4A-844E-30A6E4A5F32E}" name="Column11813"/>
    <tableColumn id="11819" xr3:uid="{B91BA172-D80B-4B25-B1B7-7045898C373C}" name="Column11814"/>
    <tableColumn id="11820" xr3:uid="{3CF9A1A0-2D45-4683-B5CF-1273F3AEC157}" name="Column11815"/>
    <tableColumn id="11821" xr3:uid="{43D2CCD9-0F95-40CB-BC00-2766F463D493}" name="Column11816"/>
    <tableColumn id="11822" xr3:uid="{6B7FD952-44C0-4156-A0E2-A205B2961DC8}" name="Column11817"/>
    <tableColumn id="11823" xr3:uid="{E419DCD9-3DC5-4B1A-838F-92FB2D6EB808}" name="Column11818"/>
    <tableColumn id="11824" xr3:uid="{88592EEC-ED43-4960-B767-1D8B18CF3531}" name="Column11819"/>
    <tableColumn id="11825" xr3:uid="{1FF9D96A-ABA2-4FF6-A034-C31DC340401C}" name="Column11820"/>
    <tableColumn id="11826" xr3:uid="{22F72DE7-CB56-409C-9C7C-B2A9393F7B78}" name="Column11821"/>
    <tableColumn id="11827" xr3:uid="{0858E469-661D-4C94-80A8-BC826443FFF6}" name="Column11822"/>
    <tableColumn id="11828" xr3:uid="{1CA69977-B71B-4214-B132-7F3FFEC1A726}" name="Column11823"/>
    <tableColumn id="11829" xr3:uid="{92A313DD-3ECB-4AC9-9B05-31D272668E28}" name="Column11824"/>
    <tableColumn id="11830" xr3:uid="{C2942036-9A20-450E-8E0A-30F5A3A15897}" name="Column11825"/>
    <tableColumn id="11831" xr3:uid="{EC8AE8C0-9CEF-48B8-92F4-8B00CAEBBF5E}" name="Column11826"/>
    <tableColumn id="11832" xr3:uid="{23BF1DE8-CE32-406D-B97F-3E48CBB9F172}" name="Column11827"/>
    <tableColumn id="11833" xr3:uid="{32A1A95F-5F0C-44F4-ADAA-E4B128F075D6}" name="Column11828"/>
    <tableColumn id="11834" xr3:uid="{9FAA2753-B637-402E-878B-FA8ADC94605E}" name="Column11829"/>
    <tableColumn id="11835" xr3:uid="{3886E869-0F68-444A-8180-2528D03CA191}" name="Column11830"/>
    <tableColumn id="11836" xr3:uid="{8181140D-D28B-41A4-8946-E673CB8CE196}" name="Column11831"/>
    <tableColumn id="11837" xr3:uid="{78B00F63-914A-4E25-B28D-51CACC23BF2D}" name="Column11832"/>
    <tableColumn id="11838" xr3:uid="{2982D7B7-97F4-4FFD-B3E3-AF886B24FDF9}" name="Column11833"/>
    <tableColumn id="11839" xr3:uid="{BF09D1C2-DA2F-42DA-B8F3-FBCDA65FD1F6}" name="Column11834"/>
    <tableColumn id="11840" xr3:uid="{47E39457-FB29-43C9-B0D9-A54E3FB8FEB0}" name="Column11835"/>
    <tableColumn id="11841" xr3:uid="{7E00A270-E8F9-4D36-BBE4-6C71632FE970}" name="Column11836"/>
    <tableColumn id="11842" xr3:uid="{CC644256-54D4-4E11-87C1-407845C8776A}" name="Column11837"/>
    <tableColumn id="11843" xr3:uid="{24D46FF8-79A0-4D98-8235-1F54EAEEE8C8}" name="Column11838"/>
    <tableColumn id="11844" xr3:uid="{C4ECBB62-535E-4D60-B021-72BC9D256834}" name="Column11839"/>
    <tableColumn id="11845" xr3:uid="{29D67478-FDC2-4360-8BDF-8214A57FD427}" name="Column11840"/>
    <tableColumn id="11846" xr3:uid="{0D7DD08E-3706-4089-9AD0-85ACC5385C43}" name="Column11841"/>
    <tableColumn id="11847" xr3:uid="{E0B2F7C6-C5FE-4029-B63B-A313417D68B2}" name="Column11842"/>
    <tableColumn id="11848" xr3:uid="{C4864205-BF02-4E81-886A-51A1CD4FEBF6}" name="Column11843"/>
    <tableColumn id="11849" xr3:uid="{1B77ED70-1F22-431E-9932-73CC2E8A5B5A}" name="Column11844"/>
    <tableColumn id="11850" xr3:uid="{6E563F89-A211-4AC6-AB0F-C06243FDD544}" name="Column11845"/>
    <tableColumn id="11851" xr3:uid="{ED6091C0-97F9-4D06-992B-8581B64BD1C0}" name="Column11846"/>
    <tableColumn id="11852" xr3:uid="{F4C45886-1863-48B7-AB3E-C86328EE6467}" name="Column11847"/>
    <tableColumn id="11853" xr3:uid="{F8AB35F6-71A0-41AA-808D-28EEF34944DE}" name="Column11848"/>
    <tableColumn id="11854" xr3:uid="{BC7CC817-AFC3-4E04-83A6-ECD2ADD4EAFD}" name="Column11849"/>
    <tableColumn id="11855" xr3:uid="{D560731C-7D83-4246-A2BE-79C43BD45F86}" name="Column11850"/>
    <tableColumn id="11856" xr3:uid="{A0699FB0-0561-400C-AD69-B545AC0AF111}" name="Column11851"/>
    <tableColumn id="11857" xr3:uid="{C2A4BE85-4F48-458C-9AAC-C3339B29FCD7}" name="Column11852"/>
    <tableColumn id="11858" xr3:uid="{FBAD4F75-5BD3-4880-A869-92F49893BBE0}" name="Column11853"/>
    <tableColumn id="11859" xr3:uid="{0F7659BA-EF76-4A2C-BAAA-7A9C33173FAD}" name="Column11854"/>
    <tableColumn id="11860" xr3:uid="{7AEF4CB4-29DC-4E5E-8C20-E68640172272}" name="Column11855"/>
    <tableColumn id="11861" xr3:uid="{94A60643-99E2-4AA4-A7D0-53A099F65DF1}" name="Column11856"/>
    <tableColumn id="11862" xr3:uid="{E7BF3C86-AA7B-4ADD-BC52-93E972BBAEC2}" name="Column11857"/>
    <tableColumn id="11863" xr3:uid="{0F9802C1-D06B-4ABA-9A0D-5AACCBC14277}" name="Column11858"/>
    <tableColumn id="11864" xr3:uid="{C32787C5-2AD0-43D2-9A15-EF65F59DB7E1}" name="Column11859"/>
    <tableColumn id="11865" xr3:uid="{E84E4903-F2F5-4D30-BA03-5C585D4568B5}" name="Column11860"/>
    <tableColumn id="11866" xr3:uid="{FE7E4A6E-F613-40D9-869A-4F90FFC4354E}" name="Column11861"/>
    <tableColumn id="11867" xr3:uid="{46D418F6-D6C5-4F8D-B42D-CFD7A701E4C2}" name="Column11862"/>
    <tableColumn id="11868" xr3:uid="{4F650970-BF6F-496A-B7D6-00D7249EDB96}" name="Column11863"/>
    <tableColumn id="11869" xr3:uid="{B6D624EC-4114-42F2-851F-7A99CF6D8CFA}" name="Column11864"/>
    <tableColumn id="11870" xr3:uid="{B70C14C4-A824-49A2-AE18-473A56D81FFA}" name="Column11865"/>
    <tableColumn id="11871" xr3:uid="{9E8BAF2B-8B29-4880-8920-F180B5680778}" name="Column11866"/>
    <tableColumn id="11872" xr3:uid="{A5EEA0B1-0FD6-4DCE-9696-A88C0BCD896E}" name="Column11867"/>
    <tableColumn id="11873" xr3:uid="{AA81D41E-81D8-44D0-A0A6-BBBD34217F2A}" name="Column11868"/>
    <tableColumn id="11874" xr3:uid="{8FF56610-DC69-4CE2-BEDE-C6B55F9E57E9}" name="Column11869"/>
    <tableColumn id="11875" xr3:uid="{DBF72439-B7F0-4BB3-A81C-325188F39B09}" name="Column11870"/>
    <tableColumn id="11876" xr3:uid="{AEE3D65F-D610-48AF-93C2-AB988FF7B651}" name="Column11871"/>
    <tableColumn id="11877" xr3:uid="{54E500F2-EC0B-4B90-B087-08E032963762}" name="Column11872"/>
    <tableColumn id="11878" xr3:uid="{0F91D0B4-2382-4B6C-9BD0-63EFD4A68F4A}" name="Column11873"/>
    <tableColumn id="11879" xr3:uid="{F74392D3-6D92-4ED1-9BAC-574D513F0B37}" name="Column11874"/>
    <tableColumn id="11880" xr3:uid="{A06EFA3D-6C6C-4F55-A7B1-88BC1F47CE06}" name="Column11875"/>
    <tableColumn id="11881" xr3:uid="{3D10005D-4CEF-41F5-93B6-68CF5F236A28}" name="Column11876"/>
    <tableColumn id="11882" xr3:uid="{21FDDEFA-0887-4EB3-8F15-3B3B79B3F83C}" name="Column11877"/>
    <tableColumn id="11883" xr3:uid="{AB06FB94-E240-44E9-8195-F12A2C6335CE}" name="Column11878"/>
    <tableColumn id="11884" xr3:uid="{34FD7D63-D402-42DB-B52E-A802F02B1593}" name="Column11879"/>
    <tableColumn id="11885" xr3:uid="{D0BEF927-E3B8-41D8-A5C0-27944FFD6136}" name="Column11880"/>
    <tableColumn id="11886" xr3:uid="{18723ABB-9B85-4E71-84EF-C8CDF8F0F81A}" name="Column11881"/>
    <tableColumn id="11887" xr3:uid="{C6CB80C9-DF35-4D6E-967A-8A4A2C567727}" name="Column11882"/>
    <tableColumn id="11888" xr3:uid="{73CB26F5-6CBA-4A4A-86F8-464E839DB1BB}" name="Column11883"/>
    <tableColumn id="11889" xr3:uid="{357F81F6-EBCD-426E-8546-84FDAE4F9F28}" name="Column11884"/>
    <tableColumn id="11890" xr3:uid="{C176B514-F735-49E9-9344-E5E9E2E6868A}" name="Column11885"/>
    <tableColumn id="11891" xr3:uid="{1B35BA83-6041-4B36-B94C-31346603C7AE}" name="Column11886"/>
    <tableColumn id="11892" xr3:uid="{B70FDCF9-1252-484F-9FD4-76688A993D43}" name="Column11887"/>
    <tableColumn id="11893" xr3:uid="{CF8792D3-27C0-4BF5-B9B5-7DD5E9A371F7}" name="Column11888"/>
    <tableColumn id="11894" xr3:uid="{6D2BCCA6-E894-48CB-A977-0A9792EC8A00}" name="Column11889"/>
    <tableColumn id="11895" xr3:uid="{47185E52-A972-4E5F-8737-C10FAF864FB2}" name="Column11890"/>
    <tableColumn id="11896" xr3:uid="{98E39011-8FE8-4250-9A81-939A711DF7B2}" name="Column11891"/>
    <tableColumn id="11897" xr3:uid="{45B7B85C-6AB2-4A5C-9BD2-6E174FCC5527}" name="Column11892"/>
    <tableColumn id="11898" xr3:uid="{7606675E-1401-487C-9911-49C6087E550D}" name="Column11893"/>
    <tableColumn id="11899" xr3:uid="{22116166-5E3C-4DBE-BD1A-BFD226C0DB7F}" name="Column11894"/>
    <tableColumn id="11900" xr3:uid="{4207A102-B6D4-4BFD-AD99-E38E957CB384}" name="Column11895"/>
    <tableColumn id="11901" xr3:uid="{514BFDFA-ECF5-4A19-945C-605A44153B57}" name="Column11896"/>
    <tableColumn id="11902" xr3:uid="{EECB03E2-9F51-4442-8EDB-942362C816E4}" name="Column11897"/>
    <tableColumn id="11903" xr3:uid="{136D7DE0-6713-481E-949B-4D76AC037668}" name="Column11898"/>
    <tableColumn id="11904" xr3:uid="{D51CADA7-C5D1-40BA-B5CE-9FB878F2F983}" name="Column11899"/>
    <tableColumn id="11905" xr3:uid="{25E7F8C8-1BEC-4DA8-A4D6-98A6C51CBD7C}" name="Column11900"/>
    <tableColumn id="11906" xr3:uid="{F7A03498-13A5-4853-B4E5-E5906301DC9D}" name="Column11901"/>
    <tableColumn id="11907" xr3:uid="{82245EF4-6AEB-4AC8-B78C-E29443972A30}" name="Column11902"/>
    <tableColumn id="11908" xr3:uid="{6F88AE2B-A506-47E6-8567-D373E825DCD3}" name="Column11903"/>
    <tableColumn id="11909" xr3:uid="{C7D12C98-1DF4-430C-9EF5-AE784FD49B24}" name="Column11904"/>
    <tableColumn id="11910" xr3:uid="{CFC7202C-C24D-4AEF-BBB5-7F20A117C736}" name="Column11905"/>
    <tableColumn id="11911" xr3:uid="{35CDA472-08E0-4803-89CE-D4B616451D15}" name="Column11906"/>
    <tableColumn id="11912" xr3:uid="{45275319-48B2-40AF-803C-D4428A6ACBA0}" name="Column11907"/>
    <tableColumn id="11913" xr3:uid="{164DD654-0142-412D-B5B2-F296AB15D185}" name="Column11908"/>
    <tableColumn id="11914" xr3:uid="{1E7A1D97-6A4B-4ACC-8681-CD66678CC03C}" name="Column11909"/>
    <tableColumn id="11915" xr3:uid="{5395989C-5438-4CD5-BFC5-EB87A0788783}" name="Column11910"/>
    <tableColumn id="11916" xr3:uid="{27596E20-F198-4B2B-8609-C881C2C09559}" name="Column11911"/>
    <tableColumn id="11917" xr3:uid="{69FF8215-5D43-49E0-9DE0-7361431ACE40}" name="Column11912"/>
    <tableColumn id="11918" xr3:uid="{770C2F20-A1C4-4E78-82C6-E43C490EE45A}" name="Column11913"/>
    <tableColumn id="11919" xr3:uid="{D176F1C0-5F1C-44EE-A075-BE234C33F63C}" name="Column11914"/>
    <tableColumn id="11920" xr3:uid="{D8D58EE5-C927-4D7F-A8C2-1DB669E41D09}" name="Column11915"/>
    <tableColumn id="11921" xr3:uid="{A303748A-7433-4B59-8660-200AEDE770A4}" name="Column11916"/>
    <tableColumn id="11922" xr3:uid="{0747D395-5238-472E-A8D7-DBEA65335A12}" name="Column11917"/>
    <tableColumn id="11923" xr3:uid="{32733235-E5A4-46D2-BA9F-23E7E3BA9911}" name="Column11918"/>
    <tableColumn id="11924" xr3:uid="{BF4BFF84-A059-48E6-9BDF-E5D4A315C6EC}" name="Column11919"/>
    <tableColumn id="11925" xr3:uid="{B51D8A31-B077-47D4-B846-21ABB8CF6774}" name="Column11920"/>
    <tableColumn id="11926" xr3:uid="{FA1A735F-9594-4CAC-BBF2-7C486ECDC9F4}" name="Column11921"/>
    <tableColumn id="11927" xr3:uid="{EC11D0A0-8FBC-418A-9840-D152164CD9C2}" name="Column11922"/>
    <tableColumn id="11928" xr3:uid="{A9A8B48A-5A4E-4CA5-B745-8E48EFABAE56}" name="Column11923"/>
    <tableColumn id="11929" xr3:uid="{8CD7314A-E0D4-4880-B8C5-9DB3E3962F8F}" name="Column11924"/>
    <tableColumn id="11930" xr3:uid="{C1F056CA-9C9B-43BB-B541-F3B8BF66502E}" name="Column11925"/>
    <tableColumn id="11931" xr3:uid="{D1D9B0A9-6A84-4CFA-BB7B-6936C4A0F5F1}" name="Column11926"/>
    <tableColumn id="11932" xr3:uid="{BF0E125A-2077-4627-89BE-89403055A4C4}" name="Column11927"/>
    <tableColumn id="11933" xr3:uid="{E1B8442C-99DE-4121-B6C0-6EF093063987}" name="Column11928"/>
    <tableColumn id="11934" xr3:uid="{0EB4230C-63D0-4559-B560-87282F1982F2}" name="Column11929"/>
    <tableColumn id="11935" xr3:uid="{89C00A30-BFAA-4473-A6BC-1C382D5BCB76}" name="Column11930"/>
    <tableColumn id="11936" xr3:uid="{7124D946-A10D-4CE9-AB7F-FC9A72A174E9}" name="Column11931"/>
    <tableColumn id="11937" xr3:uid="{FA7308EF-5A01-4EB3-A223-D4EAA7CCCEF9}" name="Column11932"/>
    <tableColumn id="11938" xr3:uid="{A3058D3E-5E9B-4000-AA43-7C1AFED3BACC}" name="Column11933"/>
    <tableColumn id="11939" xr3:uid="{7395338B-A587-4622-9907-83933D1CBE6B}" name="Column11934"/>
    <tableColumn id="11940" xr3:uid="{B769B79A-FA24-4675-8C5D-E41B92569CFC}" name="Column11935"/>
    <tableColumn id="11941" xr3:uid="{A63F475D-003D-4D0E-BDEF-F5D19C99658A}" name="Column11936"/>
    <tableColumn id="11942" xr3:uid="{07F016BC-24C0-4BAE-BAEE-817E3019D057}" name="Column11937"/>
    <tableColumn id="11943" xr3:uid="{C795EB45-E4AF-4C94-8ACD-7AAF132CA6C5}" name="Column11938"/>
    <tableColumn id="11944" xr3:uid="{4EA590EF-ADD0-48A0-8B59-76BABC87EF79}" name="Column11939"/>
    <tableColumn id="11945" xr3:uid="{818B7B19-F2A3-451A-BD2F-6B3395094BEB}" name="Column11940"/>
    <tableColumn id="11946" xr3:uid="{C7AF2485-4A34-4F06-8C19-6A6216BD565E}" name="Column11941"/>
    <tableColumn id="11947" xr3:uid="{25C942E5-B476-49BC-9C73-D107A601E214}" name="Column11942"/>
    <tableColumn id="11948" xr3:uid="{DDDF9DC6-15EE-4E8C-B6F6-055B3CA5CD12}" name="Column11943"/>
    <tableColumn id="11949" xr3:uid="{3D5A905D-2A43-449C-A514-1AF9808908D1}" name="Column11944"/>
    <tableColumn id="11950" xr3:uid="{64F82804-7491-4D36-81B4-C45D776C19B8}" name="Column11945"/>
    <tableColumn id="11951" xr3:uid="{B7D6BC5D-3149-457F-8E9F-475F9D603002}" name="Column11946"/>
    <tableColumn id="11952" xr3:uid="{A6287DA6-629E-4994-965E-706FC520ECD0}" name="Column11947"/>
    <tableColumn id="11953" xr3:uid="{B912E367-6298-4519-A55F-44B385B154DF}" name="Column11948"/>
    <tableColumn id="11954" xr3:uid="{43650995-3231-40B4-ABB0-F73CA5740DFA}" name="Column11949"/>
    <tableColumn id="11955" xr3:uid="{24203354-357A-4E30-B3C2-246EB7DF8EC1}" name="Column11950"/>
    <tableColumn id="11956" xr3:uid="{061D33DC-8C0E-436A-BD91-C0D3B0C4F81D}" name="Column11951"/>
    <tableColumn id="11957" xr3:uid="{6D6F0017-BC0B-4FF5-B519-D0C3935E756D}" name="Column11952"/>
    <tableColumn id="11958" xr3:uid="{81485247-0BDB-4B0D-9B98-05DE69739CC1}" name="Column11953"/>
    <tableColumn id="11959" xr3:uid="{3FDFDE73-7C4D-4FD8-B541-1914D517EB3C}" name="Column11954"/>
    <tableColumn id="11960" xr3:uid="{FBDEE9AA-2CD9-4ABC-9EDF-DF22C02E724D}" name="Column11955"/>
    <tableColumn id="11961" xr3:uid="{0D985C7C-1B03-45BB-9924-CD5D383D59D9}" name="Column11956"/>
    <tableColumn id="11962" xr3:uid="{960ABC04-2FFA-4A9E-B340-26152FB2DF4C}" name="Column11957"/>
    <tableColumn id="11963" xr3:uid="{A9E6D7C9-25B3-4C38-8B1D-F3FB139BECC1}" name="Column11958"/>
    <tableColumn id="11964" xr3:uid="{2BB56994-29C2-4193-A5E9-19E5E3B95975}" name="Column11959"/>
    <tableColumn id="11965" xr3:uid="{FD069E09-F409-4B90-AA96-B82B20E653EB}" name="Column11960"/>
    <tableColumn id="11966" xr3:uid="{6E635F23-49B0-403C-95A4-53105751A1A2}" name="Column11961"/>
    <tableColumn id="11967" xr3:uid="{4B5074DA-B101-463F-BAD2-D4ED61CEB377}" name="Column11962"/>
    <tableColumn id="11968" xr3:uid="{E5EA3F15-2BB1-4480-AF41-3B54545BE4EF}" name="Column11963"/>
    <tableColumn id="11969" xr3:uid="{D67DE66D-F5F5-4A6A-B764-0DF2496E36E4}" name="Column11964"/>
    <tableColumn id="11970" xr3:uid="{82FDE5D0-A849-415A-9B6C-5C5204C7CDE7}" name="Column11965"/>
    <tableColumn id="11971" xr3:uid="{53518AA1-6121-48DA-94A2-710370B7FFB6}" name="Column11966"/>
    <tableColumn id="11972" xr3:uid="{78AB1E13-A715-42C1-8016-4057D10031AB}" name="Column11967"/>
    <tableColumn id="11973" xr3:uid="{847F0F1C-9E03-4689-BCFA-0F1FCAC2B6BD}" name="Column11968"/>
    <tableColumn id="11974" xr3:uid="{AECF06CB-1A84-4B97-9EB2-7A75E81B45FB}" name="Column11969"/>
    <tableColumn id="11975" xr3:uid="{C0BA3F51-025C-4D4F-ACF6-DFC232AD5F29}" name="Column11970"/>
    <tableColumn id="11976" xr3:uid="{17FFA963-8046-48AE-9D39-E01DD04BC28A}" name="Column11971"/>
    <tableColumn id="11977" xr3:uid="{547C7E1B-32DB-42E4-AE91-A275FAB7C0D6}" name="Column11972"/>
    <tableColumn id="11978" xr3:uid="{AED4A9F1-0E04-4109-8EFF-4F76941E9631}" name="Column11973"/>
    <tableColumn id="11979" xr3:uid="{EA95E498-19D3-49C6-8B48-3D0CAC93E399}" name="Column11974"/>
    <tableColumn id="11980" xr3:uid="{2A4D8CB5-105D-4B0D-B57B-2C6FD137B485}" name="Column11975"/>
    <tableColumn id="11981" xr3:uid="{7C714A81-E202-4690-A8A2-AB7754133261}" name="Column11976"/>
    <tableColumn id="11982" xr3:uid="{C6D8CE1F-8F78-4CB2-A768-8E2B3A6EE079}" name="Column11977"/>
    <tableColumn id="11983" xr3:uid="{06B26988-266F-4EEE-A6FD-80C1EEB1AA57}" name="Column11978"/>
    <tableColumn id="11984" xr3:uid="{5ECD7C90-89A1-4AB4-BE84-04C132289E61}" name="Column11979"/>
    <tableColumn id="11985" xr3:uid="{6CE1D73B-77E5-44C4-91BB-E2063BE7A956}" name="Column11980"/>
    <tableColumn id="11986" xr3:uid="{7072CE85-48D2-491B-980D-B82EB08042C6}" name="Column11981"/>
    <tableColumn id="11987" xr3:uid="{817FFCF4-A6B4-4D9E-83E5-619E076C44CA}" name="Column11982"/>
    <tableColumn id="11988" xr3:uid="{412CABDE-5D76-4927-8246-5E5996B304F7}" name="Column11983"/>
    <tableColumn id="11989" xr3:uid="{1A9992E8-4DCD-424A-98C0-ED1B16C5BB16}" name="Column11984"/>
    <tableColumn id="11990" xr3:uid="{8720F425-3CAD-492D-96C1-A2779D5B4409}" name="Column11985"/>
    <tableColumn id="11991" xr3:uid="{61146741-BF23-412F-B39E-745284AB1AAE}" name="Column11986"/>
    <tableColumn id="11992" xr3:uid="{21913DA3-D879-49C5-B7DB-5A40AC9C80C5}" name="Column11987"/>
    <tableColumn id="11993" xr3:uid="{7224A949-22C9-40C8-BDB7-0E7C0FBD07E2}" name="Column11988"/>
    <tableColumn id="11994" xr3:uid="{990DF462-CD25-44C6-8499-176ABCD5CFAE}" name="Column11989"/>
    <tableColumn id="11995" xr3:uid="{FD050823-A7C0-44CC-95EE-49BBEFB8E934}" name="Column11990"/>
    <tableColumn id="11996" xr3:uid="{564A4314-42B3-48F0-8E32-1D1E3B96188E}" name="Column11991"/>
    <tableColumn id="11997" xr3:uid="{1D7CAA4C-A7EE-45B3-88A9-9C0FC99DC3B3}" name="Column11992"/>
    <tableColumn id="11998" xr3:uid="{D2B8A085-2667-4A81-8E6E-6E988CD87300}" name="Column11993"/>
    <tableColumn id="11999" xr3:uid="{FE25E712-A72F-4970-A123-AB9AD3B3F5A2}" name="Column11994"/>
    <tableColumn id="12000" xr3:uid="{F6A8AB8D-F71F-4EB3-8268-6B6E940E6ABB}" name="Column11995"/>
    <tableColumn id="12001" xr3:uid="{AC810D5A-5C9B-49A6-AC4F-13BE424E55C7}" name="Column11996"/>
    <tableColumn id="12002" xr3:uid="{A53459CD-02F2-456C-BCEF-EB6903B89A4F}" name="Column11997"/>
    <tableColumn id="12003" xr3:uid="{B6FBAE88-4179-4942-9296-560B64C7B1BA}" name="Column11998"/>
    <tableColumn id="12004" xr3:uid="{6AA37A85-3625-4D9F-9584-E75BD6EDCD68}" name="Column11999"/>
    <tableColumn id="12005" xr3:uid="{9579BCD2-D98B-4BA2-9065-36BC5E67DC21}" name="Column12000"/>
    <tableColumn id="12006" xr3:uid="{443EF750-79CB-4DFE-A04C-45DEA0C0A6AC}" name="Column12001"/>
    <tableColumn id="12007" xr3:uid="{FDA56C2B-6524-45F4-A9C3-CCC98EBD4158}" name="Column12002"/>
    <tableColumn id="12008" xr3:uid="{70F1E2D5-1A22-426E-8F4E-10DE737BF45A}" name="Column12003"/>
    <tableColumn id="12009" xr3:uid="{36A5896A-BF0A-46F6-A575-50E3AF91B67E}" name="Column12004"/>
    <tableColumn id="12010" xr3:uid="{D62B6D06-A70E-454E-B6C4-839E40BE8EDC}" name="Column12005"/>
    <tableColumn id="12011" xr3:uid="{C89DF5E7-725E-4D30-9513-23D6E6F36319}" name="Column12006"/>
    <tableColumn id="12012" xr3:uid="{0FB2D45A-8B51-4C66-AF9E-7FE19F162FC1}" name="Column12007"/>
    <tableColumn id="12013" xr3:uid="{F6375539-97CC-4CB8-9985-B40DDD4DFF03}" name="Column12008"/>
    <tableColumn id="12014" xr3:uid="{9B992F3B-B307-4C08-A454-CA6B4AF29CC7}" name="Column12009"/>
    <tableColumn id="12015" xr3:uid="{AAA66632-D3A4-4F8A-9DD1-3E2ED1D63B53}" name="Column12010"/>
    <tableColumn id="12016" xr3:uid="{83C1EFFF-F735-4F3E-873C-7745CF40ADAB}" name="Column12011"/>
    <tableColumn id="12017" xr3:uid="{BC77453A-46D5-4131-9852-B1D6A313648F}" name="Column12012"/>
    <tableColumn id="12018" xr3:uid="{FC291C3D-3DF6-4A2D-A252-3A8039FE9C67}" name="Column12013"/>
    <tableColumn id="12019" xr3:uid="{B19AB932-3A63-4A84-9339-50F67A5A93FA}" name="Column12014"/>
    <tableColumn id="12020" xr3:uid="{5F443D1D-289A-49C9-9745-D9BD9FBDED68}" name="Column12015"/>
    <tableColumn id="12021" xr3:uid="{4542AFBB-16BD-4C06-82BB-67D81F965C50}" name="Column12016"/>
    <tableColumn id="12022" xr3:uid="{599A0868-FF99-4511-BA5B-ADB800729157}" name="Column12017"/>
    <tableColumn id="12023" xr3:uid="{633FEC81-DC6F-4110-9E01-4DED26B52037}" name="Column12018"/>
    <tableColumn id="12024" xr3:uid="{2D827E25-EF2C-45B8-B27E-7CCD61EAE418}" name="Column12019"/>
    <tableColumn id="12025" xr3:uid="{58B4FA5C-5002-4BBC-8C88-07DBB18663F8}" name="Column12020"/>
    <tableColumn id="12026" xr3:uid="{DB270186-116D-4C13-9E6D-750FDDE7F160}" name="Column12021"/>
    <tableColumn id="12027" xr3:uid="{BBB8B1C6-E407-4D42-ACBB-44383705502B}" name="Column12022"/>
    <tableColumn id="12028" xr3:uid="{3B5775C7-C10A-4C69-B1B7-27AB82E68A33}" name="Column12023"/>
    <tableColumn id="12029" xr3:uid="{AB612B33-7EA0-499B-9539-1524B95F2B07}" name="Column12024"/>
    <tableColumn id="12030" xr3:uid="{37DD7483-ADE5-4CF4-A258-8A4AD5773047}" name="Column12025"/>
    <tableColumn id="12031" xr3:uid="{DD2A922A-C758-4D81-AE30-3EEFC93B8ABF}" name="Column12026"/>
    <tableColumn id="12032" xr3:uid="{07FD4793-DCA2-4DA4-B047-CF0600EBF98E}" name="Column12027"/>
    <tableColumn id="12033" xr3:uid="{6E12E5C7-C7D9-49D2-83C3-5DF690B9D1ED}" name="Column12028"/>
    <tableColumn id="12034" xr3:uid="{3BBEAAFF-88FA-4F3B-808C-BDEE226D8896}" name="Column12029"/>
    <tableColumn id="12035" xr3:uid="{F9A437EC-8B7A-4D6C-B0DC-32C52EB8B0C4}" name="Column12030"/>
    <tableColumn id="12036" xr3:uid="{948E7D68-549C-416A-9640-0E357D5F472F}" name="Column12031"/>
    <tableColumn id="12037" xr3:uid="{22A827D0-97E9-4625-A174-2E4425C20EE2}" name="Column12032"/>
    <tableColumn id="12038" xr3:uid="{A07FC169-6074-4ABE-879C-BC02E4C2B3C0}" name="Column12033"/>
    <tableColumn id="12039" xr3:uid="{27872581-880C-4384-8154-0CC978B565FE}" name="Column12034"/>
    <tableColumn id="12040" xr3:uid="{BF1F4269-B44B-41B9-9E43-905590861C5D}" name="Column12035"/>
    <tableColumn id="12041" xr3:uid="{71DC6FB2-EBE1-4662-9254-3A10112F7F74}" name="Column12036"/>
    <tableColumn id="12042" xr3:uid="{7D4D6556-A251-4255-8F02-ADC1010B6A4E}" name="Column12037"/>
    <tableColumn id="12043" xr3:uid="{197B5763-A943-48DE-A712-F01A551B525C}" name="Column12038"/>
    <tableColumn id="12044" xr3:uid="{87EB9DC9-2DDB-46B6-96C2-1EFF88FBA9EE}" name="Column12039"/>
    <tableColumn id="12045" xr3:uid="{A86E54C3-4572-4E20-9F74-C0E1653982BB}" name="Column12040"/>
    <tableColumn id="12046" xr3:uid="{6011269A-9B17-4F62-886B-1EEC2C61BD21}" name="Column12041"/>
    <tableColumn id="12047" xr3:uid="{840B6A5D-F5E2-4757-A387-83B23AAC56CF}" name="Column12042"/>
    <tableColumn id="12048" xr3:uid="{E4BEE819-CEA6-4143-86AD-044ED18D1EDC}" name="Column12043"/>
    <tableColumn id="12049" xr3:uid="{D109325C-AC35-45EE-878C-3C6BEE98C69B}" name="Column12044"/>
    <tableColumn id="12050" xr3:uid="{CBB3559C-6B71-4715-ACEA-8480C10C8E49}" name="Column12045"/>
    <tableColumn id="12051" xr3:uid="{C836FD48-F085-4629-873A-CD7FC44F951D}" name="Column12046"/>
    <tableColumn id="12052" xr3:uid="{F8A7BBE4-8544-44B6-8F37-D063285178AB}" name="Column12047"/>
    <tableColumn id="12053" xr3:uid="{AF6707D1-9EDB-44F9-A60C-05D393499F09}" name="Column12048"/>
    <tableColumn id="12054" xr3:uid="{B5506178-D6DB-4A1F-9BAC-EDC1B87C050E}" name="Column12049"/>
    <tableColumn id="12055" xr3:uid="{23C0F6BD-BBDB-4D2B-8E55-D052F133F427}" name="Column12050"/>
    <tableColumn id="12056" xr3:uid="{77FE9AA4-8238-4F28-9203-B46FE6F0BAD2}" name="Column12051"/>
    <tableColumn id="12057" xr3:uid="{B1212584-A7A7-45EA-9E9A-598D6F26526E}" name="Column12052"/>
    <tableColumn id="12058" xr3:uid="{B84B1E85-DB85-4915-9561-6E9C6280551F}" name="Column12053"/>
    <tableColumn id="12059" xr3:uid="{9BE96D1C-4CFE-40B5-9961-E7B57A151FA2}" name="Column12054"/>
    <tableColumn id="12060" xr3:uid="{793A0AED-1E7B-4B01-82EC-E941FD5ACA34}" name="Column12055"/>
    <tableColumn id="12061" xr3:uid="{0AA5630A-8A16-4192-A375-89EF9B353B15}" name="Column12056"/>
    <tableColumn id="12062" xr3:uid="{C5C020EB-768D-4C87-88FC-D466CF5F4E61}" name="Column12057"/>
    <tableColumn id="12063" xr3:uid="{C17BBE54-C7E5-4BD7-B882-0CAC927D6350}" name="Column12058"/>
    <tableColumn id="12064" xr3:uid="{4E85B2D4-AF94-429D-A7A6-643DA048A7CB}" name="Column12059"/>
    <tableColumn id="12065" xr3:uid="{F20411E7-B719-4AFD-BB85-6AEE569E29C2}" name="Column12060"/>
    <tableColumn id="12066" xr3:uid="{D13DD4BE-F85E-4E29-8C86-E8FE397E8A73}" name="Column12061"/>
    <tableColumn id="12067" xr3:uid="{795234BC-EF9E-449A-8330-70FF0F3822F5}" name="Column12062"/>
    <tableColumn id="12068" xr3:uid="{4960458D-0905-4AB8-991D-441718F92B9A}" name="Column12063"/>
    <tableColumn id="12069" xr3:uid="{529C06AB-13AC-49A8-A75F-727ECFECBD5B}" name="Column12064"/>
    <tableColumn id="12070" xr3:uid="{60292885-0FB1-467D-A20C-3897D8D6AF57}" name="Column12065"/>
    <tableColumn id="12071" xr3:uid="{D40B0476-EE5A-4C8F-BE13-5082B45461E1}" name="Column12066"/>
    <tableColumn id="12072" xr3:uid="{9B73FBFD-ED37-410C-978A-F79ED4B14429}" name="Column12067"/>
    <tableColumn id="12073" xr3:uid="{100A1505-02F3-4663-9D52-950C81DBD25E}" name="Column12068"/>
    <tableColumn id="12074" xr3:uid="{D2E4C97D-7904-4DAC-B673-B36A0DDBD03C}" name="Column12069"/>
    <tableColumn id="12075" xr3:uid="{BBCA9F39-70BD-406D-9240-931E4EBF4929}" name="Column12070"/>
    <tableColumn id="12076" xr3:uid="{9690F84A-0F8E-486B-B29B-F74CA393A456}" name="Column12071"/>
    <tableColumn id="12077" xr3:uid="{EC0C9A30-907A-4071-B88B-FEF8C13EDCF6}" name="Column12072"/>
    <tableColumn id="12078" xr3:uid="{FB8F1F8F-903D-4994-9035-1C26FD6AA468}" name="Column12073"/>
    <tableColumn id="12079" xr3:uid="{5E3CC183-7638-47E2-B5BE-ABACEBF5D415}" name="Column12074"/>
    <tableColumn id="12080" xr3:uid="{52773D82-B1DB-498C-958E-7D185C04C3CD}" name="Column12075"/>
    <tableColumn id="12081" xr3:uid="{1E298C44-74CC-4164-928D-479B04A9D159}" name="Column12076"/>
    <tableColumn id="12082" xr3:uid="{3B40F495-6F74-4CB8-95BD-D4A8C698EDEC}" name="Column12077"/>
    <tableColumn id="12083" xr3:uid="{7B97F3E2-B0BC-4E65-BA11-8B5A20A20E09}" name="Column12078"/>
    <tableColumn id="12084" xr3:uid="{5A51E615-23CE-4DCA-B633-6141352F7EE6}" name="Column12079"/>
    <tableColumn id="12085" xr3:uid="{FE2FA840-111E-491C-8EAE-897F313FE3B8}" name="Column12080"/>
    <tableColumn id="12086" xr3:uid="{57CC85E9-1489-494F-AE11-E68EEEFAEB3E}" name="Column12081"/>
    <tableColumn id="12087" xr3:uid="{809C1607-515F-4027-91EB-5EC9AB1EE727}" name="Column12082"/>
    <tableColumn id="12088" xr3:uid="{46B84139-4F3C-4EDD-ACD4-97638E0D9912}" name="Column12083"/>
    <tableColumn id="12089" xr3:uid="{40FBA900-FBA0-4C28-8F0F-37E05162E604}" name="Column12084"/>
    <tableColumn id="12090" xr3:uid="{8952CDDB-D083-4DAA-81BF-BA9D363B8A84}" name="Column12085"/>
    <tableColumn id="12091" xr3:uid="{DB144EA5-5362-481E-A35B-352A3766698F}" name="Column12086"/>
    <tableColumn id="12092" xr3:uid="{9DF1DFA7-4D7E-4699-A887-38CEDC235D05}" name="Column12087"/>
    <tableColumn id="12093" xr3:uid="{AC40A210-E5A2-4A95-B665-FB54F76145D2}" name="Column12088"/>
    <tableColumn id="12094" xr3:uid="{AA94F25F-DD6E-457B-A01B-5E3EFB021391}" name="Column12089"/>
    <tableColumn id="12095" xr3:uid="{AEA60F75-DD40-43CD-BE29-19E60C5D605C}" name="Column12090"/>
    <tableColumn id="12096" xr3:uid="{52AAA446-A52D-4EE8-9EEE-1973560FF4A4}" name="Column12091"/>
    <tableColumn id="12097" xr3:uid="{6B8843C0-1922-4690-A4D7-B1C31E29645B}" name="Column12092"/>
    <tableColumn id="12098" xr3:uid="{5BC2643B-64CC-4AF5-A9A3-8D629E2C4291}" name="Column12093"/>
    <tableColumn id="12099" xr3:uid="{55A231F6-BD48-437D-84CD-443AC7CF601A}" name="Column12094"/>
    <tableColumn id="12100" xr3:uid="{0D12CFEF-5AB3-4A25-BBD7-FF3039AA602D}" name="Column12095"/>
    <tableColumn id="12101" xr3:uid="{BED6CE4F-19F2-422F-A174-DD19C21FEEA0}" name="Column12096"/>
    <tableColumn id="12102" xr3:uid="{0AAD5ACD-DD2B-41C0-89A6-CB881A0130C6}" name="Column12097"/>
    <tableColumn id="12103" xr3:uid="{62CAA79F-A862-4E3E-BA72-7C72D7FE1FA3}" name="Column12098"/>
    <tableColumn id="12104" xr3:uid="{983DDAB8-18F4-4B4B-BBF8-B3E13857CECE}" name="Column12099"/>
    <tableColumn id="12105" xr3:uid="{7FAF84DF-0144-4AC1-8A7F-1540073C4D89}" name="Column12100"/>
    <tableColumn id="12106" xr3:uid="{106E62AC-B14B-4671-9022-9123713804CA}" name="Column12101"/>
    <tableColumn id="12107" xr3:uid="{674025FE-A27A-4DC4-8364-6EC55AA0B57F}" name="Column12102"/>
    <tableColumn id="12108" xr3:uid="{C89F47E0-34FF-4865-9035-AF6DC4F5DAB3}" name="Column12103"/>
    <tableColumn id="12109" xr3:uid="{D570237B-D8A9-49A0-A201-C289A75C224B}" name="Column12104"/>
    <tableColumn id="12110" xr3:uid="{1F39FD7A-A939-481E-B7DD-6F9AA5F46DEB}" name="Column12105"/>
    <tableColumn id="12111" xr3:uid="{76C6846C-1B58-43EF-8C6E-E9FB2922BE17}" name="Column12106"/>
    <tableColumn id="12112" xr3:uid="{A05AA335-7071-49EB-AF43-1E8762E7C3FE}" name="Column12107"/>
    <tableColumn id="12113" xr3:uid="{DC85DEA4-3B65-46EF-8112-DDF0B030EDFC}" name="Column12108"/>
    <tableColumn id="12114" xr3:uid="{164A59EF-3CED-47E0-9007-6DACB333E774}" name="Column12109"/>
    <tableColumn id="12115" xr3:uid="{7C6542F2-0F16-4D5E-AFFB-16F74B9A65BC}" name="Column12110"/>
    <tableColumn id="12116" xr3:uid="{0093FB7F-EFED-4043-95CB-73C232AF85DF}" name="Column12111"/>
    <tableColumn id="12117" xr3:uid="{44FFE68B-471C-4F00-AADE-96AA81A38094}" name="Column12112"/>
    <tableColumn id="12118" xr3:uid="{3B2B4918-B7D2-4048-91B3-A7D17246E455}" name="Column12113"/>
    <tableColumn id="12119" xr3:uid="{E206DF89-EE0B-4197-BD17-349475F8460F}" name="Column12114"/>
    <tableColumn id="12120" xr3:uid="{7357E34D-03CD-4E65-BED9-49693C7A9418}" name="Column12115"/>
    <tableColumn id="12121" xr3:uid="{83BFD300-AD3D-438E-A940-97F78A9CCEAB}" name="Column12116"/>
    <tableColumn id="12122" xr3:uid="{56382475-38BC-4840-985A-39198BB01E6D}" name="Column12117"/>
    <tableColumn id="12123" xr3:uid="{1F7AD957-8678-4632-8DBF-FD81D629DDDE}" name="Column12118"/>
    <tableColumn id="12124" xr3:uid="{8EBB29B5-6CCB-4954-9DDB-0EA7FBC72C5C}" name="Column12119"/>
    <tableColumn id="12125" xr3:uid="{033A3177-0510-454B-956D-E22E222883D5}" name="Column12120"/>
    <tableColumn id="12126" xr3:uid="{2087F70B-0353-4A58-B416-37C0E4039F36}" name="Column12121"/>
    <tableColumn id="12127" xr3:uid="{2AF1ACA9-5510-4F06-AB42-2ADD34A2FC57}" name="Column12122"/>
    <tableColumn id="12128" xr3:uid="{00A358B6-91A5-4D63-8DA7-6F5876740D86}" name="Column12123"/>
    <tableColumn id="12129" xr3:uid="{278CE054-A54A-49F8-85F3-D9A78936BE0E}" name="Column12124"/>
    <tableColumn id="12130" xr3:uid="{1AAF20A2-9381-4052-880E-45E6A07FF12D}" name="Column12125"/>
    <tableColumn id="12131" xr3:uid="{F9A987F4-3171-4E21-8A8C-2FAFFB6FB5AB}" name="Column12126"/>
    <tableColumn id="12132" xr3:uid="{AA6AB040-0897-49B0-A13A-D830F9C6DEF4}" name="Column12127"/>
    <tableColumn id="12133" xr3:uid="{FA9FD67C-F2FB-41F1-BB1F-B51434103F40}" name="Column12128"/>
    <tableColumn id="12134" xr3:uid="{7CA10061-5464-4BED-8D6E-CFCDA8AE3896}" name="Column12129"/>
    <tableColumn id="12135" xr3:uid="{5F04289C-BC04-45E9-8F7A-13CE93FFEAC0}" name="Column12130"/>
    <tableColumn id="12136" xr3:uid="{90E64AD1-3EF6-464A-8F94-75EB1A6BD5ED}" name="Column12131"/>
    <tableColumn id="12137" xr3:uid="{C9B79790-E337-4263-9872-E3FE1CED7B43}" name="Column12132"/>
    <tableColumn id="12138" xr3:uid="{D0EFB3DC-3A06-48D2-BB6B-6E140FDADD76}" name="Column12133"/>
    <tableColumn id="12139" xr3:uid="{76B26A6D-C3DE-45FA-95A1-12B6F107E8FC}" name="Column12134"/>
    <tableColumn id="12140" xr3:uid="{180C725D-B6ED-45F2-A990-B1E41B39DBBB}" name="Column12135"/>
    <tableColumn id="12141" xr3:uid="{73ECDEB2-6E57-48B2-B9DF-7CE206701198}" name="Column12136"/>
    <tableColumn id="12142" xr3:uid="{D38BA017-9EDD-4E65-88C5-D8BF9E6C5765}" name="Column12137"/>
    <tableColumn id="12143" xr3:uid="{7361D186-B0D5-4BEB-BB62-9FE878A9C1C9}" name="Column12138"/>
    <tableColumn id="12144" xr3:uid="{7194B759-1893-4257-8A85-A1C8B900F575}" name="Column12139"/>
    <tableColumn id="12145" xr3:uid="{33FF7998-8936-455C-B55E-19F65F00A55A}" name="Column12140"/>
    <tableColumn id="12146" xr3:uid="{0F5096E5-0D92-44F5-8520-58AE9CA1B3F4}" name="Column12141"/>
    <tableColumn id="12147" xr3:uid="{B544A16A-FE37-4764-BB51-3DBCA7D50C1E}" name="Column12142"/>
    <tableColumn id="12148" xr3:uid="{EDB61CD8-0557-42D4-8714-80AF3D776B7E}" name="Column12143"/>
    <tableColumn id="12149" xr3:uid="{8B6D7B15-68CD-4C50-87DC-0211DF926D25}" name="Column12144"/>
    <tableColumn id="12150" xr3:uid="{2F7F19F5-C3B4-4D23-970C-7C714E22F047}" name="Column12145"/>
    <tableColumn id="12151" xr3:uid="{EBA5450A-92E3-494B-8312-77C445D1B0B1}" name="Column12146"/>
    <tableColumn id="12152" xr3:uid="{D71EC497-D427-4E87-BFA3-ACFE51E666B6}" name="Column12147"/>
    <tableColumn id="12153" xr3:uid="{E208F72C-14D3-4BE9-A759-49D588C76A4B}" name="Column12148"/>
    <tableColumn id="12154" xr3:uid="{0853675A-78E5-4FC1-AB1F-77CC5A20F4BD}" name="Column12149"/>
    <tableColumn id="12155" xr3:uid="{E02CF80A-FE94-45C3-BE9C-2B96923246A2}" name="Column12150"/>
    <tableColumn id="12156" xr3:uid="{393732B2-2BD0-47CF-9FE2-0F04F1324E22}" name="Column12151"/>
    <tableColumn id="12157" xr3:uid="{A0121BA8-5D57-4865-82EA-85C7EF68A306}" name="Column12152"/>
    <tableColumn id="12158" xr3:uid="{356FC3C6-1E68-47F2-8E17-7BED941FDA16}" name="Column12153"/>
    <tableColumn id="12159" xr3:uid="{E5DC5F46-116D-4863-8CC5-F2A5A043F794}" name="Column12154"/>
    <tableColumn id="12160" xr3:uid="{85ABD47C-E734-48C9-9E11-A069CA6FBBBB}" name="Column12155"/>
    <tableColumn id="12161" xr3:uid="{D0F62B76-6030-41D3-A68A-6ACCD5C00300}" name="Column12156"/>
    <tableColumn id="12162" xr3:uid="{069CC662-978B-4BE5-9C92-4F623B2DA432}" name="Column12157"/>
    <tableColumn id="12163" xr3:uid="{C6A3E2EB-E181-44D4-9FC0-1931D8564A0C}" name="Column12158"/>
    <tableColumn id="12164" xr3:uid="{FE430754-4B5E-4EA9-BC26-46CEB3A4B84B}" name="Column12159"/>
    <tableColumn id="12165" xr3:uid="{81ECEFC7-90A3-49C4-906E-946FF936D8E3}" name="Column12160"/>
    <tableColumn id="12166" xr3:uid="{D47DC5B3-629F-494E-B681-558603ABE8A6}" name="Column12161"/>
    <tableColumn id="12167" xr3:uid="{41CD626F-0DEE-4147-8CFD-586719339098}" name="Column12162"/>
    <tableColumn id="12168" xr3:uid="{9EF82B2B-4108-4C3C-9B17-FF7DB06A9DBD}" name="Column12163"/>
    <tableColumn id="12169" xr3:uid="{3EACC2A3-281F-4326-8AEF-4E2CAFCDD4D7}" name="Column12164"/>
    <tableColumn id="12170" xr3:uid="{0095A38E-850D-406D-B485-AB626FA33957}" name="Column12165"/>
    <tableColumn id="12171" xr3:uid="{5CAECF8B-4182-4B11-B98D-35E20F2A4722}" name="Column12166"/>
    <tableColumn id="12172" xr3:uid="{EBDE3AF6-C3C8-4492-B116-834A3CE14795}" name="Column12167"/>
    <tableColumn id="12173" xr3:uid="{138B1E6B-DB61-4B2B-8B88-C01FC358E875}" name="Column12168"/>
    <tableColumn id="12174" xr3:uid="{BCDAFA1D-8243-4CCE-B5E6-18FCCD30C5A5}" name="Column12169"/>
    <tableColumn id="12175" xr3:uid="{822E0B92-6C25-4558-9058-F51D2564EEF5}" name="Column12170"/>
    <tableColumn id="12176" xr3:uid="{35FF07F5-F4B4-45D9-A524-4F008C0F071D}" name="Column12171"/>
    <tableColumn id="12177" xr3:uid="{455BD453-CC7B-4179-830E-7C5B8E72E369}" name="Column12172"/>
    <tableColumn id="12178" xr3:uid="{3BFDB193-9284-49B8-96AD-467EA53C6702}" name="Column12173"/>
    <tableColumn id="12179" xr3:uid="{8C425350-B8C7-4EB7-96C4-088E797CD142}" name="Column12174"/>
    <tableColumn id="12180" xr3:uid="{8D9F5BDF-EEA0-4A37-B063-59BD1A17C3C2}" name="Column12175"/>
    <tableColumn id="12181" xr3:uid="{AE121567-4D94-4EC2-A40E-A04C4858D681}" name="Column12176"/>
    <tableColumn id="12182" xr3:uid="{F45DB92B-43E0-456C-96F6-7DCDAC3E02B6}" name="Column12177"/>
    <tableColumn id="12183" xr3:uid="{71AE0257-CA95-4C5A-898C-48667D414886}" name="Column12178"/>
    <tableColumn id="12184" xr3:uid="{EC43F321-634A-40EB-B5CA-44DC96DEAEAF}" name="Column12179"/>
    <tableColumn id="12185" xr3:uid="{94D51569-4923-47FC-AAF8-B5486860F0EF}" name="Column12180"/>
    <tableColumn id="12186" xr3:uid="{6A2E1E00-7BE2-40CE-8F0D-2591CB2F3EBF}" name="Column12181"/>
    <tableColumn id="12187" xr3:uid="{83D7286B-3287-4FAB-B9C1-958AE15DDCE6}" name="Column12182"/>
    <tableColumn id="12188" xr3:uid="{EA411F2E-5320-4486-8C77-58D754597559}" name="Column12183"/>
    <tableColumn id="12189" xr3:uid="{35C813CD-2DB2-4B57-9ED8-0B477874EE0A}" name="Column12184"/>
    <tableColumn id="12190" xr3:uid="{3BCD8E4C-2A98-452D-914F-EFAFFD68915F}" name="Column12185"/>
    <tableColumn id="12191" xr3:uid="{23EBBC0A-D63A-4200-90F9-3253749C8212}" name="Column12186"/>
    <tableColumn id="12192" xr3:uid="{7E51E6CF-4F08-483A-A6C6-C0FEAA9FD46C}" name="Column12187"/>
    <tableColumn id="12193" xr3:uid="{74E6D9C9-A8DF-49A1-95C7-AC8620E6D7E6}" name="Column12188"/>
    <tableColumn id="12194" xr3:uid="{D174FB59-F899-40A6-AC13-DEDBF82F2D5C}" name="Column12189"/>
    <tableColumn id="12195" xr3:uid="{67E9E8A6-7F60-4801-BC45-B6B2F73BA5E3}" name="Column12190"/>
    <tableColumn id="12196" xr3:uid="{AAE7D2FC-5B87-4D77-B898-CB10FBAF7755}" name="Column12191"/>
    <tableColumn id="12197" xr3:uid="{76EFB883-81B1-4360-BF7F-05853EBC96CF}" name="Column12192"/>
    <tableColumn id="12198" xr3:uid="{3D2000A6-5557-4A2F-A888-4F6FEE923C0A}" name="Column12193"/>
    <tableColumn id="12199" xr3:uid="{1BA8BD49-4B4B-405C-9F82-801400EC9327}" name="Column12194"/>
    <tableColumn id="12200" xr3:uid="{88326519-F144-4B84-8921-CF99F21D3DEC}" name="Column12195"/>
    <tableColumn id="12201" xr3:uid="{256D806B-96D8-407F-8E7D-29CB3A25842A}" name="Column12196"/>
    <tableColumn id="12202" xr3:uid="{CCDDD2AB-3421-454A-949B-5360FB4312C8}" name="Column12197"/>
    <tableColumn id="12203" xr3:uid="{FE37C62E-6CAA-415D-9383-12703D58A48F}" name="Column12198"/>
    <tableColumn id="12204" xr3:uid="{45349B44-13D1-4FD9-8FBE-DD024325C7EA}" name="Column12199"/>
    <tableColumn id="12205" xr3:uid="{55CCCED2-35FA-423E-AE90-8EF7CEBBB389}" name="Column12200"/>
    <tableColumn id="12206" xr3:uid="{6438B3BB-8357-4904-B6A3-29756DAA81A7}" name="Column12201"/>
    <tableColumn id="12207" xr3:uid="{1923602C-6222-493B-8259-105EA6B8AE1E}" name="Column12202"/>
    <tableColumn id="12208" xr3:uid="{1A4C4DB9-8A2C-4178-AE3D-8B00814140FC}" name="Column12203"/>
    <tableColumn id="12209" xr3:uid="{4D496C6C-890D-4C72-98D1-FD7FC3E43371}" name="Column12204"/>
    <tableColumn id="12210" xr3:uid="{E2318BFE-2987-4E39-9C2B-ABDCC1B0C8FF}" name="Column12205"/>
    <tableColumn id="12211" xr3:uid="{F3FC763C-9C70-4680-BDDC-DA24E77DE715}" name="Column12206"/>
    <tableColumn id="12212" xr3:uid="{E7C806C0-0963-4B97-A6C0-12A5A254BB6B}" name="Column12207"/>
    <tableColumn id="12213" xr3:uid="{E8AF921F-65B0-4D2A-A18F-46410A33A1E0}" name="Column12208"/>
    <tableColumn id="12214" xr3:uid="{261F38C2-60D4-432A-B5D1-16D3E56E6AD9}" name="Column12209"/>
    <tableColumn id="12215" xr3:uid="{99D121C3-0409-4955-860A-D116C7790C42}" name="Column12210"/>
    <tableColumn id="12216" xr3:uid="{7ADD3396-6333-4C1C-9882-D39A791CEB07}" name="Column12211"/>
    <tableColumn id="12217" xr3:uid="{CC68D16A-B1DD-47FB-9654-661236DD0CDD}" name="Column12212"/>
    <tableColumn id="12218" xr3:uid="{DA12D91B-F5FC-4638-AB2A-D16FE58771AF}" name="Column12213"/>
    <tableColumn id="12219" xr3:uid="{C5524251-47E1-45A7-A637-6E108413561F}" name="Column12214"/>
    <tableColumn id="12220" xr3:uid="{A8258BEC-F6E1-4E2C-A32D-C918629AA8F6}" name="Column12215"/>
    <tableColumn id="12221" xr3:uid="{CE6FD8C0-F61B-4056-9796-573861425F0D}" name="Column12216"/>
    <tableColumn id="12222" xr3:uid="{7E8386BA-01DA-4EAB-88E9-4794CC19B40F}" name="Column12217"/>
    <tableColumn id="12223" xr3:uid="{F26E8752-04DF-4896-9F00-2F2BE0D8451E}" name="Column12218"/>
    <tableColumn id="12224" xr3:uid="{BF3407E7-5325-48B3-ACE3-B6D839D1F635}" name="Column12219"/>
    <tableColumn id="12225" xr3:uid="{B78F7E22-5126-4DA7-B183-50183E24751B}" name="Column12220"/>
    <tableColumn id="12226" xr3:uid="{58C7D9FA-A856-4CDA-9397-E47FF539DF90}" name="Column12221"/>
    <tableColumn id="12227" xr3:uid="{F2DC88FC-0C41-4F20-B7CB-9CB989440945}" name="Column12222"/>
    <tableColumn id="12228" xr3:uid="{15C9D12E-BC39-4424-B492-9FF901D4419D}" name="Column12223"/>
    <tableColumn id="12229" xr3:uid="{F4DA0C65-7D87-462E-B52B-4C5A3B9639FB}" name="Column12224"/>
    <tableColumn id="12230" xr3:uid="{77797DA3-FBCE-45BE-A702-FF84A78D1A4C}" name="Column12225"/>
    <tableColumn id="12231" xr3:uid="{4B56FB7A-5B26-440E-94CE-AD454AB74121}" name="Column12226"/>
    <tableColumn id="12232" xr3:uid="{90D519D0-FD8A-4A7C-8BB5-CC0F74C89CBF}" name="Column12227"/>
    <tableColumn id="12233" xr3:uid="{69B40656-656D-4209-A012-1D683B08F633}" name="Column12228"/>
    <tableColumn id="12234" xr3:uid="{17919301-8FD7-42B3-BCCB-F655AF34A740}" name="Column12229"/>
    <tableColumn id="12235" xr3:uid="{2EC28E36-44ED-4287-A4B2-772FA7456BC0}" name="Column12230"/>
    <tableColumn id="12236" xr3:uid="{C32A02BC-6C39-42D3-A4C9-46DFF3E0EE04}" name="Column12231"/>
    <tableColumn id="12237" xr3:uid="{4D52A2BC-6468-4CA5-A5EE-CBA9BCE0CFD5}" name="Column12232"/>
    <tableColumn id="12238" xr3:uid="{13F88BAD-4596-4874-BB70-8EAD05331B0D}" name="Column12233"/>
    <tableColumn id="12239" xr3:uid="{9BCFD4E2-0218-4B31-B518-ADDD74AA58F6}" name="Column12234"/>
    <tableColumn id="12240" xr3:uid="{71AD95CD-4D0C-48AC-BE22-8965E70E0D13}" name="Column12235"/>
    <tableColumn id="12241" xr3:uid="{6B9E81ED-DA18-4547-BA7C-72A6C6A8D4E3}" name="Column12236"/>
    <tableColumn id="12242" xr3:uid="{0202A301-CB52-4FAC-97B8-37E22ED4D158}" name="Column12237"/>
    <tableColumn id="12243" xr3:uid="{0F2AA1F8-19A2-4BB9-880D-31B975D958BD}" name="Column12238"/>
    <tableColumn id="12244" xr3:uid="{B6A262B3-D5D6-43E6-A893-D768DC6F37C6}" name="Column12239"/>
    <tableColumn id="12245" xr3:uid="{CC42E3F3-6684-48E7-8EFA-7F58C9EB2673}" name="Column12240"/>
    <tableColumn id="12246" xr3:uid="{632EC934-D75D-43A6-BB9C-F28937B19CD5}" name="Column12241"/>
    <tableColumn id="12247" xr3:uid="{AE09D5A6-EA6B-44E5-8538-99F101CF1E32}" name="Column12242"/>
    <tableColumn id="12248" xr3:uid="{48248D34-B20F-4D4E-B432-D88AE27D4640}" name="Column12243"/>
    <tableColumn id="12249" xr3:uid="{C959CDE3-02C5-4582-9F6C-469B673435EA}" name="Column12244"/>
    <tableColumn id="12250" xr3:uid="{2A54DAB0-42FC-4174-A88D-F37B3D72D8A9}" name="Column12245"/>
    <tableColumn id="12251" xr3:uid="{FFABDA2B-96C5-4028-B507-F2509D87D8F5}" name="Column12246"/>
    <tableColumn id="12252" xr3:uid="{BB89C20E-50BD-4127-8B84-C7B1D0B55472}" name="Column12247"/>
    <tableColumn id="12253" xr3:uid="{CE5A6EF5-609B-488B-92D4-FFB495A3852F}" name="Column12248"/>
    <tableColumn id="12254" xr3:uid="{27DB3A02-2A02-4C8D-AAAB-1C70D673ED88}" name="Column12249"/>
    <tableColumn id="12255" xr3:uid="{082493E0-ED49-45A7-8EBF-E6946A42C9C6}" name="Column12250"/>
    <tableColumn id="12256" xr3:uid="{656F27A0-7E45-4B31-B22A-617A8617B3B5}" name="Column12251"/>
    <tableColumn id="12257" xr3:uid="{4E9F69C2-AE42-4B34-A4A5-1BF58C78D2FF}" name="Column12252"/>
    <tableColumn id="12258" xr3:uid="{3F47367E-7A50-42AC-8343-A39FA405D6B7}" name="Column12253"/>
    <tableColumn id="12259" xr3:uid="{52E7F027-3141-41F6-AA91-EBE4A554A3A8}" name="Column12254"/>
    <tableColumn id="12260" xr3:uid="{9142920F-0797-4992-894F-2D38F331A876}" name="Column12255"/>
    <tableColumn id="12261" xr3:uid="{407A0D4E-57DB-4190-BB5D-AA32E0BCBA14}" name="Column12256"/>
    <tableColumn id="12262" xr3:uid="{CD861F33-3803-47DF-A676-C7DF524B1DD4}" name="Column12257"/>
    <tableColumn id="12263" xr3:uid="{2B24EC7F-84A9-4EAB-B78E-166A7148FC7A}" name="Column12258"/>
    <tableColumn id="12264" xr3:uid="{1319A960-8C99-4BC0-9DBF-EA1FD074C436}" name="Column12259"/>
    <tableColumn id="12265" xr3:uid="{2A5AA138-EDC3-4379-ACF2-91071D23E2C3}" name="Column12260"/>
    <tableColumn id="12266" xr3:uid="{DF7B888E-B000-47E0-B5A2-21183C6BEBB7}" name="Column12261"/>
    <tableColumn id="12267" xr3:uid="{C0C50381-9958-42DF-BE12-A76E0911C752}" name="Column12262"/>
    <tableColumn id="12268" xr3:uid="{02292741-3E5A-4380-81EC-D1052D5DD401}" name="Column12263"/>
    <tableColumn id="12269" xr3:uid="{1BEAFC7A-2360-4F31-87D1-06DFBBA7DF35}" name="Column12264"/>
    <tableColumn id="12270" xr3:uid="{42D2CF56-1974-4B7C-80E8-D44401899882}" name="Column12265"/>
    <tableColumn id="12271" xr3:uid="{C2681D01-C837-43FA-846A-99EC6461C7A8}" name="Column12266"/>
    <tableColumn id="12272" xr3:uid="{CC67232C-11B1-4DDB-B7A3-9A3607B23D47}" name="Column12267"/>
    <tableColumn id="12273" xr3:uid="{8986A363-7360-4DCB-AF8F-14E91651EDB0}" name="Column12268"/>
    <tableColumn id="12274" xr3:uid="{FFB2314B-903F-49D1-89F9-8CDC65E3DDE9}" name="Column12269"/>
    <tableColumn id="12275" xr3:uid="{8120EDCF-B00B-47F6-B718-BD916BA2222A}" name="Column12270"/>
    <tableColumn id="12276" xr3:uid="{0B682989-0CF6-417F-9254-1C20671D3990}" name="Column12271"/>
    <tableColumn id="12277" xr3:uid="{A80F43FC-B46C-420A-9BD8-9E224DDE9024}" name="Column12272"/>
    <tableColumn id="12278" xr3:uid="{12AF10F1-6CBA-4EA3-BF38-02E25F65444A}" name="Column12273"/>
    <tableColumn id="12279" xr3:uid="{F5BA0E71-C538-4DDF-9FA3-E57C0EC0FD38}" name="Column12274"/>
    <tableColumn id="12280" xr3:uid="{9B8514A8-0FB9-4DB6-98AF-D4ACD3A80CD8}" name="Column12275"/>
    <tableColumn id="12281" xr3:uid="{67CB5F31-93D1-4E0C-9BF1-F61E64B15BAF}" name="Column12276"/>
    <tableColumn id="12282" xr3:uid="{9258CE59-CDB7-45A1-AF50-28F740D12AA6}" name="Column12277"/>
    <tableColumn id="12283" xr3:uid="{4595000B-A4C6-4866-A656-78546174892B}" name="Column12278"/>
    <tableColumn id="12284" xr3:uid="{3E9B346A-2DE0-4B22-BD3F-BC37582885BF}" name="Column12279"/>
    <tableColumn id="12285" xr3:uid="{3FAA808B-B540-45C1-90ED-6B02851F137D}" name="Column12280"/>
    <tableColumn id="12286" xr3:uid="{978CDC21-3418-47A6-9B82-902FC094F17F}" name="Column12281"/>
    <tableColumn id="12287" xr3:uid="{2660B975-09AD-4BF3-86B5-C5187677E839}" name="Column12282"/>
    <tableColumn id="12288" xr3:uid="{C08F1E94-DB08-4529-A67D-0CC1B36434F6}" name="Column12283"/>
    <tableColumn id="12289" xr3:uid="{716EC48F-8DE8-4738-B732-E8D5B0013A66}" name="Column12284"/>
    <tableColumn id="12290" xr3:uid="{0085C08B-FCD3-4806-A6D3-08A580F8CC97}" name="Column12285"/>
    <tableColumn id="12291" xr3:uid="{3F67D620-159F-4863-922D-6CA89F5CE3E5}" name="Column12286"/>
    <tableColumn id="12292" xr3:uid="{74BFBD7A-B833-4F1D-9CBB-3090736C5688}" name="Column12287"/>
    <tableColumn id="12293" xr3:uid="{FE3D6E1A-1E93-49D7-8CF5-CA801E6A9991}" name="Column12288"/>
    <tableColumn id="12294" xr3:uid="{7534383E-CA21-4731-B64C-5CE76F91B27F}" name="Column12289"/>
    <tableColumn id="12295" xr3:uid="{9FD9A68D-5734-475E-8B6F-E91D3F9E516B}" name="Column12290"/>
    <tableColumn id="12296" xr3:uid="{635CB512-6DCC-47BE-8848-53612853A425}" name="Column12291"/>
    <tableColumn id="12297" xr3:uid="{ACBB6122-DDDC-4CBC-8F1F-6D6C4826708E}" name="Column12292"/>
    <tableColumn id="12298" xr3:uid="{7DD62EDB-0E5D-4375-8A71-56200B5C7FA3}" name="Column12293"/>
    <tableColumn id="12299" xr3:uid="{22D4CE1F-35B6-44CD-ADD4-EE78EA4BB38F}" name="Column12294"/>
    <tableColumn id="12300" xr3:uid="{938E99B7-901A-4E87-8BD2-482217A12036}" name="Column12295"/>
    <tableColumn id="12301" xr3:uid="{C12CF4F2-E349-4F5A-8C32-6DA5765F6DCD}" name="Column12296"/>
    <tableColumn id="12302" xr3:uid="{BFE4EB1E-AB0F-477A-9538-8453941DB9F2}" name="Column12297"/>
    <tableColumn id="12303" xr3:uid="{0120CBDF-F0A8-4593-A2F3-F129A3BFD7ED}" name="Column12298"/>
    <tableColumn id="12304" xr3:uid="{AF92E3E5-1CE0-4A8A-B63F-EEE82C684C0D}" name="Column12299"/>
    <tableColumn id="12305" xr3:uid="{307BCC53-3227-4440-A430-8E69EB10791F}" name="Column12300"/>
    <tableColumn id="12306" xr3:uid="{02DF8A5B-DD5C-4097-991B-166284518CFA}" name="Column12301"/>
    <tableColumn id="12307" xr3:uid="{23AFD530-6C42-48F5-99B0-D18A947F8D9A}" name="Column12302"/>
    <tableColumn id="12308" xr3:uid="{C2819896-6BA7-44A2-8FF2-B3C5CC6DD3A3}" name="Column12303"/>
    <tableColumn id="12309" xr3:uid="{1827646F-E234-4BB5-9952-CFF4935DA755}" name="Column12304"/>
    <tableColumn id="12310" xr3:uid="{24860533-AAD7-45E1-93F0-ADF4794DF0C2}" name="Column12305"/>
    <tableColumn id="12311" xr3:uid="{6E4574B7-474E-41D1-B63E-419F10074EAE}" name="Column12306"/>
    <tableColumn id="12312" xr3:uid="{75FCE34A-4DA7-4DCD-A476-2A21B09F3833}" name="Column12307"/>
    <tableColumn id="12313" xr3:uid="{3CB9C970-123D-4DFC-ABC9-4C4E92DB0BC3}" name="Column12308"/>
    <tableColumn id="12314" xr3:uid="{3C4598B8-D160-47BD-A44E-36D0FA0DE26B}" name="Column12309"/>
    <tableColumn id="12315" xr3:uid="{2FFD3378-2F50-4346-94D8-289FE3CCA198}" name="Column12310"/>
    <tableColumn id="12316" xr3:uid="{59B2585A-8284-4237-8D2D-60CD67BBB4F5}" name="Column12311"/>
    <tableColumn id="12317" xr3:uid="{A6054699-CEE9-4CF1-BEE9-16E5709ADBB9}" name="Column12312"/>
    <tableColumn id="12318" xr3:uid="{A47F9831-6B4F-4C2E-8C1B-0B198D3F050A}" name="Column12313"/>
    <tableColumn id="12319" xr3:uid="{9016BADE-04CE-48AD-9DA8-C43BCC7784AD}" name="Column12314"/>
    <tableColumn id="12320" xr3:uid="{AAC8C4F3-FD8B-4CC3-8360-0B282B60E951}" name="Column12315"/>
    <tableColumn id="12321" xr3:uid="{FA3B3EB0-9165-4A00-A7C6-8893F45206DD}" name="Column12316"/>
    <tableColumn id="12322" xr3:uid="{5A0D9CAC-E8BA-4ADE-81E4-5A154B8AECB5}" name="Column12317"/>
    <tableColumn id="12323" xr3:uid="{E0402C33-9695-4B76-95C6-A7B4AC7782DC}" name="Column12318"/>
    <tableColumn id="12324" xr3:uid="{961D105C-7FFC-48E5-A896-3203FB028656}" name="Column12319"/>
    <tableColumn id="12325" xr3:uid="{67443190-C103-4266-8CDA-4EF16F6763A0}" name="Column12320"/>
    <tableColumn id="12326" xr3:uid="{B524C0D3-D3D4-4C6F-ACB7-AD9CB66859A3}" name="Column12321"/>
    <tableColumn id="12327" xr3:uid="{A2CB290E-1E6E-470D-9396-EC28CA6CD06E}" name="Column12322"/>
    <tableColumn id="12328" xr3:uid="{8C0B9F9D-4C74-4C4B-B2DC-3F5D5CBD3090}" name="Column12323"/>
    <tableColumn id="12329" xr3:uid="{1554E4D1-20B4-4FF3-9785-810114684887}" name="Column12324"/>
    <tableColumn id="12330" xr3:uid="{3881D7DD-A891-45BD-B55F-9AFEB66BAF1D}" name="Column12325"/>
    <tableColumn id="12331" xr3:uid="{8965FECC-7571-48E7-971B-170A46FE31C0}" name="Column12326"/>
    <tableColumn id="12332" xr3:uid="{B8844E26-A5D3-4CFF-A563-6C24CFDCBDE9}" name="Column12327"/>
    <tableColumn id="12333" xr3:uid="{C91D4687-EC5F-4BE2-AA95-3904C820AE36}" name="Column12328"/>
    <tableColumn id="12334" xr3:uid="{8C4C604F-16A8-43B0-8956-9F1D7C25395C}" name="Column12329"/>
    <tableColumn id="12335" xr3:uid="{E24B6BD7-259D-4510-8319-B997CBBC6363}" name="Column12330"/>
    <tableColumn id="12336" xr3:uid="{EB08DF0F-0D26-4673-921D-B2733E6E14BE}" name="Column12331"/>
    <tableColumn id="12337" xr3:uid="{476C611E-7245-418D-88B5-89F478812D03}" name="Column12332"/>
    <tableColumn id="12338" xr3:uid="{B528FF11-4DD9-4436-A847-A504D4738D2F}" name="Column12333"/>
    <tableColumn id="12339" xr3:uid="{2FA7ACE4-55F5-436D-B597-8F4CD38FF949}" name="Column12334"/>
    <tableColumn id="12340" xr3:uid="{F6248C40-64F7-4E12-A4A9-9B73472D9507}" name="Column12335"/>
    <tableColumn id="12341" xr3:uid="{794D78BD-8D13-40AD-A28C-8300B625DA84}" name="Column12336"/>
    <tableColumn id="12342" xr3:uid="{4364786C-DFD6-4899-B326-723C394BE498}" name="Column12337"/>
    <tableColumn id="12343" xr3:uid="{28456176-1CB6-4D6A-9E7E-1E599C68B50E}" name="Column12338"/>
    <tableColumn id="12344" xr3:uid="{34ABABC7-FDEA-4547-A3E5-86C74ADEA621}" name="Column12339"/>
    <tableColumn id="12345" xr3:uid="{89C44EB2-EF7F-4E25-AF39-836CD4205298}" name="Column12340"/>
    <tableColumn id="12346" xr3:uid="{26CC30F1-E280-44A7-8E11-A2840C4D4E69}" name="Column12341"/>
    <tableColumn id="12347" xr3:uid="{006400BB-C406-43A7-B3CB-D9E2386F81E9}" name="Column12342"/>
    <tableColumn id="12348" xr3:uid="{9ADD9532-4C1A-4614-A169-BABA25292F39}" name="Column12343"/>
    <tableColumn id="12349" xr3:uid="{4F99E499-4969-4D46-B1DC-7454DEF2FEE7}" name="Column12344"/>
    <tableColumn id="12350" xr3:uid="{EA70C19C-7925-482C-BAF6-6DFB9E04D0DD}" name="Column12345"/>
    <tableColumn id="12351" xr3:uid="{66628AD6-BB88-46FD-9795-71347A3D03D5}" name="Column12346"/>
    <tableColumn id="12352" xr3:uid="{583260AA-F452-48F4-85C9-7AB12873DDD5}" name="Column12347"/>
    <tableColumn id="12353" xr3:uid="{C242948A-7BD6-45DD-BD27-8857C820B20D}" name="Column12348"/>
    <tableColumn id="12354" xr3:uid="{FDFCFCDF-C94C-435C-A4DC-F0021116C6BC}" name="Column12349"/>
    <tableColumn id="12355" xr3:uid="{C08339C3-0E76-4633-A96C-0CEA562B4FD9}" name="Column12350"/>
    <tableColumn id="12356" xr3:uid="{CC78D3C3-E796-40B1-8038-7F0364575944}" name="Column12351"/>
    <tableColumn id="12357" xr3:uid="{84B2A194-C7CA-4BB7-8637-779F9DF97274}" name="Column12352"/>
    <tableColumn id="12358" xr3:uid="{907E3CC4-5633-4D44-8FA5-A8AAFF5C40E2}" name="Column12353"/>
    <tableColumn id="12359" xr3:uid="{C6022105-9F27-46E6-8DCC-385550CBC6BB}" name="Column12354"/>
    <tableColumn id="12360" xr3:uid="{43798927-8FE6-4724-844A-4B80C6403780}" name="Column12355"/>
    <tableColumn id="12361" xr3:uid="{4B3517A7-C826-4192-BD16-69B3147E5707}" name="Column12356"/>
    <tableColumn id="12362" xr3:uid="{1FE7E6E7-ED66-4E52-BAB4-0CBD83CDB2CC}" name="Column12357"/>
    <tableColumn id="12363" xr3:uid="{73AB84DD-5DAF-47A0-B0FF-33E9F9B95148}" name="Column12358"/>
    <tableColumn id="12364" xr3:uid="{8D2FACFB-C370-4784-ABE0-0022038C6D1B}" name="Column12359"/>
    <tableColumn id="12365" xr3:uid="{5AD5E3CB-ADA9-49CE-BB95-E0E2F8610031}" name="Column12360"/>
    <tableColumn id="12366" xr3:uid="{2B2BC589-BCC0-42AD-B82B-667CFC8165E2}" name="Column12361"/>
    <tableColumn id="12367" xr3:uid="{8C4E809A-F771-440C-871A-E405ED86F9E0}" name="Column12362"/>
    <tableColumn id="12368" xr3:uid="{80663D06-9FAD-482E-8B25-2EA834BC8E52}" name="Column12363"/>
    <tableColumn id="12369" xr3:uid="{36147ED0-C52E-493C-883C-92142ED59D51}" name="Column12364"/>
    <tableColumn id="12370" xr3:uid="{6D025BD6-4696-462F-92D7-CC457DB08354}" name="Column12365"/>
    <tableColumn id="12371" xr3:uid="{5957A187-7519-40E2-8517-ED7F319CDDA9}" name="Column12366"/>
    <tableColumn id="12372" xr3:uid="{69C50E56-EEDD-4CF3-8B76-699B80926286}" name="Column12367"/>
    <tableColumn id="12373" xr3:uid="{C7B31A00-CB1D-4C3D-A7D7-EA74475EE784}" name="Column12368"/>
    <tableColumn id="12374" xr3:uid="{2493006C-BD14-458C-A801-CED014E7ACF3}" name="Column12369"/>
    <tableColumn id="12375" xr3:uid="{E034EBA8-BD89-4C61-948F-91061598B181}" name="Column12370"/>
    <tableColumn id="12376" xr3:uid="{CA44F36F-B36D-455B-BC40-AB180593A0B1}" name="Column12371"/>
    <tableColumn id="12377" xr3:uid="{D8FED306-7D8E-4644-BF8C-A97D23BB3B17}" name="Column12372"/>
    <tableColumn id="12378" xr3:uid="{18D1B852-55F8-4E4D-82C1-A0628C676B16}" name="Column12373"/>
    <tableColumn id="12379" xr3:uid="{52DBC281-34DC-464C-B16D-FE56B0CF7AFB}" name="Column12374"/>
    <tableColumn id="12380" xr3:uid="{3ED69F1D-CF91-424D-9A8E-7626236206A4}" name="Column12375"/>
    <tableColumn id="12381" xr3:uid="{0718A229-568A-45FF-B1B3-57B8FAE06953}" name="Column12376"/>
    <tableColumn id="12382" xr3:uid="{7496F9DA-F5DE-404E-BF5E-0B9CFDB1D671}" name="Column12377"/>
    <tableColumn id="12383" xr3:uid="{FA5544EF-6131-422F-8701-F548E98D6C1B}" name="Column12378"/>
    <tableColumn id="12384" xr3:uid="{B1F20491-3F92-4B9C-9ADF-1C3739BEEBE0}" name="Column12379"/>
    <tableColumn id="12385" xr3:uid="{E6368E24-1D3B-4E03-8B58-F83C1EB39F4A}" name="Column12380"/>
    <tableColumn id="12386" xr3:uid="{45AEA5FC-F3CD-4C3C-9D93-ACCF1C8A77B2}" name="Column12381"/>
    <tableColumn id="12387" xr3:uid="{F07DB7E8-4AF8-42E2-BD4A-86903E3A2BD2}" name="Column12382"/>
    <tableColumn id="12388" xr3:uid="{BAB34CD7-02E6-49A8-AFFB-260DDEA9876B}" name="Column12383"/>
    <tableColumn id="12389" xr3:uid="{E8816636-0AAF-4F9B-AB99-718EEDF61EE5}" name="Column12384"/>
    <tableColumn id="12390" xr3:uid="{35C21BF7-E29D-4C8A-976E-90BAA313DF95}" name="Column12385"/>
    <tableColumn id="12391" xr3:uid="{C2B6A58A-A268-4C22-98E1-7212CB155849}" name="Column12386"/>
    <tableColumn id="12392" xr3:uid="{DA630868-FE4E-4167-8EFE-2DBF12CE3151}" name="Column12387"/>
    <tableColumn id="12393" xr3:uid="{F0D69B57-D1F0-4929-999E-CC70A8B8D0A7}" name="Column12388"/>
    <tableColumn id="12394" xr3:uid="{269D9DFD-2BBB-432B-B413-67A4D87DD3D4}" name="Column12389"/>
    <tableColumn id="12395" xr3:uid="{1277C00B-88AE-4978-9E38-A9AC99447A3F}" name="Column12390"/>
    <tableColumn id="12396" xr3:uid="{973D462A-2BEF-4F62-85D5-FAF62CCEFC5A}" name="Column12391"/>
    <tableColumn id="12397" xr3:uid="{57DD074B-28EC-4DDF-B6E2-591FE689DF4A}" name="Column12392"/>
    <tableColumn id="12398" xr3:uid="{30204E79-C3D5-4218-A722-0F9E520EBEA4}" name="Column12393"/>
    <tableColumn id="12399" xr3:uid="{3157AC58-9925-448B-9E77-468D07864EE2}" name="Column12394"/>
    <tableColumn id="12400" xr3:uid="{9BAD1A8B-EED6-41C7-9D2D-EA06F203DB3D}" name="Column12395"/>
    <tableColumn id="12401" xr3:uid="{C81523DE-35E6-49CF-A141-B3688E2EA8AD}" name="Column12396"/>
    <tableColumn id="12402" xr3:uid="{60F11062-2BB7-4926-9E67-017D2F0A5594}" name="Column12397"/>
    <tableColumn id="12403" xr3:uid="{F3F88837-CA67-4AD5-BF7E-39680EBA01E0}" name="Column12398"/>
    <tableColumn id="12404" xr3:uid="{B7CD807D-8197-4719-8A19-95F615F70555}" name="Column12399"/>
    <tableColumn id="12405" xr3:uid="{D1B8A0D1-C3E8-4BE6-8752-714F8822896B}" name="Column12400"/>
    <tableColumn id="12406" xr3:uid="{F0DFC44A-E720-4BF5-8D5F-2EE2AEEE36FE}" name="Column12401"/>
    <tableColumn id="12407" xr3:uid="{9ED2E08D-D719-47E7-BD24-E947795891F9}" name="Column12402"/>
    <tableColumn id="12408" xr3:uid="{E2B68AF0-A744-41CA-9B04-2627D13C86C4}" name="Column12403"/>
    <tableColumn id="12409" xr3:uid="{22826629-CFC8-4E48-98BB-63585DE64B8A}" name="Column12404"/>
    <tableColumn id="12410" xr3:uid="{46077B4F-226F-49D1-9C0B-E8C2C2AAA071}" name="Column12405"/>
    <tableColumn id="12411" xr3:uid="{85313B34-F552-4D5D-88CD-D6232486AF21}" name="Column12406"/>
    <tableColumn id="12412" xr3:uid="{062640B1-D9BD-4E33-AC70-FC4C73559659}" name="Column12407"/>
    <tableColumn id="12413" xr3:uid="{AA86B0A3-98B3-4A84-BF5C-B4A282AEC4AB}" name="Column12408"/>
    <tableColumn id="12414" xr3:uid="{275C9C2B-1078-4974-AF22-8DC21D7DDB94}" name="Column12409"/>
    <tableColumn id="12415" xr3:uid="{59890282-A445-4D09-8E06-84E3CBC41CA4}" name="Column12410"/>
    <tableColumn id="12416" xr3:uid="{4E5E2F32-1578-44EC-A509-EBEDC1F02AAA}" name="Column12411"/>
    <tableColumn id="12417" xr3:uid="{20144FD3-D81C-4CEC-889E-F6618E5EBB20}" name="Column12412"/>
    <tableColumn id="12418" xr3:uid="{5C547A01-9BB8-4D4F-8F35-C4BA1DC094E5}" name="Column12413"/>
    <tableColumn id="12419" xr3:uid="{50BD8B0D-C4DE-4231-909E-8A381F7729B5}" name="Column12414"/>
    <tableColumn id="12420" xr3:uid="{64537BBB-E393-4C2C-83FB-2A58BCBEE252}" name="Column12415"/>
    <tableColumn id="12421" xr3:uid="{D88632AB-051F-4D31-936D-C5A86CD21587}" name="Column12416"/>
    <tableColumn id="12422" xr3:uid="{9D4BC510-A622-4A5A-8A91-3F66F340357A}" name="Column12417"/>
    <tableColumn id="12423" xr3:uid="{3E7D6CA1-FE14-4C0A-87DB-E211D9503D3D}" name="Column12418"/>
    <tableColumn id="12424" xr3:uid="{4B7F9CEF-77DC-4626-AB2F-F4127072E01B}" name="Column12419"/>
    <tableColumn id="12425" xr3:uid="{94920426-AB07-48FF-8361-C27E161BBA96}" name="Column12420"/>
    <tableColumn id="12426" xr3:uid="{54BEAEAD-88F9-45B3-B943-6F14E7A48FE1}" name="Column12421"/>
    <tableColumn id="12427" xr3:uid="{D7AC0DB2-BF73-4D3B-BDA1-A47E47BA0DA1}" name="Column12422"/>
    <tableColumn id="12428" xr3:uid="{9E6A6E60-ECB5-4B4F-B27A-7EBEBEF4001F}" name="Column12423"/>
    <tableColumn id="12429" xr3:uid="{C5DB7E10-DA40-4B48-8380-04B460C77592}" name="Column12424"/>
    <tableColumn id="12430" xr3:uid="{A025A405-B81D-4876-8E8F-96C4EE36E01A}" name="Column12425"/>
    <tableColumn id="12431" xr3:uid="{AA6812C6-DEBE-4656-878F-62AB053C18B3}" name="Column12426"/>
    <tableColumn id="12432" xr3:uid="{BFA19FAB-DDE0-4582-9F0D-018E1B06BA4F}" name="Column12427"/>
    <tableColumn id="12433" xr3:uid="{73956B24-4327-4688-8FE8-DCA424D26ABF}" name="Column12428"/>
    <tableColumn id="12434" xr3:uid="{7808CA89-3D13-485C-8963-17FA31705AF3}" name="Column12429"/>
    <tableColumn id="12435" xr3:uid="{D8EC0092-3010-4AD0-92A5-7E1C7D46A7C9}" name="Column12430"/>
    <tableColumn id="12436" xr3:uid="{C7BAA81A-3A83-4FC8-81FB-127FBB50FFAF}" name="Column12431"/>
    <tableColumn id="12437" xr3:uid="{C87EB4FA-5F31-4657-9B9A-32DBB646EEA1}" name="Column12432"/>
    <tableColumn id="12438" xr3:uid="{32DE8C67-F5C7-4442-A962-1FF9569C1488}" name="Column12433"/>
    <tableColumn id="12439" xr3:uid="{ECC79BCC-31CA-42AA-A47B-DDB19FBDF341}" name="Column12434"/>
    <tableColumn id="12440" xr3:uid="{C9D30A53-2462-40E9-A30A-6D715D0F907C}" name="Column12435"/>
    <tableColumn id="12441" xr3:uid="{2C85424B-9D30-4EC0-8245-A68C1D853103}" name="Column12436"/>
    <tableColumn id="12442" xr3:uid="{3E57B5B6-949E-401F-A88A-B624D646DD0A}" name="Column12437"/>
    <tableColumn id="12443" xr3:uid="{77FAE6A8-B413-48C3-9C87-AFD3D4A037A5}" name="Column12438"/>
    <tableColumn id="12444" xr3:uid="{C3D4E43B-DD89-4409-8F5C-9CE596969467}" name="Column12439"/>
    <tableColumn id="12445" xr3:uid="{339B942C-BE34-49C0-B5C6-9E2EF63FCDFB}" name="Column12440"/>
    <tableColumn id="12446" xr3:uid="{4C5967FC-FF34-4B16-A31F-B52DBBBE4FFF}" name="Column12441"/>
    <tableColumn id="12447" xr3:uid="{30907D45-3931-4ABA-AF20-95243DDDE613}" name="Column12442"/>
    <tableColumn id="12448" xr3:uid="{ABC60510-87FD-4F2F-B31B-F40A28C9EFB1}" name="Column12443"/>
    <tableColumn id="12449" xr3:uid="{2BCAC2D3-36E8-42E3-BFE1-FEC894E4A740}" name="Column12444"/>
    <tableColumn id="12450" xr3:uid="{73A8BAD2-83A1-4F9C-8BF7-838247E6A5E4}" name="Column12445"/>
    <tableColumn id="12451" xr3:uid="{7B38F099-0C30-4CDC-815C-C22DEE51344D}" name="Column12446"/>
    <tableColumn id="12452" xr3:uid="{E3C0784D-7090-452D-9DE4-623091DFD1F2}" name="Column12447"/>
    <tableColumn id="12453" xr3:uid="{0AECCF9A-264F-4A4F-A415-B05FE68A6660}" name="Column12448"/>
    <tableColumn id="12454" xr3:uid="{72CD1886-193E-48FB-9314-36DCCB62BE52}" name="Column12449"/>
    <tableColumn id="12455" xr3:uid="{00791610-0306-4584-8947-3F856D72E80B}" name="Column12450"/>
    <tableColumn id="12456" xr3:uid="{DD0988B4-36E5-4FCF-9FD5-2050EC6D92DA}" name="Column12451"/>
    <tableColumn id="12457" xr3:uid="{6408CEAA-E80A-4BD9-BFC1-9087962353C9}" name="Column12452"/>
    <tableColumn id="12458" xr3:uid="{950EDC09-9E2D-4BF2-8B15-99AA29A997D5}" name="Column12453"/>
    <tableColumn id="12459" xr3:uid="{09EEDC0E-1B63-4D0B-A993-ABF183E3B508}" name="Column12454"/>
    <tableColumn id="12460" xr3:uid="{12A5CA9D-F347-40F6-9796-DFA91B1A1A03}" name="Column12455"/>
    <tableColumn id="12461" xr3:uid="{A8651240-F879-4498-A941-C0866D6B69F6}" name="Column12456"/>
    <tableColumn id="12462" xr3:uid="{78F3DD61-336F-4B7F-A991-C4B952A54B3B}" name="Column12457"/>
    <tableColumn id="12463" xr3:uid="{09192CCA-1700-4123-9082-F4605403F3A7}" name="Column12458"/>
    <tableColumn id="12464" xr3:uid="{A2E3E0A5-4A2E-4557-AED1-37FA73E2EA33}" name="Column12459"/>
    <tableColumn id="12465" xr3:uid="{235C307C-B29D-4AE7-B468-CDD9F1644CA9}" name="Column12460"/>
    <tableColumn id="12466" xr3:uid="{1642ED1E-A5CB-49E2-8232-E847D48C4880}" name="Column12461"/>
    <tableColumn id="12467" xr3:uid="{69A68EA8-26B8-4376-A877-B2BDE7574CCF}" name="Column12462"/>
    <tableColumn id="12468" xr3:uid="{DB020430-02D7-4E55-820D-46FC8FCEB832}" name="Column12463"/>
    <tableColumn id="12469" xr3:uid="{BF371C41-0DB3-45BF-A9A2-D4DF7D815A1B}" name="Column12464"/>
    <tableColumn id="12470" xr3:uid="{E7BDC5DA-7B9C-4207-B9DB-E39474AF2970}" name="Column12465"/>
    <tableColumn id="12471" xr3:uid="{7EA9DAC6-E8AC-4C52-95EB-96CB3488F613}" name="Column12466"/>
    <tableColumn id="12472" xr3:uid="{D8175BE9-988E-4763-BE22-AC3B4077F86A}" name="Column12467"/>
    <tableColumn id="12473" xr3:uid="{7EE80AEC-0F26-4563-887D-06BF6B44B151}" name="Column12468"/>
    <tableColumn id="12474" xr3:uid="{5BE689A9-8893-4FA1-8A51-BFA6421B76D0}" name="Column12469"/>
    <tableColumn id="12475" xr3:uid="{536FF0AE-6A66-4771-A1BE-AA201FA18D42}" name="Column12470"/>
    <tableColumn id="12476" xr3:uid="{2DA867EE-6420-4148-8555-06D49D3D4854}" name="Column12471"/>
    <tableColumn id="12477" xr3:uid="{74C19A0B-56A0-46D9-B31A-127AB1EA5A4E}" name="Column12472"/>
    <tableColumn id="12478" xr3:uid="{03F65F2D-479B-4E62-9712-A1F97FD8E603}" name="Column12473"/>
    <tableColumn id="12479" xr3:uid="{52C036DB-BF32-4F2C-81CE-D38B23CAABC9}" name="Column12474"/>
    <tableColumn id="12480" xr3:uid="{E99BAA53-A3DB-4B9E-B010-E4B5A9F9178B}" name="Column12475"/>
    <tableColumn id="12481" xr3:uid="{4C191EF2-0D20-4883-A954-B7C100DD339A}" name="Column12476"/>
    <tableColumn id="12482" xr3:uid="{5B2D4A73-0C6D-470E-A229-2A1C99053AC9}" name="Column12477"/>
    <tableColumn id="12483" xr3:uid="{13C9A523-4309-4BCD-89B0-518424DB9392}" name="Column12478"/>
    <tableColumn id="12484" xr3:uid="{52130952-F6AF-459B-8E36-7942C7D9EC84}" name="Column12479"/>
    <tableColumn id="12485" xr3:uid="{CB24FF78-E36E-4B5B-8CC1-0AD0631CAD23}" name="Column12480"/>
    <tableColumn id="12486" xr3:uid="{7124799C-9173-4E3C-B166-6E902E9E019B}" name="Column12481"/>
    <tableColumn id="12487" xr3:uid="{BD0C9553-7540-482A-B256-109C7FCD38AC}" name="Column12482"/>
    <tableColumn id="12488" xr3:uid="{74B8CFBE-6900-4510-BCB5-B4D0E93606A6}" name="Column12483"/>
    <tableColumn id="12489" xr3:uid="{ABB211B7-47CB-4D71-A497-BC4025CFC876}" name="Column12484"/>
    <tableColumn id="12490" xr3:uid="{3D686FC6-5867-478B-8509-FD47788299F4}" name="Column12485"/>
    <tableColumn id="12491" xr3:uid="{A3D61159-7A53-4636-8EE9-E00FF37EFC99}" name="Column12486"/>
    <tableColumn id="12492" xr3:uid="{E24A578D-CF0A-47DF-A4C3-66F952F622AD}" name="Column12487"/>
    <tableColumn id="12493" xr3:uid="{7D66B6E2-D70A-44A1-9C27-2D3FB7DD9DA9}" name="Column12488"/>
    <tableColumn id="12494" xr3:uid="{DCDA56A6-BA24-417A-9615-60E1355AFA99}" name="Column12489"/>
    <tableColumn id="12495" xr3:uid="{81A77DFC-110E-4B51-9E53-45FF8E8EC158}" name="Column12490"/>
    <tableColumn id="12496" xr3:uid="{0D820073-FA76-495F-8A27-5DA2A15BE700}" name="Column12491"/>
    <tableColumn id="12497" xr3:uid="{98E44923-17D0-477B-95D5-4A9ED67BCE47}" name="Column12492"/>
    <tableColumn id="12498" xr3:uid="{268A5DC5-2713-40BB-ABEE-9C76730F1C6D}" name="Column12493"/>
    <tableColumn id="12499" xr3:uid="{249B9118-58BE-45F8-8ADE-55AFAA4E7985}" name="Column12494"/>
    <tableColumn id="12500" xr3:uid="{FC101F0D-4FA7-4697-BECA-C34ADD3E671D}" name="Column12495"/>
    <tableColumn id="12501" xr3:uid="{727E284B-8B84-47FD-AD26-B6BAD28EC906}" name="Column12496"/>
    <tableColumn id="12502" xr3:uid="{8C2843EE-1183-44BD-AD2D-2CB0BEA78039}" name="Column12497"/>
    <tableColumn id="12503" xr3:uid="{38A9E5BB-1EB3-41F5-BC5D-D9141A8D2119}" name="Column12498"/>
    <tableColumn id="12504" xr3:uid="{40739934-E24F-4495-8F6C-1249A359E73F}" name="Column12499"/>
    <tableColumn id="12505" xr3:uid="{9270D9FF-B733-477F-8198-ADA2D04A54D7}" name="Column12500"/>
    <tableColumn id="12506" xr3:uid="{FE79C775-80BA-4E54-9197-0708B0598C74}" name="Column12501"/>
    <tableColumn id="12507" xr3:uid="{D1DB15A8-9D47-4459-B181-17384F1C7408}" name="Column12502"/>
    <tableColumn id="12508" xr3:uid="{AB0AAEB3-FFCD-4CAE-BE7A-C397C5964589}" name="Column12503"/>
    <tableColumn id="12509" xr3:uid="{C98E3117-C67A-4CF4-8A60-B2DA699FB8BD}" name="Column12504"/>
    <tableColumn id="12510" xr3:uid="{61CD588A-3BFF-4D01-840D-BF333746949A}" name="Column12505"/>
    <tableColumn id="12511" xr3:uid="{E0517E63-3218-44E2-8637-4534F225390D}" name="Column12506"/>
    <tableColumn id="12512" xr3:uid="{F9458905-1ED2-4185-9A05-AB38DFD28CBF}" name="Column12507"/>
    <tableColumn id="12513" xr3:uid="{2D17C7C5-391E-49B9-9FB0-FCB5EBD01429}" name="Column12508"/>
    <tableColumn id="12514" xr3:uid="{4276C570-B839-481D-9931-4978132D2C7C}" name="Column12509"/>
    <tableColumn id="12515" xr3:uid="{4B0EFA25-A5F2-4BEA-B7F8-0801E459DE47}" name="Column12510"/>
    <tableColumn id="12516" xr3:uid="{B7A8B149-9CEC-4D44-9367-9C177781D8C5}" name="Column12511"/>
    <tableColumn id="12517" xr3:uid="{3DED0336-D320-437D-B765-33C30AA20052}" name="Column12512"/>
    <tableColumn id="12518" xr3:uid="{EC94D921-CAE9-4169-9093-678A62F796E2}" name="Column12513"/>
    <tableColumn id="12519" xr3:uid="{11324711-3B2E-4ED8-8502-44CA0582133B}" name="Column12514"/>
    <tableColumn id="12520" xr3:uid="{A8432DE1-A255-4E44-9EC3-3430001ED922}" name="Column12515"/>
    <tableColumn id="12521" xr3:uid="{B37E7BB1-63AA-4959-8C6F-2789D92EB23B}" name="Column12516"/>
    <tableColumn id="12522" xr3:uid="{309DFB0E-B245-4768-A93A-43A47CEF1EDB}" name="Column12517"/>
    <tableColumn id="12523" xr3:uid="{2491D419-D755-49A4-A04B-91CED48FC772}" name="Column12518"/>
    <tableColumn id="12524" xr3:uid="{B3C7A54D-9291-4F93-97AD-6075DC335C9F}" name="Column12519"/>
    <tableColumn id="12525" xr3:uid="{E4ED0BD5-3E4F-4FF2-AA1A-549E908A2981}" name="Column12520"/>
    <tableColumn id="12526" xr3:uid="{B302DFA0-3286-4362-98B6-8D19907A9E59}" name="Column12521"/>
    <tableColumn id="12527" xr3:uid="{3DBC1854-9767-43A4-8404-9CA431D5ADAC}" name="Column12522"/>
    <tableColumn id="12528" xr3:uid="{9C3D771A-E84F-4815-93E5-4E2DEAA9F543}" name="Column12523"/>
    <tableColumn id="12529" xr3:uid="{B36EF38A-53CE-4DFB-9F3C-856DE33ACD70}" name="Column12524"/>
    <tableColumn id="12530" xr3:uid="{7969AF5C-6877-44BF-942F-7A013D12F741}" name="Column12525"/>
    <tableColumn id="12531" xr3:uid="{49B834DC-D02E-42CD-8917-06AB0546F05E}" name="Column12526"/>
    <tableColumn id="12532" xr3:uid="{1B8C37E7-E114-48C7-8BE4-D3A5A5901E48}" name="Column12527"/>
    <tableColumn id="12533" xr3:uid="{0821FAF1-2F42-403D-ABA7-8840922E2A4E}" name="Column12528"/>
    <tableColumn id="12534" xr3:uid="{D6174B31-DBCD-40D7-95D3-329717A3B9FF}" name="Column12529"/>
    <tableColumn id="12535" xr3:uid="{7D234CDE-75C8-4493-9192-61D2F33E925C}" name="Column12530"/>
    <tableColumn id="12536" xr3:uid="{362B537B-F949-4249-85C2-1A67179BA177}" name="Column12531"/>
    <tableColumn id="12537" xr3:uid="{FB55B8C7-137B-456E-953D-242ECC1A631B}" name="Column12532"/>
    <tableColumn id="12538" xr3:uid="{51362181-E3CF-4B38-A265-79996082A18D}" name="Column12533"/>
    <tableColumn id="12539" xr3:uid="{B94DB3F9-675B-46B2-B231-EE662B8C352D}" name="Column12534"/>
    <tableColumn id="12540" xr3:uid="{9B72BF36-2097-44CF-87D6-78369FB6BC75}" name="Column12535"/>
    <tableColumn id="12541" xr3:uid="{BB4CC735-F6C3-4466-8E05-CE5A2994D485}" name="Column12536"/>
    <tableColumn id="12542" xr3:uid="{570D48BC-2C38-4342-8CE8-43E732D0D3F3}" name="Column12537"/>
    <tableColumn id="12543" xr3:uid="{4EACDB6C-4060-4A82-95A2-A476F15D93B9}" name="Column12538"/>
    <tableColumn id="12544" xr3:uid="{6FFFBD7E-F58D-43FF-8759-7E800AD74629}" name="Column12539"/>
    <tableColumn id="12545" xr3:uid="{B4C06022-C6CF-41FD-9DC6-6FBCA4930D37}" name="Column12540"/>
    <tableColumn id="12546" xr3:uid="{4B57883D-3D4F-45EE-8453-E8CE961BD42B}" name="Column12541"/>
    <tableColumn id="12547" xr3:uid="{23AD4273-B4A7-46AE-A8B7-E250BE90870A}" name="Column12542"/>
    <tableColumn id="12548" xr3:uid="{A6A9D3B4-EFBB-4D4B-8E54-2C43697EE123}" name="Column12543"/>
    <tableColumn id="12549" xr3:uid="{379A2910-72A7-430A-A643-E5165887CC57}" name="Column12544"/>
    <tableColumn id="12550" xr3:uid="{153E40CB-5F0E-49FB-8369-1827D7E305A7}" name="Column12545"/>
    <tableColumn id="12551" xr3:uid="{16BBB46F-8023-4FAF-8ABD-71077475D183}" name="Column12546"/>
    <tableColumn id="12552" xr3:uid="{54AE9FC9-9F76-4AF7-8694-1469ECBCD71C}" name="Column12547"/>
    <tableColumn id="12553" xr3:uid="{E98E86F9-D86D-487A-9BDF-F894027599EB}" name="Column12548"/>
    <tableColumn id="12554" xr3:uid="{1DFB1BB9-8CFC-481C-A49D-65D3DD1EEAC2}" name="Column12549"/>
    <tableColumn id="12555" xr3:uid="{A443F845-EFDE-4112-BAD3-BB242A661526}" name="Column12550"/>
    <tableColumn id="12556" xr3:uid="{0F728F23-347A-4176-9B67-47178B249784}" name="Column12551"/>
    <tableColumn id="12557" xr3:uid="{A2801267-84F3-4B65-94CE-834EF52E59D3}" name="Column12552"/>
    <tableColumn id="12558" xr3:uid="{8E961469-80E2-4C1D-B4B8-E5D1C93C27F9}" name="Column12553"/>
    <tableColumn id="12559" xr3:uid="{A4B56064-1473-46F9-9F43-01F0C58362E2}" name="Column12554"/>
    <tableColumn id="12560" xr3:uid="{69B954EA-F8C9-442F-AD3E-9C48172A6725}" name="Column12555"/>
    <tableColumn id="12561" xr3:uid="{D162DAFD-5DED-4C5F-8638-1887B717F392}" name="Column12556"/>
    <tableColumn id="12562" xr3:uid="{38F7DC00-1954-43D7-9F92-0AFFDCFB39B3}" name="Column12557"/>
    <tableColumn id="12563" xr3:uid="{A44BE8D1-0088-4A01-81EF-2B3C82B91D01}" name="Column12558"/>
    <tableColumn id="12564" xr3:uid="{4C6070F1-2AB4-42F9-A85B-00F024D92E62}" name="Column12559"/>
    <tableColumn id="12565" xr3:uid="{CEDF74C6-5041-4464-9DF2-A37BDBD03DBE}" name="Column12560"/>
    <tableColumn id="12566" xr3:uid="{942323C7-1CD4-4FA9-AA8C-9058240B56AF}" name="Column12561"/>
    <tableColumn id="12567" xr3:uid="{A7D467AE-E34D-4B5F-B36F-9419B7F2AF81}" name="Column12562"/>
    <tableColumn id="12568" xr3:uid="{CA3B0B38-D210-41C9-B93B-EBC4290851B5}" name="Column12563"/>
    <tableColumn id="12569" xr3:uid="{750EC23B-F6FA-4EE9-BA34-E2F0D973BBF4}" name="Column12564"/>
    <tableColumn id="12570" xr3:uid="{392DA097-0977-4C7C-BFD3-3DDB6E7F93A1}" name="Column12565"/>
    <tableColumn id="12571" xr3:uid="{11B97352-FFBA-4E99-BF48-1C44FED8A8BC}" name="Column12566"/>
    <tableColumn id="12572" xr3:uid="{274A5541-CFD6-42B2-B83B-BE28F4717CDB}" name="Column12567"/>
    <tableColumn id="12573" xr3:uid="{A32C217B-BC66-42A8-BF84-04D5BEFC455F}" name="Column12568"/>
    <tableColumn id="12574" xr3:uid="{4FFD8B79-C55C-4C4D-9138-DAA4FA06F3B1}" name="Column12569"/>
    <tableColumn id="12575" xr3:uid="{C79044B8-2A7E-4199-B551-551C7E280DBA}" name="Column12570"/>
    <tableColumn id="12576" xr3:uid="{8CD87CFF-B461-4D46-AFDC-298E53E78151}" name="Column12571"/>
    <tableColumn id="12577" xr3:uid="{F3CD6F81-F9FC-45F7-AACA-CE4C5C78E19A}" name="Column12572"/>
    <tableColumn id="12578" xr3:uid="{4C4ECC78-A672-4FE2-85D6-E94F8F475FAD}" name="Column12573"/>
    <tableColumn id="12579" xr3:uid="{FA0D277E-5171-4F34-930A-1A5712871CB9}" name="Column12574"/>
    <tableColumn id="12580" xr3:uid="{6B4B86E8-F6B3-484F-B7A9-34A896FAF717}" name="Column12575"/>
    <tableColumn id="12581" xr3:uid="{5F29168B-A8ED-43E3-801F-30F6795470CE}" name="Column12576"/>
    <tableColumn id="12582" xr3:uid="{A935720D-E7C1-4EF8-A8BA-ADAB1BED9CE1}" name="Column12577"/>
    <tableColumn id="12583" xr3:uid="{6468BDAB-094B-48B5-8D0C-817A0A26B36A}" name="Column12578"/>
    <tableColumn id="12584" xr3:uid="{BF8AA950-F9C0-4089-85F4-FAC2F3CB4D36}" name="Column12579"/>
    <tableColumn id="12585" xr3:uid="{C43A7B0A-E59D-458B-932C-2AC40B837706}" name="Column12580"/>
    <tableColumn id="12586" xr3:uid="{CC65A7A2-4B1C-4EE3-ADBF-50D3A789293D}" name="Column12581"/>
    <tableColumn id="12587" xr3:uid="{EB8B1C7A-A09F-4240-9FE3-F85D45785349}" name="Column12582"/>
    <tableColumn id="12588" xr3:uid="{8BCA2F80-844E-46C4-883E-C5E9C1973870}" name="Column12583"/>
    <tableColumn id="12589" xr3:uid="{FEC93F53-CCE9-4E8F-9B26-2523724E06CD}" name="Column12584"/>
    <tableColumn id="12590" xr3:uid="{CCE3D297-1308-417F-9D96-5F5BA3A75581}" name="Column12585"/>
    <tableColumn id="12591" xr3:uid="{FECDC8E8-2306-4C09-BBFE-38D4451479E0}" name="Column12586"/>
    <tableColumn id="12592" xr3:uid="{9171B421-8F0C-47F4-A1E5-C6A055A7C957}" name="Column12587"/>
    <tableColumn id="12593" xr3:uid="{D3231740-5C26-4253-88B1-A3493FADA279}" name="Column12588"/>
    <tableColumn id="12594" xr3:uid="{D4BA7DB6-D50C-45BB-B562-BC1424E9FB81}" name="Column12589"/>
    <tableColumn id="12595" xr3:uid="{26BAD0F2-CCE3-46BF-90F8-BC03CC92E3F8}" name="Column12590"/>
    <tableColumn id="12596" xr3:uid="{DBF84D06-6C4E-47CC-8C0F-6CA7C450BA07}" name="Column12591"/>
    <tableColumn id="12597" xr3:uid="{85886EDE-231B-4410-9AF4-021B97D43212}" name="Column12592"/>
    <tableColumn id="12598" xr3:uid="{AC4931D0-B3F2-4BBE-BC32-E3BB645CC36D}" name="Column12593"/>
    <tableColumn id="12599" xr3:uid="{FD17F487-3F44-46AF-A5F5-A665479DFDBB}" name="Column12594"/>
    <tableColumn id="12600" xr3:uid="{327E740F-E3CF-4731-B1FD-8E51A3CBF37A}" name="Column12595"/>
    <tableColumn id="12601" xr3:uid="{22950F97-C502-4452-BD77-EC2F4704DC04}" name="Column12596"/>
    <tableColumn id="12602" xr3:uid="{69526953-B240-4AE8-BF5B-DAAF9474FCC1}" name="Column12597"/>
    <tableColumn id="12603" xr3:uid="{46F5F34A-A405-43C0-AD24-DD7DB23DC8C0}" name="Column12598"/>
    <tableColumn id="12604" xr3:uid="{A9A808A9-963F-4A5E-8E0B-9BDFF434F7F8}" name="Column12599"/>
    <tableColumn id="12605" xr3:uid="{16E775E9-28F1-4545-8A11-3D9E29D2AB52}" name="Column12600"/>
    <tableColumn id="12606" xr3:uid="{2F7F0AE5-B54C-4057-BE28-402575E2AA70}" name="Column12601"/>
    <tableColumn id="12607" xr3:uid="{12A8C2A3-2D65-460D-A9F5-F99A2D3E2F14}" name="Column12602"/>
    <tableColumn id="12608" xr3:uid="{1A06C9AA-C98B-40CB-990E-4D902E630E4F}" name="Column12603"/>
    <tableColumn id="12609" xr3:uid="{3077CC59-035B-4B82-B201-9DB6936CDC2E}" name="Column12604"/>
    <tableColumn id="12610" xr3:uid="{1B7E65B9-DBDD-4A9A-90B0-7FFD214B99D9}" name="Column12605"/>
    <tableColumn id="12611" xr3:uid="{FD7D0D8F-14D1-473B-A117-38DD6E383003}" name="Column12606"/>
    <tableColumn id="12612" xr3:uid="{7B133B7E-FDEA-4435-9741-50818E2834AE}" name="Column12607"/>
    <tableColumn id="12613" xr3:uid="{797F1EFF-03E8-41EE-A3BD-F0A081FACB4D}" name="Column12608"/>
    <tableColumn id="12614" xr3:uid="{39467AFA-9DE6-44CB-80F5-2CA49146E3CB}" name="Column12609"/>
    <tableColumn id="12615" xr3:uid="{E1B3E6E3-70FC-42A5-8D7A-5F5E8618555F}" name="Column12610"/>
    <tableColumn id="12616" xr3:uid="{50ABCC05-D532-4AC2-A354-43BEC7602AFE}" name="Column12611"/>
    <tableColumn id="12617" xr3:uid="{EBF1BF73-2388-4185-B05C-3C013C04E923}" name="Column12612"/>
    <tableColumn id="12618" xr3:uid="{A8CBADB8-9BD0-4B1D-B802-5FB83BB7C2FD}" name="Column12613"/>
    <tableColumn id="12619" xr3:uid="{6234CEE8-E83C-449F-9CFA-3403231A1D5E}" name="Column12614"/>
    <tableColumn id="12620" xr3:uid="{60CDF3BF-8267-4E8E-8F0A-F7D17B68B94B}" name="Column12615"/>
    <tableColumn id="12621" xr3:uid="{FB187DE7-446C-455A-B297-51C288A5086C}" name="Column12616"/>
    <tableColumn id="12622" xr3:uid="{A936C011-406C-4D55-9213-BCBC64D4FD12}" name="Column12617"/>
    <tableColumn id="12623" xr3:uid="{B7E75D1F-652A-4768-BAA9-0B014C5EB854}" name="Column12618"/>
    <tableColumn id="12624" xr3:uid="{D752561B-CF03-4F0B-8C69-EB08EB3722FF}" name="Column12619"/>
    <tableColumn id="12625" xr3:uid="{899B8318-F958-40E9-9891-2DAD216AD003}" name="Column12620"/>
    <tableColumn id="12626" xr3:uid="{09ADBC13-8F8C-468A-922A-612726BF25B0}" name="Column12621"/>
    <tableColumn id="12627" xr3:uid="{44BD9E93-7A31-4C5E-B67E-B41539D3BE9C}" name="Column12622"/>
    <tableColumn id="12628" xr3:uid="{66C62E65-B77C-490D-8350-DCA6B45E7B37}" name="Column12623"/>
    <tableColumn id="12629" xr3:uid="{73093F2C-5541-4E2E-886B-B613A46737B5}" name="Column12624"/>
    <tableColumn id="12630" xr3:uid="{E7D15E53-AAD3-4CAB-B7D4-193A788D3A27}" name="Column12625"/>
    <tableColumn id="12631" xr3:uid="{2402F12E-F572-4729-B8C5-8263453E72B2}" name="Column12626"/>
    <tableColumn id="12632" xr3:uid="{14135BCE-D09B-4D38-AD60-0323C3E21C56}" name="Column12627"/>
    <tableColumn id="12633" xr3:uid="{ED8EE71D-3A48-4BA2-9FB8-0524D9C6BA84}" name="Column12628"/>
    <tableColumn id="12634" xr3:uid="{C9BC144D-04B1-458B-B2BA-59A966C651AE}" name="Column12629"/>
    <tableColumn id="12635" xr3:uid="{B959D909-AA74-480E-9290-E55FAA0252D1}" name="Column12630"/>
    <tableColumn id="12636" xr3:uid="{A7B563D5-2C16-4670-888D-36781CA434DA}" name="Column12631"/>
    <tableColumn id="12637" xr3:uid="{74FFD318-5EB5-4990-B769-9DC882E40C86}" name="Column12632"/>
    <tableColumn id="12638" xr3:uid="{44265052-81B4-4DA5-B4A9-6685970DD77F}" name="Column12633"/>
    <tableColumn id="12639" xr3:uid="{40625A00-FA77-4639-9DF3-7E47E55E9DB1}" name="Column12634"/>
    <tableColumn id="12640" xr3:uid="{F03F511B-3CFB-4E4C-A5FF-EB763F6AA644}" name="Column12635"/>
    <tableColumn id="12641" xr3:uid="{BD4E9C50-9490-4336-A9AB-2429C4C59DE9}" name="Column12636"/>
    <tableColumn id="12642" xr3:uid="{310A86C6-2CBC-439A-9B55-69F013E0C536}" name="Column12637"/>
    <tableColumn id="12643" xr3:uid="{F40C0E7B-33DF-4ED0-9A05-D82AB8C5A842}" name="Column12638"/>
    <tableColumn id="12644" xr3:uid="{76FB358E-1809-471F-A177-86A59A0A812B}" name="Column12639"/>
    <tableColumn id="12645" xr3:uid="{B1D27352-3F3E-45F6-A13F-F204EF6E61B0}" name="Column12640"/>
    <tableColumn id="12646" xr3:uid="{B1F391EF-CC54-4053-A843-C759E68C2FA9}" name="Column12641"/>
    <tableColumn id="12647" xr3:uid="{FB7E0B9B-B23E-4FDB-8386-EDD836C568B2}" name="Column12642"/>
    <tableColumn id="12648" xr3:uid="{985B4211-F4EC-4537-8843-A2BF1B4337B7}" name="Column12643"/>
    <tableColumn id="12649" xr3:uid="{E739E358-381F-44F1-A04E-9F4CBFCF1A8B}" name="Column12644"/>
    <tableColumn id="12650" xr3:uid="{D280307A-41DF-4E8E-B6F3-1EA794F9FCA2}" name="Column12645"/>
    <tableColumn id="12651" xr3:uid="{E43D1991-B1D4-4685-BCBD-1D3A472EC88A}" name="Column12646"/>
    <tableColumn id="12652" xr3:uid="{445551B6-8E50-475B-9105-44B8B301B330}" name="Column12647"/>
    <tableColumn id="12653" xr3:uid="{E4B7AB2D-2DCD-4D90-9752-06E8C670B054}" name="Column12648"/>
    <tableColumn id="12654" xr3:uid="{FA23EFE4-463B-4217-B5B6-B646D1A821B3}" name="Column12649"/>
    <tableColumn id="12655" xr3:uid="{5ADAEE97-0315-48AD-A4F5-097E02BE08F0}" name="Column12650"/>
    <tableColumn id="12656" xr3:uid="{72798160-AD37-4999-9ABF-99443074D468}" name="Column12651"/>
    <tableColumn id="12657" xr3:uid="{0493E3DD-4EE8-4F93-925D-5DA31F48B6AB}" name="Column12652"/>
    <tableColumn id="12658" xr3:uid="{2D6FE9C0-F38D-43A4-B09E-0EFB4559066D}" name="Column12653"/>
    <tableColumn id="12659" xr3:uid="{A1A01F04-3362-49B8-93A0-2CB458FDB5E0}" name="Column12654"/>
    <tableColumn id="12660" xr3:uid="{107419A7-EE35-4B34-BAB9-A8D44AEB93FD}" name="Column12655"/>
    <tableColumn id="12661" xr3:uid="{4269CA4C-939D-4D6D-B876-A58CC03E8676}" name="Column12656"/>
    <tableColumn id="12662" xr3:uid="{85156C50-6C01-4CD9-A112-A04E3621BEF2}" name="Column12657"/>
    <tableColumn id="12663" xr3:uid="{92F4DFC9-356A-413E-B739-C654E32556E4}" name="Column12658"/>
    <tableColumn id="12664" xr3:uid="{39A798D1-86FA-40EA-8618-90E1DBFDF548}" name="Column12659"/>
    <tableColumn id="12665" xr3:uid="{D67536C5-829B-4222-A2AB-EDFF08C89FAE}" name="Column12660"/>
    <tableColumn id="12666" xr3:uid="{EA35194C-31D9-47B9-B684-7FB9614ED375}" name="Column12661"/>
    <tableColumn id="12667" xr3:uid="{A8EBC2A6-4736-4A7E-B322-BC260E6F2010}" name="Column12662"/>
    <tableColumn id="12668" xr3:uid="{1912459C-3EB6-4F64-9231-94AFC0C7FC77}" name="Column12663"/>
    <tableColumn id="12669" xr3:uid="{CEC95F40-BEAA-4A75-A497-505D489C4834}" name="Column12664"/>
    <tableColumn id="12670" xr3:uid="{A6CDD251-2884-4150-A7D0-FDD2B05A7C67}" name="Column12665"/>
    <tableColumn id="12671" xr3:uid="{1F4C1F49-F312-428D-82F6-DCB265452EE4}" name="Column12666"/>
    <tableColumn id="12672" xr3:uid="{F8399610-B26B-4D53-9096-6BF44D54A45A}" name="Column12667"/>
    <tableColumn id="12673" xr3:uid="{5E746CF7-543A-4890-ADEA-03489A01D6C8}" name="Column12668"/>
    <tableColumn id="12674" xr3:uid="{21055E4B-F94E-4FA3-BBE9-C35381CE409E}" name="Column12669"/>
    <tableColumn id="12675" xr3:uid="{9F6F5445-2E7F-4A79-9702-1135DC4DEBAB}" name="Column12670"/>
    <tableColumn id="12676" xr3:uid="{C6AE40C4-1387-4B6B-A233-FD6DEC8D021D}" name="Column12671"/>
    <tableColumn id="12677" xr3:uid="{753FF614-038D-4641-B6D8-7FBC509E9878}" name="Column12672"/>
    <tableColumn id="12678" xr3:uid="{18DBC221-E7C5-48D3-A3C8-98D8385CDB99}" name="Column12673"/>
    <tableColumn id="12679" xr3:uid="{CE6C9691-3923-4191-8541-5C878CFD411E}" name="Column12674"/>
    <tableColumn id="12680" xr3:uid="{8273258F-66D0-4A18-8D83-D1A7E8E6439B}" name="Column12675"/>
    <tableColumn id="12681" xr3:uid="{D39B8ED2-8EFD-47B1-B05F-02637F0060FD}" name="Column12676"/>
    <tableColumn id="12682" xr3:uid="{DCB4DE55-346F-4963-8CA2-20F33DA96436}" name="Column12677"/>
    <tableColumn id="12683" xr3:uid="{BEFA388A-F3B3-4D1C-8693-A2C50845CB97}" name="Column12678"/>
    <tableColumn id="12684" xr3:uid="{4E7530C6-7852-4EFB-BD45-E4415C64F647}" name="Column12679"/>
    <tableColumn id="12685" xr3:uid="{4E64FF0A-C0AD-4941-BF76-75EBFF203883}" name="Column12680"/>
    <tableColumn id="12686" xr3:uid="{53AD7B71-3E17-4698-9951-0EC649C29EDC}" name="Column12681"/>
    <tableColumn id="12687" xr3:uid="{8EA46A02-C8FA-46AA-A97E-FB9F4403202D}" name="Column12682"/>
    <tableColumn id="12688" xr3:uid="{754249D3-1C84-4F5E-8AB2-B26AA28A4103}" name="Column12683"/>
    <tableColumn id="12689" xr3:uid="{88D89A6E-5FCE-49D6-BD36-7E22DD1B5278}" name="Column12684"/>
    <tableColumn id="12690" xr3:uid="{96B2F28B-C4DD-4061-A5F5-552DF87425EE}" name="Column12685"/>
    <tableColumn id="12691" xr3:uid="{98AF8B1D-C7EC-45A9-BC75-6ABE62ACE574}" name="Column12686"/>
    <tableColumn id="12692" xr3:uid="{FD552A06-A5B6-4CC9-A10D-CD21147821F6}" name="Column12687"/>
    <tableColumn id="12693" xr3:uid="{65A599EA-5FA1-436B-A559-1EC5863D7AB2}" name="Column12688"/>
    <tableColumn id="12694" xr3:uid="{4FCD0A88-152D-45F5-98D3-BF1C72105B96}" name="Column12689"/>
    <tableColumn id="12695" xr3:uid="{94E6F04C-B643-423F-879F-EAA78D55DE77}" name="Column12690"/>
    <tableColumn id="12696" xr3:uid="{5C3F50BA-FA7E-4C64-9583-A5118FA1E3DC}" name="Column12691"/>
    <tableColumn id="12697" xr3:uid="{ED495E82-3842-457F-A46F-F932010CBCE5}" name="Column12692"/>
    <tableColumn id="12698" xr3:uid="{16075BDB-5A9B-4993-B959-7B59BB82DC09}" name="Column12693"/>
    <tableColumn id="12699" xr3:uid="{D5EE1729-4798-4AFA-A698-4B28529BA5A0}" name="Column12694"/>
    <tableColumn id="12700" xr3:uid="{D17BD9CD-DFFA-4DA7-8B14-0A7A1AB26C0E}" name="Column12695"/>
    <tableColumn id="12701" xr3:uid="{FF3C4342-C570-4082-901C-721FA8CA4B58}" name="Column12696"/>
    <tableColumn id="12702" xr3:uid="{13F78CE1-15B3-4C87-9AA0-DB6A6F876DD2}" name="Column12697"/>
    <tableColumn id="12703" xr3:uid="{A5B55599-E35E-4E06-8498-8FC822CAE455}" name="Column12698"/>
    <tableColumn id="12704" xr3:uid="{4AF9650F-6E67-4D58-909D-3831AB747ED5}" name="Column12699"/>
    <tableColumn id="12705" xr3:uid="{4BB535A1-5C5B-49D8-898D-6D626F31C3C6}" name="Column12700"/>
    <tableColumn id="12706" xr3:uid="{BF0AC0E5-E671-428E-8509-61BB2F7B9AD6}" name="Column12701"/>
    <tableColumn id="12707" xr3:uid="{99B13D57-5005-402C-844E-51498B219E27}" name="Column12702"/>
    <tableColumn id="12708" xr3:uid="{2D046B07-5E80-4A7C-A345-412FD04C4260}" name="Column12703"/>
    <tableColumn id="12709" xr3:uid="{17D5A5F2-991F-43A1-89DD-35C1EC95C6CD}" name="Column12704"/>
    <tableColumn id="12710" xr3:uid="{C294638C-645A-450A-B037-284497180127}" name="Column12705"/>
    <tableColumn id="12711" xr3:uid="{D3EC3EFA-B601-436A-9217-F3A9FCF87145}" name="Column12706"/>
    <tableColumn id="12712" xr3:uid="{FEED5BE3-024B-4868-8164-43DD4CA40DAA}" name="Column12707"/>
    <tableColumn id="12713" xr3:uid="{909AAE5E-03C8-4931-AA6E-3A73AC5F4985}" name="Column12708"/>
    <tableColumn id="12714" xr3:uid="{DAE213FE-8520-4EFE-AA51-12DEE24C8F58}" name="Column12709"/>
    <tableColumn id="12715" xr3:uid="{389B6C55-5A8F-4B2D-8D83-D1D2B775D9AB}" name="Column12710"/>
    <tableColumn id="12716" xr3:uid="{8E68EC44-526E-4CB9-9B4B-AB0B99278A05}" name="Column12711"/>
    <tableColumn id="12717" xr3:uid="{A1B2209A-EA05-4DEE-8094-F946BC80D81C}" name="Column12712"/>
    <tableColumn id="12718" xr3:uid="{47352888-A351-4D42-992F-D58367D0DDDC}" name="Column12713"/>
    <tableColumn id="12719" xr3:uid="{1DA41D80-32B7-4CEB-8289-7BA28B4E72A2}" name="Column12714"/>
    <tableColumn id="12720" xr3:uid="{CFFC825D-D255-4008-8217-321F688D5401}" name="Column12715"/>
    <tableColumn id="12721" xr3:uid="{E22CC84E-6FA4-4919-853D-8A358214D435}" name="Column12716"/>
    <tableColumn id="12722" xr3:uid="{A7F39324-B5B5-4D8D-A5D5-B6B1208F2C7A}" name="Column12717"/>
    <tableColumn id="12723" xr3:uid="{A87B77C7-147D-4C89-B816-5206C9055E72}" name="Column12718"/>
    <tableColumn id="12724" xr3:uid="{4C67B6CA-6364-4294-935C-EDE94A55FF7F}" name="Column12719"/>
    <tableColumn id="12725" xr3:uid="{85C7178D-FEC5-4B6C-BA5A-72F8AD03648E}" name="Column12720"/>
    <tableColumn id="12726" xr3:uid="{69B87F35-0F8E-444E-A74C-5BD67582FAA7}" name="Column12721"/>
    <tableColumn id="12727" xr3:uid="{98018529-FFCE-4B9B-B10C-14869E01A09D}" name="Column12722"/>
    <tableColumn id="12728" xr3:uid="{BB9DA747-5F9A-4D34-8EF0-18AA7427ADA5}" name="Column12723"/>
    <tableColumn id="12729" xr3:uid="{357785E4-3AD7-497C-99B5-F786F87A8765}" name="Column12724"/>
    <tableColumn id="12730" xr3:uid="{9EFFFA1A-7A16-43F7-BEB8-9686C23AE5B8}" name="Column12725"/>
    <tableColumn id="12731" xr3:uid="{690CA669-1545-48E5-9D83-7EB562F21705}" name="Column12726"/>
    <tableColumn id="12732" xr3:uid="{6433183D-3690-4E99-90EB-F946CA019846}" name="Column12727"/>
    <tableColumn id="12733" xr3:uid="{1D6369F9-FA4D-4B59-8BB1-11F480E41F2B}" name="Column12728"/>
    <tableColumn id="12734" xr3:uid="{977E4F6C-F77A-4FE4-A4E8-37CF37A75BEB}" name="Column12729"/>
    <tableColumn id="12735" xr3:uid="{BB1AB4F0-07A5-4605-BDD4-95FEB891D7C8}" name="Column12730"/>
    <tableColumn id="12736" xr3:uid="{6D4BAA81-7DC1-4007-86CB-3C8EC75B41EB}" name="Column12731"/>
    <tableColumn id="12737" xr3:uid="{A45C15E3-E052-4ECB-8E52-BB9B28FABAB9}" name="Column12732"/>
    <tableColumn id="12738" xr3:uid="{8B6A7BD8-3AAD-43E9-9D64-4E0103664560}" name="Column12733"/>
    <tableColumn id="12739" xr3:uid="{8D27B66F-0DB3-4FF9-BDB0-A21B63FBD0D9}" name="Column12734"/>
    <tableColumn id="12740" xr3:uid="{0615BA65-6F8D-4F77-BCF7-0C268E421EA4}" name="Column12735"/>
    <tableColumn id="12741" xr3:uid="{2D782B2F-0D23-4304-B326-FBE85B149292}" name="Column12736"/>
    <tableColumn id="12742" xr3:uid="{D1EE79AF-8740-4657-B288-97FAC9498ACE}" name="Column12737"/>
    <tableColumn id="12743" xr3:uid="{C20F554B-B245-44A7-AEC4-98AD54F83726}" name="Column12738"/>
    <tableColumn id="12744" xr3:uid="{2C6A0B59-6505-4A44-949B-0D29653A1853}" name="Column12739"/>
    <tableColumn id="12745" xr3:uid="{D4F76847-7AFE-42B2-B298-8B3557E981EC}" name="Column12740"/>
    <tableColumn id="12746" xr3:uid="{B214337C-268E-4298-9C96-3A8C9FCEFF09}" name="Column12741"/>
    <tableColumn id="12747" xr3:uid="{177116D2-850A-4719-806A-3C1A430332F5}" name="Column12742"/>
    <tableColumn id="12748" xr3:uid="{CF1BA904-A6B8-47A1-97A7-664629AD0A0C}" name="Column12743"/>
    <tableColumn id="12749" xr3:uid="{58E9B832-BB18-4A54-8E0E-35209F743F53}" name="Column12744"/>
    <tableColumn id="12750" xr3:uid="{3BF80E8A-BC4F-42C2-BE12-8EADC228C1F7}" name="Column12745"/>
    <tableColumn id="12751" xr3:uid="{7A19C8D4-C9DA-4CE9-A6F9-25792CC95A3E}" name="Column12746"/>
    <tableColumn id="12752" xr3:uid="{E0E5B151-E480-4761-862F-432DCC461420}" name="Column12747"/>
    <tableColumn id="12753" xr3:uid="{BD195B1B-7840-4B07-B0F2-901576785D40}" name="Column12748"/>
    <tableColumn id="12754" xr3:uid="{C6A9EC1C-2DB2-41BD-9D3A-A31E88BCE69C}" name="Column12749"/>
    <tableColumn id="12755" xr3:uid="{A1CB07DE-6C15-4A89-A937-CB70F1D6F310}" name="Column12750"/>
    <tableColumn id="12756" xr3:uid="{DE07D680-A680-4550-A3BA-DC5C6DD09EB4}" name="Column12751"/>
    <tableColumn id="12757" xr3:uid="{2541182B-E276-4991-BBF7-F6C5C32DA2E8}" name="Column12752"/>
    <tableColumn id="12758" xr3:uid="{7C4EDC83-DB80-47CE-9359-B3E72497AACC}" name="Column12753"/>
    <tableColumn id="12759" xr3:uid="{75689C03-4684-464F-8F73-06452199C308}" name="Column12754"/>
    <tableColumn id="12760" xr3:uid="{B4ED153E-48AB-4199-87AD-263B06C5AE52}" name="Column12755"/>
    <tableColumn id="12761" xr3:uid="{59EAF31E-B809-4EB9-89EF-CD2589C737A8}" name="Column12756"/>
    <tableColumn id="12762" xr3:uid="{D01428A2-82F8-481F-8497-EF4ABE7BB8A8}" name="Column12757"/>
    <tableColumn id="12763" xr3:uid="{1107C534-1F6B-4419-A135-573EE0604F33}" name="Column12758"/>
    <tableColumn id="12764" xr3:uid="{56618842-DCC0-4C47-809E-67A702B13734}" name="Column12759"/>
    <tableColumn id="12765" xr3:uid="{218F8448-901A-4F91-8141-51CA6EFDE87C}" name="Column12760"/>
    <tableColumn id="12766" xr3:uid="{8774579A-3ED0-4F50-A562-8C291EAEB01B}" name="Column12761"/>
    <tableColumn id="12767" xr3:uid="{A85DF4FE-1CCA-4BD6-B444-D5283A40D1E7}" name="Column12762"/>
    <tableColumn id="12768" xr3:uid="{203D4BE3-7343-4C71-B7E0-CD40D2782851}" name="Column12763"/>
    <tableColumn id="12769" xr3:uid="{A847E655-0490-48B9-968D-3DAD5733025B}" name="Column12764"/>
    <tableColumn id="12770" xr3:uid="{DD354F23-C808-4DD9-8BCA-2EAC81746F0E}" name="Column12765"/>
    <tableColumn id="12771" xr3:uid="{8DC099D4-A240-4B60-848F-709332268D15}" name="Column12766"/>
    <tableColumn id="12772" xr3:uid="{1094E5F5-085A-4187-869C-7BB6BAA814BF}" name="Column12767"/>
    <tableColumn id="12773" xr3:uid="{952C26C3-6F62-47B2-84ED-EF5642F16991}" name="Column12768"/>
    <tableColumn id="12774" xr3:uid="{B9C67DB7-DF1E-4002-B75C-8248EDD20AF2}" name="Column12769"/>
    <tableColumn id="12775" xr3:uid="{9515B875-A357-4E74-958C-42A26D46FC9C}" name="Column12770"/>
    <tableColumn id="12776" xr3:uid="{69AA254E-6A99-40BF-BB28-A9E1AE6810C6}" name="Column12771"/>
    <tableColumn id="12777" xr3:uid="{64AE3F01-B384-4D31-BB9E-0D25CEB353F7}" name="Column12772"/>
    <tableColumn id="12778" xr3:uid="{790E2011-9D34-4475-AD88-BFD6B28F380C}" name="Column12773"/>
    <tableColumn id="12779" xr3:uid="{5EBC42BE-DFFA-4321-8949-3D5746BA1D2E}" name="Column12774"/>
    <tableColumn id="12780" xr3:uid="{DD0E3040-ADCB-4031-B041-2E38062B8719}" name="Column12775"/>
    <tableColumn id="12781" xr3:uid="{E2B4AF52-5D08-4359-8A58-B2B0D1A72E4A}" name="Column12776"/>
    <tableColumn id="12782" xr3:uid="{CCF36909-8202-49F3-A08B-CC81D0684659}" name="Column12777"/>
    <tableColumn id="12783" xr3:uid="{D4FBF912-C1D4-41A8-9656-98B60C299B87}" name="Column12778"/>
    <tableColumn id="12784" xr3:uid="{6E7B618B-CAC8-4A4E-B645-77B3F04E8A8A}" name="Column12779"/>
    <tableColumn id="12785" xr3:uid="{1AFB96F0-72F5-42C8-8324-7682DE62A6BB}" name="Column12780"/>
    <tableColumn id="12786" xr3:uid="{72673D4C-7CD7-41DC-A691-7EC1BD656762}" name="Column12781"/>
    <tableColumn id="12787" xr3:uid="{CC081083-2CEE-4DE5-91E0-42B54F0018B7}" name="Column12782"/>
    <tableColumn id="12788" xr3:uid="{623822DC-7CC7-40AC-88A7-6B711BA40189}" name="Column12783"/>
    <tableColumn id="12789" xr3:uid="{7D1635B9-F94A-4733-88E9-59D9BB089F66}" name="Column12784"/>
    <tableColumn id="12790" xr3:uid="{ADC966FA-8D79-4138-87C0-C43711CB2F10}" name="Column12785"/>
    <tableColumn id="12791" xr3:uid="{E06AFF86-7696-437D-9E4A-36DDE345BB64}" name="Column12786"/>
    <tableColumn id="12792" xr3:uid="{26027E00-6C0F-48EB-B023-687628FB0E1D}" name="Column12787"/>
    <tableColumn id="12793" xr3:uid="{26D7E9C4-CAFF-4781-8364-E74E9D2F0FCD}" name="Column12788"/>
    <tableColumn id="12794" xr3:uid="{97FF0490-457D-4F19-867F-094B7C34B4B1}" name="Column12789"/>
    <tableColumn id="12795" xr3:uid="{B51C10C3-AF11-41CE-8397-0BF2005C1BB6}" name="Column12790"/>
    <tableColumn id="12796" xr3:uid="{FC7EF5FE-01AC-4FF5-8A30-8B87DA633A48}" name="Column12791"/>
    <tableColumn id="12797" xr3:uid="{CE24D5DB-93EF-4E51-B71F-9A253A3F4F19}" name="Column12792"/>
    <tableColumn id="12798" xr3:uid="{3320C59E-7D9C-429D-8DEC-9DEA23A89600}" name="Column12793"/>
    <tableColumn id="12799" xr3:uid="{49C152ED-D44A-42E9-AA89-3E2D72C9CCAA}" name="Column12794"/>
    <tableColumn id="12800" xr3:uid="{B57BBBEC-49EA-4C95-8677-42E2324C8709}" name="Column12795"/>
    <tableColumn id="12801" xr3:uid="{BC74D8E3-42F4-42CB-843D-8C3AD396897A}" name="Column12796"/>
    <tableColumn id="12802" xr3:uid="{FAF94160-97CD-4792-B696-1D33B8915451}" name="Column12797"/>
    <tableColumn id="12803" xr3:uid="{DD9C72BD-1A65-4C6A-BC5F-FBECCCCB7311}" name="Column12798"/>
    <tableColumn id="12804" xr3:uid="{2D2801F7-7F62-49FE-8811-20B054069CEC}" name="Column12799"/>
    <tableColumn id="12805" xr3:uid="{216A476E-B76B-4485-9F46-ADD287748136}" name="Column12800"/>
    <tableColumn id="12806" xr3:uid="{4D6EDF01-7D71-4C05-BDCB-45C4F62D15EE}" name="Column12801"/>
    <tableColumn id="12807" xr3:uid="{2D7BA298-7D9C-4289-B033-7006E54E0A8A}" name="Column12802"/>
    <tableColumn id="12808" xr3:uid="{BC5658D0-8C6D-4081-837A-6F6007A872C0}" name="Column12803"/>
    <tableColumn id="12809" xr3:uid="{9B269FCA-E792-4640-B1B1-F4565961ED0A}" name="Column12804"/>
    <tableColumn id="12810" xr3:uid="{D55313CE-F78A-4BB8-92BE-DF707E8F4F00}" name="Column12805"/>
    <tableColumn id="12811" xr3:uid="{9A2924E7-72A5-40DD-9A6A-CC2A02197D37}" name="Column12806"/>
    <tableColumn id="12812" xr3:uid="{2E096F00-B5B3-4D71-9359-5BF8A73593C5}" name="Column12807"/>
    <tableColumn id="12813" xr3:uid="{DD18E829-EEAF-4FD1-8304-654E345EA1CA}" name="Column12808"/>
    <tableColumn id="12814" xr3:uid="{9EB57E2B-7786-448A-8F1A-99499A7555C5}" name="Column12809"/>
    <tableColumn id="12815" xr3:uid="{85B05734-CD92-4C63-B98D-A053A9ABD6F4}" name="Column12810"/>
    <tableColumn id="12816" xr3:uid="{663D39B6-3F96-427D-9E3F-5DD179556B65}" name="Column12811"/>
    <tableColumn id="12817" xr3:uid="{F75125C1-3966-4748-9690-988A16688460}" name="Column12812"/>
    <tableColumn id="12818" xr3:uid="{13D44AC1-B963-4B24-99CE-D816938328CE}" name="Column12813"/>
    <tableColumn id="12819" xr3:uid="{83DEB5E8-F2F2-4CAF-9C14-BC44351E141C}" name="Column12814"/>
    <tableColumn id="12820" xr3:uid="{08A61D57-A12B-4FB3-8A00-893DDAF20C56}" name="Column12815"/>
    <tableColumn id="12821" xr3:uid="{3FE292C5-D190-4FB3-BF55-E2B6949915B8}" name="Column12816"/>
    <tableColumn id="12822" xr3:uid="{1A80900B-9888-4237-95F7-164270321587}" name="Column12817"/>
    <tableColumn id="12823" xr3:uid="{59777AF2-B3F5-4E99-BF39-DB9DBC4101EE}" name="Column12818"/>
    <tableColumn id="12824" xr3:uid="{9AB088D0-D603-4B91-A7C4-BACC8DA4472D}" name="Column12819"/>
    <tableColumn id="12825" xr3:uid="{A4399718-F96B-4D36-B8FF-4DCDBB740187}" name="Column12820"/>
    <tableColumn id="12826" xr3:uid="{AD22FD7C-6103-4E26-BBA9-8CDA51095DA5}" name="Column12821"/>
    <tableColumn id="12827" xr3:uid="{5389B074-D434-4759-9C05-7D89D25343E7}" name="Column12822"/>
    <tableColumn id="12828" xr3:uid="{7932C7F8-FB7E-4916-99B9-472926B65BA8}" name="Column12823"/>
    <tableColumn id="12829" xr3:uid="{DAA996BE-A2CD-4023-AABF-BB1AF930D10A}" name="Column12824"/>
    <tableColumn id="12830" xr3:uid="{9A4AD3C3-7AF2-4E86-BBDD-1725F35D729C}" name="Column12825"/>
    <tableColumn id="12831" xr3:uid="{7E261F37-BC80-498D-AD0E-83956337211D}" name="Column12826"/>
    <tableColumn id="12832" xr3:uid="{E966AFA5-610E-4486-BC52-92D2B62F91C7}" name="Column12827"/>
    <tableColumn id="12833" xr3:uid="{73C4B11A-540B-4A37-88D6-9B80683D1378}" name="Column12828"/>
    <tableColumn id="12834" xr3:uid="{FBC0E1A5-D66F-48B6-9CBC-0C2219D5C60A}" name="Column12829"/>
    <tableColumn id="12835" xr3:uid="{FCFA94B0-A3B2-4863-A2BB-AE44A5A413D1}" name="Column12830"/>
    <tableColumn id="12836" xr3:uid="{4FCD7618-5AFD-4414-90A9-DAB1A96FBAEE}" name="Column12831"/>
    <tableColumn id="12837" xr3:uid="{F00C80C8-D44C-4EEF-A3AE-344AEE8E7ED1}" name="Column12832"/>
    <tableColumn id="12838" xr3:uid="{1A8290C2-344C-4315-986D-B10CA4AC430E}" name="Column12833"/>
    <tableColumn id="12839" xr3:uid="{5E1FFA35-14A7-42D3-8563-76137C9E91DC}" name="Column12834"/>
    <tableColumn id="12840" xr3:uid="{FA5787B9-A1DF-4679-A560-E6C8F65EBDF1}" name="Column12835"/>
    <tableColumn id="12841" xr3:uid="{C81481D1-382E-4333-BD86-364BBCD4F68B}" name="Column12836"/>
    <tableColumn id="12842" xr3:uid="{48FD93F8-3217-4093-AFA6-9E7848B63879}" name="Column12837"/>
    <tableColumn id="12843" xr3:uid="{D9C68C41-7634-4CDC-AFB4-1ED9913E3D34}" name="Column12838"/>
    <tableColumn id="12844" xr3:uid="{DBDB77A2-9580-42CC-A5A2-A3C8601BE55C}" name="Column12839"/>
    <tableColumn id="12845" xr3:uid="{CD0C544A-451D-48F8-841E-8F4418A22B17}" name="Column12840"/>
    <tableColumn id="12846" xr3:uid="{1DFE04A8-EBAA-4B84-B0B0-2CE2E606EC6E}" name="Column12841"/>
    <tableColumn id="12847" xr3:uid="{0B9069E0-D12F-407F-9764-E7E69C979E55}" name="Column12842"/>
    <tableColumn id="12848" xr3:uid="{4FF5818E-FF1E-48F4-8396-7DDE73201D31}" name="Column12843"/>
    <tableColumn id="12849" xr3:uid="{2EA12C88-0308-455E-B527-C16F58D92F4C}" name="Column12844"/>
    <tableColumn id="12850" xr3:uid="{5A2E2261-0B2A-4ED8-A94D-23A9305F6EBC}" name="Column12845"/>
    <tableColumn id="12851" xr3:uid="{E55E32E6-AE68-438F-809B-9262320E8F72}" name="Column12846"/>
    <tableColumn id="12852" xr3:uid="{C1E046C8-3652-40EF-BBF8-8066B7D5C636}" name="Column12847"/>
    <tableColumn id="12853" xr3:uid="{E3594EC1-4E22-4703-AAFB-58A54A7D81DA}" name="Column12848"/>
    <tableColumn id="12854" xr3:uid="{43E11F4F-FC92-4F1A-B2CF-6D69A68CA170}" name="Column12849"/>
    <tableColumn id="12855" xr3:uid="{1A5CD64E-D1F1-4428-832D-F636B30E6F12}" name="Column12850"/>
    <tableColumn id="12856" xr3:uid="{6C84B7A7-41AF-43F9-89C8-597BAD671EC5}" name="Column12851"/>
    <tableColumn id="12857" xr3:uid="{8111F5C1-D146-458F-B5B9-3A618F718017}" name="Column12852"/>
    <tableColumn id="12858" xr3:uid="{3EE4E42C-FD13-4339-90A1-89B7B0C8A01D}" name="Column12853"/>
    <tableColumn id="12859" xr3:uid="{3A69A007-437C-4E06-BA21-BD814F6121C4}" name="Column12854"/>
    <tableColumn id="12860" xr3:uid="{409FC585-100E-448F-AE81-E03D562BEA0C}" name="Column12855"/>
    <tableColumn id="12861" xr3:uid="{CE08522F-C5EF-4E64-B60E-4F73B7E7E013}" name="Column12856"/>
    <tableColumn id="12862" xr3:uid="{AF1571C7-104B-41A5-8C61-6A156C4E2E6B}" name="Column12857"/>
    <tableColumn id="12863" xr3:uid="{BFAC0D2F-F52B-46DB-9992-AE73B768645B}" name="Column12858"/>
    <tableColumn id="12864" xr3:uid="{CACA7DFA-EBA1-4087-99C5-37AC6BF8EAC2}" name="Column12859"/>
    <tableColumn id="12865" xr3:uid="{15C2867A-F0C7-4A33-BB7F-E6BED2A848A0}" name="Column12860"/>
    <tableColumn id="12866" xr3:uid="{8F525D78-F25B-4E07-B8CE-F1DFEE8ACE8D}" name="Column12861"/>
    <tableColumn id="12867" xr3:uid="{94819EAE-F17A-4D7A-A049-8A9BAEA4A458}" name="Column12862"/>
    <tableColumn id="12868" xr3:uid="{039FCD90-F85E-484F-9728-660DDDFE3E9F}" name="Column12863"/>
    <tableColumn id="12869" xr3:uid="{9136924C-CD8D-4D86-B035-A6DA10F6716F}" name="Column12864"/>
    <tableColumn id="12870" xr3:uid="{3F89F38A-EC7E-49B8-99F2-88538521CA9B}" name="Column12865"/>
    <tableColumn id="12871" xr3:uid="{ABBECEDD-D495-43D9-BAB8-F6C249487EFD}" name="Column12866"/>
    <tableColumn id="12872" xr3:uid="{AEE97381-1F3C-4242-A4F6-BC71B8BDA508}" name="Column12867"/>
    <tableColumn id="12873" xr3:uid="{F207A6DF-F469-458C-80D7-03FD56427389}" name="Column12868"/>
    <tableColumn id="12874" xr3:uid="{82A6AE76-2694-4F80-8CB7-87D5D58EF140}" name="Column12869"/>
    <tableColumn id="12875" xr3:uid="{6133983B-97B8-493B-8E53-11C178DADF2B}" name="Column12870"/>
    <tableColumn id="12876" xr3:uid="{8CF194B3-2451-4227-9C78-15870A63A478}" name="Column12871"/>
    <tableColumn id="12877" xr3:uid="{8AC2ADE8-782E-48D2-B35D-B554C29BDB70}" name="Column12872"/>
    <tableColumn id="12878" xr3:uid="{71E27F75-F697-46AE-8728-225B0F1A95E2}" name="Column12873"/>
    <tableColumn id="12879" xr3:uid="{9180A3E5-709E-4898-A2A1-124E089E5C77}" name="Column12874"/>
    <tableColumn id="12880" xr3:uid="{D06D68C0-FAF0-4370-A00F-8DBB6860C4EF}" name="Column12875"/>
    <tableColumn id="12881" xr3:uid="{975F9F5F-F38C-4F0A-84D6-7BB407A0AE45}" name="Column12876"/>
    <tableColumn id="12882" xr3:uid="{FD50AC32-2177-4AA2-B5DB-35AB828929AB}" name="Column12877"/>
    <tableColumn id="12883" xr3:uid="{068BD5A2-30BD-4888-AFA7-26DB22C40B00}" name="Column12878"/>
    <tableColumn id="12884" xr3:uid="{5A48CB87-988D-49E1-9C79-D67FC88680A0}" name="Column12879"/>
    <tableColumn id="12885" xr3:uid="{B058AFB2-E120-4E55-9323-342BE1C9239F}" name="Column12880"/>
    <tableColumn id="12886" xr3:uid="{5814BDF1-A597-4CBC-93B9-17DD32F70DB0}" name="Column12881"/>
    <tableColumn id="12887" xr3:uid="{84F53E2A-C82A-4CAC-8922-B96886FA8B5A}" name="Column12882"/>
    <tableColumn id="12888" xr3:uid="{A06D031F-75FF-4875-992E-9A55EA733630}" name="Column12883"/>
    <tableColumn id="12889" xr3:uid="{F415F1FB-1F08-424A-87B7-63AB4551BE4C}" name="Column12884"/>
    <tableColumn id="12890" xr3:uid="{119CD0DA-B5D2-45AF-8571-ED2F47E29404}" name="Column12885"/>
    <tableColumn id="12891" xr3:uid="{AAE057C5-6B51-43B8-A1BE-704579DF78FE}" name="Column12886"/>
    <tableColumn id="12892" xr3:uid="{2A78F13D-B6AD-4474-B211-112A623433B5}" name="Column12887"/>
    <tableColumn id="12893" xr3:uid="{EE318C60-AF2A-4FFA-BCCC-3A6D37163F83}" name="Column12888"/>
    <tableColumn id="12894" xr3:uid="{99E7EAA0-B5D3-45DC-B79B-14FC0E5B2E34}" name="Column12889"/>
    <tableColumn id="12895" xr3:uid="{B4299122-1625-46AA-B3BC-9D2E92755A32}" name="Column12890"/>
    <tableColumn id="12896" xr3:uid="{E50A30F6-F7A0-4FE3-B1B2-A3E200333D49}" name="Column12891"/>
    <tableColumn id="12897" xr3:uid="{B3AE0E65-3B69-4472-A714-5F1515924104}" name="Column12892"/>
    <tableColumn id="12898" xr3:uid="{A6160509-9D90-43D0-B3D1-AFC3FF830CF1}" name="Column12893"/>
    <tableColumn id="12899" xr3:uid="{9AFEB49E-3ADE-43BE-A164-E1BB3DE2AF2E}" name="Column12894"/>
    <tableColumn id="12900" xr3:uid="{DD0C0A86-B480-4DA8-B22B-1B3FB392F711}" name="Column12895"/>
    <tableColumn id="12901" xr3:uid="{EAE63665-63BC-4F8B-B721-8E47B059BA19}" name="Column12896"/>
    <tableColumn id="12902" xr3:uid="{72EFD828-D1AD-47EE-B7DF-3685AE58C5C5}" name="Column12897"/>
    <tableColumn id="12903" xr3:uid="{7FE24E5F-7689-4892-AF55-FE92C9FC79FE}" name="Column12898"/>
    <tableColumn id="12904" xr3:uid="{C09A2639-7D44-45C4-B423-86F296A40172}" name="Column12899"/>
    <tableColumn id="12905" xr3:uid="{DD394E9C-6E0F-4EF6-B45F-3BE122BBFF6B}" name="Column12900"/>
    <tableColumn id="12906" xr3:uid="{8700831F-DED0-4354-A85D-4483875090D0}" name="Column12901"/>
    <tableColumn id="12907" xr3:uid="{57CE56AB-701F-485B-965B-52EFCA1B63DF}" name="Column12902"/>
    <tableColumn id="12908" xr3:uid="{A3CB5D73-2B8C-49F4-AD91-FC65C9EDBC71}" name="Column12903"/>
    <tableColumn id="12909" xr3:uid="{21E4EFD4-DA3D-41B2-ABA3-B4D1E3C42807}" name="Column12904"/>
    <tableColumn id="12910" xr3:uid="{490A606D-4591-4DA6-A273-497F8965D21E}" name="Column12905"/>
    <tableColumn id="12911" xr3:uid="{A2625E52-C83C-40A0-84FA-EC315F71B8AF}" name="Column12906"/>
    <tableColumn id="12912" xr3:uid="{51232C8E-139B-4BFA-BE1A-CD7819344A37}" name="Column12907"/>
    <tableColumn id="12913" xr3:uid="{A79C713F-3BFC-4025-9B55-2CED730914C5}" name="Column12908"/>
    <tableColumn id="12914" xr3:uid="{36627B25-A6ED-436D-8BF7-F242801452E7}" name="Column12909"/>
    <tableColumn id="12915" xr3:uid="{C4BC0532-56E1-4A26-9DFE-A57C45DE1DE8}" name="Column12910"/>
    <tableColumn id="12916" xr3:uid="{FE5DCA72-FC74-49BE-8009-E29F555E68C8}" name="Column12911"/>
    <tableColumn id="12917" xr3:uid="{CDFD9B1D-70B4-463F-A801-1AE3DA72FFD1}" name="Column12912"/>
    <tableColumn id="12918" xr3:uid="{817916EF-2278-4008-9C9D-70BD95BD3E09}" name="Column12913"/>
    <tableColumn id="12919" xr3:uid="{E1185CA6-79C0-4D2B-98F7-4B3D272EFB3E}" name="Column12914"/>
    <tableColumn id="12920" xr3:uid="{D631C448-19A5-4A36-BCFB-10C4EAAC99AA}" name="Column12915"/>
    <tableColumn id="12921" xr3:uid="{714CC24A-C752-4608-878B-A9A97B354859}" name="Column12916"/>
    <tableColumn id="12922" xr3:uid="{7589D8E4-46ED-451D-A518-45DD43DDDD0C}" name="Column12917"/>
    <tableColumn id="12923" xr3:uid="{0E16D26B-5552-4A2C-A901-048BF5917637}" name="Column12918"/>
    <tableColumn id="12924" xr3:uid="{177F8109-7E05-4498-A418-8C1C388D3208}" name="Column12919"/>
    <tableColumn id="12925" xr3:uid="{B589127F-46D1-4A97-8DD8-3FE584095CAF}" name="Column12920"/>
    <tableColumn id="12926" xr3:uid="{D421DD3D-8CB1-421A-BC2F-C450CA893141}" name="Column12921"/>
    <tableColumn id="12927" xr3:uid="{6DBFA321-821E-4333-9E78-1496E2DBD1EE}" name="Column12922"/>
    <tableColumn id="12928" xr3:uid="{C3B2FB79-7CF0-4541-83F0-327E78EA43C9}" name="Column12923"/>
    <tableColumn id="12929" xr3:uid="{2E055730-B93A-45AB-B475-A666F250CF66}" name="Column12924"/>
    <tableColumn id="12930" xr3:uid="{04183A83-0F60-4102-951E-C2933E0EFAE3}" name="Column12925"/>
    <tableColumn id="12931" xr3:uid="{C424D174-CD16-47F5-8E75-2E7D89191FC7}" name="Column12926"/>
    <tableColumn id="12932" xr3:uid="{6F07878F-D49B-4B70-90EF-B76FD336B1AE}" name="Column12927"/>
    <tableColumn id="12933" xr3:uid="{C55BE90A-9053-453C-A385-9365FD4AC9D3}" name="Column12928"/>
    <tableColumn id="12934" xr3:uid="{D3A1FA9E-004B-45FB-86D1-7E2FC9B972BF}" name="Column12929"/>
    <tableColumn id="12935" xr3:uid="{663C9D69-A96C-41C0-890A-F0CA0E7E80D0}" name="Column12930"/>
    <tableColumn id="12936" xr3:uid="{675D92CA-1559-4817-B4C0-C5D4E5FD5851}" name="Column12931"/>
    <tableColumn id="12937" xr3:uid="{363F5BD9-9F9E-4134-827C-3C9469B9D495}" name="Column12932"/>
    <tableColumn id="12938" xr3:uid="{BBF55C3F-CAD6-46B8-B7D9-C6F9892B5FA7}" name="Column12933"/>
    <tableColumn id="12939" xr3:uid="{8D7BA78B-2C68-48C4-B282-23D5AB43C7E9}" name="Column12934"/>
    <tableColumn id="12940" xr3:uid="{6B87E9C0-828C-4A20-860D-EF9796CE9BEE}" name="Column12935"/>
    <tableColumn id="12941" xr3:uid="{EC2FF3BD-637E-4D5D-B20C-593DA2321696}" name="Column12936"/>
    <tableColumn id="12942" xr3:uid="{AF7BB95A-F936-47CB-A627-BB903161468A}" name="Column12937"/>
    <tableColumn id="12943" xr3:uid="{91DA44D3-44A5-48C3-B9B7-FF79BFA2F393}" name="Column12938"/>
    <tableColumn id="12944" xr3:uid="{7A0E904F-6429-4CC7-9C3E-84C866A3422D}" name="Column12939"/>
    <tableColumn id="12945" xr3:uid="{AB16FF11-F014-44DC-B4D6-2170F3A7D0E5}" name="Column12940"/>
    <tableColumn id="12946" xr3:uid="{5D7892B1-D7E8-435C-A8FD-AD4893163F28}" name="Column12941"/>
    <tableColumn id="12947" xr3:uid="{320EA059-9926-4E77-8C94-89B7A646B31F}" name="Column12942"/>
    <tableColumn id="12948" xr3:uid="{BE766821-0F62-4208-8731-FED1A0341E47}" name="Column12943"/>
    <tableColumn id="12949" xr3:uid="{F1F8DF9D-78BF-4FE9-A0B0-E47F18B44EC4}" name="Column12944"/>
    <tableColumn id="12950" xr3:uid="{37CA7F89-F253-4C46-9A0F-77F25FF9B4C3}" name="Column12945"/>
    <tableColumn id="12951" xr3:uid="{9DF08F64-5795-4131-9E60-9F68571102B7}" name="Column12946"/>
    <tableColumn id="12952" xr3:uid="{F5343657-4EAE-46D1-9025-0935602C89BB}" name="Column12947"/>
    <tableColumn id="12953" xr3:uid="{8F2417F4-7CE7-41E3-AF54-BD3B12817E64}" name="Column12948"/>
    <tableColumn id="12954" xr3:uid="{1917960E-9B72-4476-A145-B12105955DB0}" name="Column12949"/>
    <tableColumn id="12955" xr3:uid="{D64F819E-0D6B-4A52-A52E-5310BB860AC8}" name="Column12950"/>
    <tableColumn id="12956" xr3:uid="{08F8E6CE-B952-4129-95E6-8454A9D77335}" name="Column12951"/>
    <tableColumn id="12957" xr3:uid="{63606242-F76D-47B2-BD57-7E2081D3E738}" name="Column12952"/>
    <tableColumn id="12958" xr3:uid="{27E94157-C5DD-43A5-ADAF-E89EA431D95B}" name="Column12953"/>
    <tableColumn id="12959" xr3:uid="{ABB14492-1836-4789-A755-4200F73194CD}" name="Column12954"/>
    <tableColumn id="12960" xr3:uid="{A62B0840-DB4D-4755-A716-F955022D60A0}" name="Column12955"/>
    <tableColumn id="12961" xr3:uid="{81449366-CF0F-44AC-A8BE-9301502DEDA3}" name="Column12956"/>
    <tableColumn id="12962" xr3:uid="{F01DCCEA-9D50-4789-AD1C-81C26DAC81E7}" name="Column12957"/>
    <tableColumn id="12963" xr3:uid="{F04CA76A-F3CA-43BC-BF35-747E2594EC1A}" name="Column12958"/>
    <tableColumn id="12964" xr3:uid="{59C88148-E7CA-4800-923C-746558AC2B83}" name="Column12959"/>
    <tableColumn id="12965" xr3:uid="{7D1C8D5A-0E41-494E-BFCF-A005E47D8C26}" name="Column12960"/>
    <tableColumn id="12966" xr3:uid="{494481F2-8C3C-458E-B3EB-8D0559BEA1DA}" name="Column12961"/>
    <tableColumn id="12967" xr3:uid="{FFFA3700-7932-46DC-A71C-19CB00A21D8B}" name="Column12962"/>
    <tableColumn id="12968" xr3:uid="{349C3008-C98C-458F-8BB8-DBD8B4D9AD21}" name="Column12963"/>
    <tableColumn id="12969" xr3:uid="{D3416A3A-FF5D-460A-8103-29007835D7F1}" name="Column12964"/>
    <tableColumn id="12970" xr3:uid="{E37CADA8-8FEC-4866-8C31-EAA32E3D4EF2}" name="Column12965"/>
    <tableColumn id="12971" xr3:uid="{87DD593D-501C-4943-ABE7-F99B510B3F8E}" name="Column12966"/>
    <tableColumn id="12972" xr3:uid="{7C053244-3A76-4E08-AA28-DD6857B11C00}" name="Column12967"/>
    <tableColumn id="12973" xr3:uid="{E1ABBD4F-A021-40AF-BF87-DDB7CCE997E5}" name="Column12968"/>
    <tableColumn id="12974" xr3:uid="{C561C033-8E6F-4DC4-8C5F-E38647712D0E}" name="Column12969"/>
    <tableColumn id="12975" xr3:uid="{84D28821-2B00-4800-A69F-9B3401904197}" name="Column12970"/>
    <tableColumn id="12976" xr3:uid="{2919A8EB-467C-4F2A-8AC4-022E6CA652A5}" name="Column12971"/>
    <tableColumn id="12977" xr3:uid="{FFB314E0-97FE-4CCC-BBAB-1C58BFDA1949}" name="Column12972"/>
    <tableColumn id="12978" xr3:uid="{BC25E658-EE4B-4F96-A8F6-5F723AC916A9}" name="Column12973"/>
    <tableColumn id="12979" xr3:uid="{BB364835-ECED-4B4E-8E57-BEA74C476F17}" name="Column12974"/>
    <tableColumn id="12980" xr3:uid="{72C86A07-13D7-4DFD-8903-02853283F2E2}" name="Column12975"/>
    <tableColumn id="12981" xr3:uid="{671EDB1F-B79C-4C76-8320-FC91C604216D}" name="Column12976"/>
    <tableColumn id="12982" xr3:uid="{67C3B6E4-6895-4853-9932-F55D3755F20A}" name="Column12977"/>
    <tableColumn id="12983" xr3:uid="{0B7308D9-D655-4CDA-9275-8305D3269310}" name="Column12978"/>
    <tableColumn id="12984" xr3:uid="{2C579243-35D9-48D4-9329-0574F977A579}" name="Column12979"/>
    <tableColumn id="12985" xr3:uid="{F7637C48-1560-4B82-8827-AF260ABCC589}" name="Column12980"/>
    <tableColumn id="12986" xr3:uid="{D0A63398-1E91-4EBD-8CA6-44D4E70CCFCC}" name="Column12981"/>
    <tableColumn id="12987" xr3:uid="{5F7C4A2E-DAB8-4B65-B18E-28D4129468ED}" name="Column12982"/>
    <tableColumn id="12988" xr3:uid="{173AB098-68E1-40E7-97C9-6B1536232CF0}" name="Column12983"/>
    <tableColumn id="12989" xr3:uid="{69099651-BB83-4F05-9047-0A20AF8FCDE4}" name="Column12984"/>
    <tableColumn id="12990" xr3:uid="{1654A71D-D553-47E6-A140-4089075D2620}" name="Column12985"/>
    <tableColumn id="12991" xr3:uid="{CE30620A-A531-46E6-BC3E-754B754C04D4}" name="Column12986"/>
    <tableColumn id="12992" xr3:uid="{90B0AB7E-DE05-4161-BFDB-A7DC6F289E18}" name="Column12987"/>
    <tableColumn id="12993" xr3:uid="{2E9AEFCB-60A6-45F8-8087-94260634C8E3}" name="Column12988"/>
    <tableColumn id="12994" xr3:uid="{EF66D0C4-1308-43F8-ACF1-C26327996FF9}" name="Column12989"/>
    <tableColumn id="12995" xr3:uid="{FF745744-FCAC-4295-985A-0B61497B972E}" name="Column12990"/>
    <tableColumn id="12996" xr3:uid="{68E34D27-807E-408C-B812-16A3815FC19B}" name="Column12991"/>
    <tableColumn id="12997" xr3:uid="{EA85CC61-388D-4859-8187-EF7372EABE07}" name="Column12992"/>
    <tableColumn id="12998" xr3:uid="{860E59F6-708A-443B-8A9F-6178BD43EDAB}" name="Column12993"/>
    <tableColumn id="12999" xr3:uid="{8A6BF0AE-3DA1-4F9B-A4EA-7343C3AEBBF6}" name="Column12994"/>
    <tableColumn id="13000" xr3:uid="{CC1EC8E7-F949-4C07-95D2-EF977ACF3569}" name="Column12995"/>
    <tableColumn id="13001" xr3:uid="{EF08C6B9-E4C7-448B-BB0C-76993EA2C48C}" name="Column12996"/>
    <tableColumn id="13002" xr3:uid="{DE47D2C8-F3C5-4F1B-82E3-97E88C92EEEE}" name="Column12997"/>
    <tableColumn id="13003" xr3:uid="{0227407C-DEF5-4F1B-B5D9-9AEA39ABFF3C}" name="Column12998"/>
    <tableColumn id="13004" xr3:uid="{ECB54599-3477-4A32-919E-247D0BA04FD0}" name="Column12999"/>
    <tableColumn id="13005" xr3:uid="{6B265FC4-B7B6-4597-9A30-17F733E852AF}" name="Column13000"/>
    <tableColumn id="13006" xr3:uid="{CB8B6C47-567E-4520-BB9D-AAB8EC603839}" name="Column13001"/>
    <tableColumn id="13007" xr3:uid="{435E4D0C-605A-4CCB-B6E9-CCD16D1EE6A0}" name="Column13002"/>
    <tableColumn id="13008" xr3:uid="{D5CB7977-070C-4285-97D2-06632399CE29}" name="Column13003"/>
    <tableColumn id="13009" xr3:uid="{81555C6F-E543-4C04-99D0-0E335E13A2BA}" name="Column13004"/>
    <tableColumn id="13010" xr3:uid="{7D1FB933-8802-4B19-9189-39D9A02FB803}" name="Column13005"/>
    <tableColumn id="13011" xr3:uid="{8E33E42F-B0EE-4F52-AC5F-F62E4E0E31E6}" name="Column13006"/>
    <tableColumn id="13012" xr3:uid="{FD7305F8-ECFC-4396-BB36-D95D1DA4AE9C}" name="Column13007"/>
    <tableColumn id="13013" xr3:uid="{41129D81-B26B-48F9-9B24-F585E1A634BB}" name="Column13008"/>
    <tableColumn id="13014" xr3:uid="{52E66414-92EF-4454-9C82-A69E4774998A}" name="Column13009"/>
    <tableColumn id="13015" xr3:uid="{F77CAC5E-4128-4B9F-9A6A-B4A36FBDB7B4}" name="Column13010"/>
    <tableColumn id="13016" xr3:uid="{E1576526-63DD-4AF8-A89C-DE04325913E5}" name="Column13011"/>
    <tableColumn id="13017" xr3:uid="{153F0CEE-C940-4F77-84A6-568D5FE3F622}" name="Column13012"/>
    <tableColumn id="13018" xr3:uid="{5C33F2D9-8E87-49FE-9429-46C0314FAE93}" name="Column13013"/>
    <tableColumn id="13019" xr3:uid="{0CC9B911-5E14-4153-A14C-8736E496BDE0}" name="Column13014"/>
    <tableColumn id="13020" xr3:uid="{B9E73763-0F1E-43A9-A659-2DA7ED0D95DD}" name="Column13015"/>
    <tableColumn id="13021" xr3:uid="{6A1B7458-097B-4D28-89C3-D7E6D507F520}" name="Column13016"/>
    <tableColumn id="13022" xr3:uid="{DBA29C6B-46CF-4900-A5CF-CCB016D93082}" name="Column13017"/>
    <tableColumn id="13023" xr3:uid="{82DC09AE-D6E0-4320-A8F3-2C114D3877C6}" name="Column13018"/>
    <tableColumn id="13024" xr3:uid="{40E61F3F-3EFF-49DE-B89D-D34633AE510F}" name="Column13019"/>
    <tableColumn id="13025" xr3:uid="{5E00EC7D-5F1C-414B-88BE-2B19F2E9612D}" name="Column13020"/>
    <tableColumn id="13026" xr3:uid="{CD35D689-5382-43E9-B715-AF18168E6E5A}" name="Column13021"/>
    <tableColumn id="13027" xr3:uid="{50278EAF-1D94-41EE-9973-C47BFF3222FD}" name="Column13022"/>
    <tableColumn id="13028" xr3:uid="{1957AC91-A8BD-44D9-8D46-FE92DBAAF956}" name="Column13023"/>
    <tableColumn id="13029" xr3:uid="{7AEBB314-6145-4EC3-856E-14ACF746DEAD}" name="Column13024"/>
    <tableColumn id="13030" xr3:uid="{4314A7F1-7369-4F40-A478-AD798198C156}" name="Column13025"/>
    <tableColumn id="13031" xr3:uid="{AC7A8E4D-2A4E-4D53-BC27-D17833C3F564}" name="Column13026"/>
    <tableColumn id="13032" xr3:uid="{31079614-3326-48A0-8086-BF9E3491C692}" name="Column13027"/>
    <tableColumn id="13033" xr3:uid="{05B80E92-7D44-4CDA-9F2B-97EA2D73C92F}" name="Column13028"/>
    <tableColumn id="13034" xr3:uid="{223B122C-6626-4891-83A9-B7A08CBA0E39}" name="Column13029"/>
    <tableColumn id="13035" xr3:uid="{363868D3-EDBE-4B08-B44A-415B78F9988A}" name="Column13030"/>
    <tableColumn id="13036" xr3:uid="{862BD364-DD6D-4926-AA92-130F057A78F8}" name="Column13031"/>
    <tableColumn id="13037" xr3:uid="{838FA2BF-3C1F-4907-9FD9-0EF96DA2AD96}" name="Column13032"/>
    <tableColumn id="13038" xr3:uid="{4801C4D3-6CF0-42BD-88CC-2746FE89EBF1}" name="Column13033"/>
    <tableColumn id="13039" xr3:uid="{159441C7-9D82-402E-A5FC-64265A3FE2C8}" name="Column13034"/>
    <tableColumn id="13040" xr3:uid="{6E70EDCB-1C35-4267-A823-42E8D155880A}" name="Column13035"/>
    <tableColumn id="13041" xr3:uid="{528E1C64-4E17-4CC1-86CF-32C96A6F5CE0}" name="Column13036"/>
    <tableColumn id="13042" xr3:uid="{9FD8556E-1589-4640-9B05-A5CE93025318}" name="Column13037"/>
    <tableColumn id="13043" xr3:uid="{7CCA0A61-C060-457D-88F7-6DBE8E829A81}" name="Column13038"/>
    <tableColumn id="13044" xr3:uid="{1FF4C7D3-AEF4-4E81-A9A9-0A7CE774A6D9}" name="Column13039"/>
    <tableColumn id="13045" xr3:uid="{4CDA9C57-73D0-4885-A2AC-2982F5DD993F}" name="Column13040"/>
    <tableColumn id="13046" xr3:uid="{875104B6-07CA-42A0-96E7-8395D3BECB8D}" name="Column13041"/>
    <tableColumn id="13047" xr3:uid="{6D3B8649-1435-4F7A-B54F-3BD46B3628BE}" name="Column13042"/>
    <tableColumn id="13048" xr3:uid="{38269F11-2DD3-4F01-B645-7D6D151789E9}" name="Column13043"/>
    <tableColumn id="13049" xr3:uid="{57AAC292-7ED6-48C1-BEF3-3FDCCF660ED7}" name="Column13044"/>
    <tableColumn id="13050" xr3:uid="{70080618-39E3-4430-BAF6-2A450902E08A}" name="Column13045"/>
    <tableColumn id="13051" xr3:uid="{F6D8B39D-FC09-42B4-AF38-EACBE5AB3333}" name="Column13046"/>
    <tableColumn id="13052" xr3:uid="{C5930CA0-CDF5-437E-B887-2B2BBDC58C2C}" name="Column13047"/>
    <tableColumn id="13053" xr3:uid="{53CA7496-0F08-449F-B28D-BEF3A3F1F0DF}" name="Column13048"/>
    <tableColumn id="13054" xr3:uid="{072BA6B9-45DE-4DFD-83B9-3832705A7405}" name="Column13049"/>
    <tableColumn id="13055" xr3:uid="{E063DDB7-27C4-4874-8EE3-BDC62E1D6533}" name="Column13050"/>
    <tableColumn id="13056" xr3:uid="{94417C5C-2F1E-4AF2-AF50-D88B558C3A0C}" name="Column13051"/>
    <tableColumn id="13057" xr3:uid="{B757E4CF-9073-45E7-B1D2-1DAAAA2BF405}" name="Column13052"/>
    <tableColumn id="13058" xr3:uid="{DAD1C5A3-1A7B-4876-B264-56FE36820FD9}" name="Column13053"/>
    <tableColumn id="13059" xr3:uid="{B9BB8067-424A-489A-A3E7-B2793DCD4631}" name="Column13054"/>
    <tableColumn id="13060" xr3:uid="{132504A8-52AE-4EA1-ACB0-2230E0EBAA90}" name="Column13055"/>
    <tableColumn id="13061" xr3:uid="{BE7179B1-B138-4CEB-B6F0-42618F739365}" name="Column13056"/>
    <tableColumn id="13062" xr3:uid="{3CE2A20F-9B52-4204-96F7-72DAC652EFCA}" name="Column13057"/>
    <tableColumn id="13063" xr3:uid="{6AB4A070-7C75-4F21-A32F-629270C86F44}" name="Column13058"/>
    <tableColumn id="13064" xr3:uid="{8CF2548C-5C97-4E47-BB91-0602732DC372}" name="Column13059"/>
    <tableColumn id="13065" xr3:uid="{B37DE0E3-9BC9-47C4-89F8-07241D15467F}" name="Column13060"/>
    <tableColumn id="13066" xr3:uid="{397D26F3-F447-4746-8470-EF7D25F85B04}" name="Column13061"/>
    <tableColumn id="13067" xr3:uid="{E30BA7D9-662E-4E9E-8B6D-D0A0F06DAD7E}" name="Column13062"/>
    <tableColumn id="13068" xr3:uid="{1726B9F3-7703-498B-B56E-54360D574727}" name="Column13063"/>
    <tableColumn id="13069" xr3:uid="{1138BA20-74BB-4877-A7BE-0554266CA9EC}" name="Column13064"/>
    <tableColumn id="13070" xr3:uid="{4C59CF6E-7E17-4915-BE0E-3D8559B4DCAE}" name="Column13065"/>
    <tableColumn id="13071" xr3:uid="{511FA91B-2FE4-42DF-920B-EFE2ED28E996}" name="Column13066"/>
    <tableColumn id="13072" xr3:uid="{0FD14FE8-F128-495D-86FD-40CF71C2F876}" name="Column13067"/>
    <tableColumn id="13073" xr3:uid="{EE51289C-5BD9-4FE2-B673-E89C30ACAF84}" name="Column13068"/>
    <tableColumn id="13074" xr3:uid="{9831F583-9482-4666-8BD3-6FC9F9616FAD}" name="Column13069"/>
    <tableColumn id="13075" xr3:uid="{9D3612F8-EDC2-4A53-921E-89C49EB50648}" name="Column13070"/>
    <tableColumn id="13076" xr3:uid="{9B257CCD-4633-4697-8714-B8AC5B7BD845}" name="Column13071"/>
    <tableColumn id="13077" xr3:uid="{D32FF405-1360-41D6-85D6-1083B109B622}" name="Column13072"/>
    <tableColumn id="13078" xr3:uid="{F244402E-6A57-483D-B26E-14B5D12AEB18}" name="Column13073"/>
    <tableColumn id="13079" xr3:uid="{DB21CC70-BDF8-4050-B126-33654CF08C84}" name="Column13074"/>
    <tableColumn id="13080" xr3:uid="{3FF0430A-698E-4718-BDD0-C2AA84C3BA7D}" name="Column13075"/>
    <tableColumn id="13081" xr3:uid="{A8160C5C-B11E-48EE-8929-D41B67A2AE18}" name="Column13076"/>
    <tableColumn id="13082" xr3:uid="{380CD0A1-8726-4689-8D09-C1BA93BA587C}" name="Column13077"/>
    <tableColumn id="13083" xr3:uid="{41F13126-1108-41C1-89AE-D6BC84A54289}" name="Column13078"/>
    <tableColumn id="13084" xr3:uid="{1D2D97A5-CED4-4CE0-8B76-F282D467A350}" name="Column13079"/>
    <tableColumn id="13085" xr3:uid="{27F51C12-C769-4C5A-AB8E-F464BF6F3C1A}" name="Column13080"/>
    <tableColumn id="13086" xr3:uid="{2D5C919F-5673-4B31-A674-1D67CE558E33}" name="Column13081"/>
    <tableColumn id="13087" xr3:uid="{A18780B5-FF64-4D33-A375-2CB9252FEB51}" name="Column13082"/>
    <tableColumn id="13088" xr3:uid="{2A402991-9C82-427D-801D-E2A70559DAF6}" name="Column13083"/>
    <tableColumn id="13089" xr3:uid="{2348CB7D-CC17-4275-9594-38E2B55C1577}" name="Column13084"/>
    <tableColumn id="13090" xr3:uid="{17C77B5A-68D5-4B7D-8A3E-692CD2232C67}" name="Column13085"/>
    <tableColumn id="13091" xr3:uid="{F1128727-038B-4167-9CFA-33CCB2B38DBF}" name="Column13086"/>
    <tableColumn id="13092" xr3:uid="{0A866242-3DFD-434E-A70D-E1798CC76ECC}" name="Column13087"/>
    <tableColumn id="13093" xr3:uid="{D30CA6F2-EC37-4203-8564-9036E7D07CA0}" name="Column13088"/>
    <tableColumn id="13094" xr3:uid="{49C57C3A-51C6-457B-8416-908619E53162}" name="Column13089"/>
    <tableColumn id="13095" xr3:uid="{CD30FE9D-6FA5-42F8-8165-FC366BBA5793}" name="Column13090"/>
    <tableColumn id="13096" xr3:uid="{5D2F9B7D-35D1-4E0D-B8BF-B4EC2DDCDC76}" name="Column13091"/>
    <tableColumn id="13097" xr3:uid="{8E4AA953-B55F-4C09-9AD3-689EFBD2AA55}" name="Column13092"/>
    <tableColumn id="13098" xr3:uid="{8B48653B-9A83-467A-8406-17D406653BFD}" name="Column13093"/>
    <tableColumn id="13099" xr3:uid="{1429A41F-8680-4102-872F-FFF84D34AA99}" name="Column13094"/>
    <tableColumn id="13100" xr3:uid="{15A2AE2C-6618-49C5-B6A0-C4F3A6D66318}" name="Column13095"/>
    <tableColumn id="13101" xr3:uid="{4F9FD9FA-4060-4962-A774-098223A0EB6E}" name="Column13096"/>
    <tableColumn id="13102" xr3:uid="{6DC53D1B-9202-474F-9D53-120FBD9AE5E9}" name="Column13097"/>
    <tableColumn id="13103" xr3:uid="{F92B5A42-0F98-4A87-9696-08AE64225C42}" name="Column13098"/>
    <tableColumn id="13104" xr3:uid="{E499E008-2216-4470-B83E-CF36735DFF12}" name="Column13099"/>
    <tableColumn id="13105" xr3:uid="{22631413-42A9-4191-BC64-AD73D91D2441}" name="Column13100"/>
    <tableColumn id="13106" xr3:uid="{CAB15C3E-02B4-4855-8FD5-4D476A315999}" name="Column13101"/>
    <tableColumn id="13107" xr3:uid="{EB166BD0-4CD8-40FB-8549-E4B02178C56F}" name="Column13102"/>
    <tableColumn id="13108" xr3:uid="{F11E11AB-0BA4-4438-B727-7069F0D96B79}" name="Column13103"/>
    <tableColumn id="13109" xr3:uid="{3F17EB74-22AE-4DA6-BD1B-9BB04F1750D9}" name="Column13104"/>
    <tableColumn id="13110" xr3:uid="{E5082F60-8707-4E78-A0A3-0B016FAF28DF}" name="Column13105"/>
    <tableColumn id="13111" xr3:uid="{BFB4AF23-06E9-4F46-AC2B-A295265E1686}" name="Column13106"/>
    <tableColumn id="13112" xr3:uid="{AAA6D2F7-7B97-4B30-AC93-358F8592052B}" name="Column13107"/>
    <tableColumn id="13113" xr3:uid="{F7A79FCA-51D2-4B5E-A4B9-37A127083F65}" name="Column13108"/>
    <tableColumn id="13114" xr3:uid="{38B7133E-6F91-450B-82B3-A972E4C4493A}" name="Column13109"/>
    <tableColumn id="13115" xr3:uid="{1EAC7AC4-AE0B-4B37-BF4F-C21664C9087A}" name="Column13110"/>
    <tableColumn id="13116" xr3:uid="{3FEDB693-2FDF-4CBD-9CF6-D5460B5AD6A1}" name="Column13111"/>
    <tableColumn id="13117" xr3:uid="{B4E9D6C2-E9E7-4EF7-8BA5-EF0E838FB7B5}" name="Column13112"/>
    <tableColumn id="13118" xr3:uid="{A49FEBE5-18E2-4ED0-A364-1B0312299843}" name="Column13113"/>
    <tableColumn id="13119" xr3:uid="{B44172C0-3D1A-4538-9D25-22BFBAFCF12B}" name="Column13114"/>
    <tableColumn id="13120" xr3:uid="{709EADFE-1312-4DDF-BB91-AB14D991EEA4}" name="Column13115"/>
    <tableColumn id="13121" xr3:uid="{F30E6D13-6B1D-45CB-BAB6-2EC04C44DE1C}" name="Column13116"/>
    <tableColumn id="13122" xr3:uid="{F4509181-EE97-44CD-B1E0-89677F53E3D3}" name="Column13117"/>
    <tableColumn id="13123" xr3:uid="{2E0E2C3D-DC37-4B5F-8E19-A30F26407C28}" name="Column13118"/>
    <tableColumn id="13124" xr3:uid="{8089CE74-C734-4C7E-B89A-BB19AB1DC15E}" name="Column13119"/>
    <tableColumn id="13125" xr3:uid="{48A404D0-833E-4689-9FC9-B32E2D143B2E}" name="Column13120"/>
    <tableColumn id="13126" xr3:uid="{16AA852F-37E7-48E5-A033-EC5C93DA18B1}" name="Column13121"/>
    <tableColumn id="13127" xr3:uid="{C0D1A69F-6B9F-4BEE-A43A-615C72C7565A}" name="Column13122"/>
    <tableColumn id="13128" xr3:uid="{06624C4A-AEFD-41C8-A66E-24434C7A0333}" name="Column13123"/>
    <tableColumn id="13129" xr3:uid="{248E77C0-15C3-412A-9460-C98C1198FC0E}" name="Column13124"/>
    <tableColumn id="13130" xr3:uid="{3F924FAB-85E8-45F3-A073-19661B0C79F0}" name="Column13125"/>
    <tableColumn id="13131" xr3:uid="{FFD10BD4-2D0D-4C14-ADA1-D3529783CDDF}" name="Column13126"/>
    <tableColumn id="13132" xr3:uid="{A34E2887-FEB6-497C-9597-C6C2B11E8210}" name="Column13127"/>
    <tableColumn id="13133" xr3:uid="{5C76F2DD-356C-42B3-8F1C-D70F7FE64622}" name="Column13128"/>
    <tableColumn id="13134" xr3:uid="{2883E730-209A-48BB-9228-03BEABB04FE8}" name="Column13129"/>
    <tableColumn id="13135" xr3:uid="{55AD05BF-BB17-49B0-A617-E062586D6DEF}" name="Column13130"/>
    <tableColumn id="13136" xr3:uid="{A58CC838-D367-4526-8E4F-F6F63E1C4D73}" name="Column13131"/>
    <tableColumn id="13137" xr3:uid="{C72EA4FC-845B-4D6E-BE7D-FD2FD9CD2B73}" name="Column13132"/>
    <tableColumn id="13138" xr3:uid="{AD27489C-EAA5-4C0B-85DC-574FA1310438}" name="Column13133"/>
    <tableColumn id="13139" xr3:uid="{0AF4AA9C-C424-4AD8-9A5F-BC48DA78D97E}" name="Column13134"/>
    <tableColumn id="13140" xr3:uid="{C889F6AE-ACAA-499A-A16F-D97E40C4FA27}" name="Column13135"/>
    <tableColumn id="13141" xr3:uid="{E9C076B0-7078-4A09-AF79-856096551E11}" name="Column13136"/>
    <tableColumn id="13142" xr3:uid="{64E83E0E-871F-41F6-9169-67BFBD51FA98}" name="Column13137"/>
    <tableColumn id="13143" xr3:uid="{819C07BB-04B1-4465-9C34-5EC19939A33F}" name="Column13138"/>
    <tableColumn id="13144" xr3:uid="{0CA49BDF-0A5B-4B78-8612-B59CF0762904}" name="Column13139"/>
    <tableColumn id="13145" xr3:uid="{E1219B7F-071D-4303-9BC1-CC3027579732}" name="Column13140"/>
    <tableColumn id="13146" xr3:uid="{B826B16D-6101-4054-9703-A7472C765C4A}" name="Column13141"/>
    <tableColumn id="13147" xr3:uid="{7ABF0550-6A56-4149-9AAB-C717CF9F4BEE}" name="Column13142"/>
    <tableColumn id="13148" xr3:uid="{7C6EE0CA-13B6-4CC6-9BAA-DE16A6662BC3}" name="Column13143"/>
    <tableColumn id="13149" xr3:uid="{B4DD007F-F0EC-496B-9B45-1B1E7B098C99}" name="Column13144"/>
    <tableColumn id="13150" xr3:uid="{41F842DB-EC82-430D-A59F-BD1903DAECEE}" name="Column13145"/>
    <tableColumn id="13151" xr3:uid="{28BED5FE-4093-4563-9C5B-4B6C545E287D}" name="Column13146"/>
    <tableColumn id="13152" xr3:uid="{85A1202C-6611-49C7-AE34-EA41B8E5B1A8}" name="Column13147"/>
    <tableColumn id="13153" xr3:uid="{4E2467E6-D6D1-4B21-89B0-F54F08954CCC}" name="Column13148"/>
    <tableColumn id="13154" xr3:uid="{1A59FDD9-DAD0-472A-8A89-772130D1444C}" name="Column13149"/>
    <tableColumn id="13155" xr3:uid="{4B592E98-3BCF-4749-BB6F-CBFDC9A298E7}" name="Column13150"/>
    <tableColumn id="13156" xr3:uid="{5C3164EF-9E85-4A9F-9CCF-B3F3ACFC40E5}" name="Column13151"/>
    <tableColumn id="13157" xr3:uid="{5FE8F960-A1F9-4423-A384-1115F1F2627D}" name="Column13152"/>
    <tableColumn id="13158" xr3:uid="{865161E7-B505-4F21-99C7-7C931853D521}" name="Column13153"/>
    <tableColumn id="13159" xr3:uid="{F7A34D53-E4D3-4096-94B7-51919438D138}" name="Column13154"/>
    <tableColumn id="13160" xr3:uid="{0300B933-E4C3-43F5-8E91-17ABBE07FEC4}" name="Column13155"/>
    <tableColumn id="13161" xr3:uid="{AC68AD28-B396-4233-B857-93B2B40AEE1F}" name="Column13156"/>
    <tableColumn id="13162" xr3:uid="{2F01B11A-08B3-43DD-B1AA-5BBE65FFDD76}" name="Column13157"/>
    <tableColumn id="13163" xr3:uid="{7364BBCB-8C08-40FE-AF03-C208DF68D7B6}" name="Column13158"/>
    <tableColumn id="13164" xr3:uid="{C8570AB2-39C5-402C-BC33-1DBFE270E800}" name="Column13159"/>
    <tableColumn id="13165" xr3:uid="{4A0C03AA-7259-4EF6-8E21-BE1FBE9299A1}" name="Column13160"/>
    <tableColumn id="13166" xr3:uid="{4A911700-2BF9-48BE-B29C-9A911D4E024E}" name="Column13161"/>
    <tableColumn id="13167" xr3:uid="{B6D6DA5C-2687-4926-BED0-8DADEE169C1A}" name="Column13162"/>
    <tableColumn id="13168" xr3:uid="{CA9BE7B1-5E5E-426A-8086-1256C65B6E18}" name="Column13163"/>
    <tableColumn id="13169" xr3:uid="{D90A9A58-F2DC-450B-AEB1-FA2210EB9E86}" name="Column13164"/>
    <tableColumn id="13170" xr3:uid="{C8088EA0-9676-4C6F-80F5-09A8D1F09778}" name="Column13165"/>
    <tableColumn id="13171" xr3:uid="{62E23BCC-5B0A-4A6C-880B-2869E5043E89}" name="Column13166"/>
    <tableColumn id="13172" xr3:uid="{D1244223-01E9-4327-815D-45A938217D87}" name="Column13167"/>
    <tableColumn id="13173" xr3:uid="{FA51E2D1-DE8A-47E3-9B99-9A73D5E7FFCE}" name="Column13168"/>
    <tableColumn id="13174" xr3:uid="{CA246DC4-0CCD-496C-8457-FCB33BC91DB0}" name="Column13169"/>
    <tableColumn id="13175" xr3:uid="{ECFE13D3-3276-4C4A-86BB-4760AA8EDCC3}" name="Column13170"/>
    <tableColumn id="13176" xr3:uid="{C21AB3CD-687C-4B95-BF36-6C3E4FC20B8A}" name="Column13171"/>
    <tableColumn id="13177" xr3:uid="{FC52B229-C135-4DD8-A468-CC6AEE4354AA}" name="Column13172"/>
    <tableColumn id="13178" xr3:uid="{C386B613-6632-4A91-8FF6-3DFE4B8BC168}" name="Column13173"/>
    <tableColumn id="13179" xr3:uid="{FB7A69FD-6323-4311-AFF2-5513372C1EFD}" name="Column13174"/>
    <tableColumn id="13180" xr3:uid="{0FF2F4CF-2CFC-4DE1-A468-3C0C45FB5A9B}" name="Column13175"/>
    <tableColumn id="13181" xr3:uid="{97B3E2A4-787E-4FA5-AA20-3D9FD70BDD1F}" name="Column13176"/>
    <tableColumn id="13182" xr3:uid="{03067CD9-008D-4142-8D8B-089FD707C281}" name="Column13177"/>
    <tableColumn id="13183" xr3:uid="{11010185-1E87-4175-B4E4-A597B02A4CE8}" name="Column13178"/>
    <tableColumn id="13184" xr3:uid="{A289393F-4C33-48F3-9EB3-903C5AF7AA10}" name="Column13179"/>
    <tableColumn id="13185" xr3:uid="{BD97AE07-8349-46C9-873B-786BC95FE8E5}" name="Column13180"/>
    <tableColumn id="13186" xr3:uid="{2B788206-9039-49EC-8786-B02BFAFD40D2}" name="Column13181"/>
    <tableColumn id="13187" xr3:uid="{CCF2CA20-D452-4D54-9F2C-A6DDD74F1E91}" name="Column13182"/>
    <tableColumn id="13188" xr3:uid="{4C994522-A728-4EC3-810B-90BDEC66A0BE}" name="Column13183"/>
    <tableColumn id="13189" xr3:uid="{55EFF8A3-C0FB-49C8-AAE9-89C1E5AB3B95}" name="Column13184"/>
    <tableColumn id="13190" xr3:uid="{C60A2D01-F94B-4090-A235-2728B5C1885F}" name="Column13185"/>
    <tableColumn id="13191" xr3:uid="{FA7F650C-85FF-4A8E-AD37-9D10D531435C}" name="Column13186"/>
    <tableColumn id="13192" xr3:uid="{62D304DF-95CF-402D-BCA4-E18FE5D3D5DB}" name="Column13187"/>
    <tableColumn id="13193" xr3:uid="{D805B7A4-2EE6-4C84-883A-9411C4C37FC5}" name="Column13188"/>
    <tableColumn id="13194" xr3:uid="{84092F4D-F0D5-4B32-BEB0-9811A1CA5172}" name="Column13189"/>
    <tableColumn id="13195" xr3:uid="{8DC32DC5-D7EF-4CD1-A88E-982F5E43BCAE}" name="Column13190"/>
    <tableColumn id="13196" xr3:uid="{D5539E86-2098-47B3-B232-7AEE57EF0806}" name="Column13191"/>
    <tableColumn id="13197" xr3:uid="{F942FD25-B798-4951-BC5A-B948FBD75215}" name="Column13192"/>
    <tableColumn id="13198" xr3:uid="{03CDFD25-02DB-46F9-91B7-F7F575CBE369}" name="Column13193"/>
    <tableColumn id="13199" xr3:uid="{1B74F578-3F41-4C71-993B-C0C35BD211B2}" name="Column13194"/>
    <tableColumn id="13200" xr3:uid="{A3CDAD40-FBFE-4674-AE70-E2D147DD81D7}" name="Column13195"/>
    <tableColumn id="13201" xr3:uid="{77706EFB-11ED-4CBE-A0D4-3AABBC71AF42}" name="Column13196"/>
    <tableColumn id="13202" xr3:uid="{B4FB3ECC-43C3-4D73-A370-C2B83CBC520D}" name="Column13197"/>
    <tableColumn id="13203" xr3:uid="{FFB0AEE1-66B3-4E02-BF23-BBD84BD1B043}" name="Column13198"/>
    <tableColumn id="13204" xr3:uid="{EA46EC15-B254-4825-91B8-15381B59FA38}" name="Column13199"/>
    <tableColumn id="13205" xr3:uid="{A827E533-FDDD-464A-86DE-46592A4FEB99}" name="Column13200"/>
    <tableColumn id="13206" xr3:uid="{2DA56483-1734-4791-A8DE-0E064867F064}" name="Column13201"/>
    <tableColumn id="13207" xr3:uid="{B1A3D364-076F-42F2-A6AA-696FC2F1E20F}" name="Column13202"/>
    <tableColumn id="13208" xr3:uid="{AF3E1198-E766-4760-B7AA-5F49340DB06C}" name="Column13203"/>
    <tableColumn id="13209" xr3:uid="{F2F4E40B-DB09-4B6F-9B28-D2C4F92AD816}" name="Column13204"/>
    <tableColumn id="13210" xr3:uid="{979C394D-DB61-4A6E-A489-958F1A55CCF8}" name="Column13205"/>
    <tableColumn id="13211" xr3:uid="{A9AA3C96-CB27-4660-A265-7F42BF27E4AE}" name="Column13206"/>
    <tableColumn id="13212" xr3:uid="{DCC9CEF5-5FE6-42BA-AB9B-50C2365B0333}" name="Column13207"/>
    <tableColumn id="13213" xr3:uid="{2449464E-7C21-4F49-BEAD-71C77A16BB63}" name="Column13208"/>
    <tableColumn id="13214" xr3:uid="{4C9278BC-152C-4943-8DC8-A56D15EF6FF5}" name="Column13209"/>
    <tableColumn id="13215" xr3:uid="{1EFF56E8-F092-42C3-BBF9-479B66194406}" name="Column13210"/>
    <tableColumn id="13216" xr3:uid="{86E513EC-3B86-4B24-92FF-1CFA81BD727C}" name="Column13211"/>
    <tableColumn id="13217" xr3:uid="{805BCFC3-BA02-48D2-9B6D-1267F6130A34}" name="Column13212"/>
    <tableColumn id="13218" xr3:uid="{969268C7-ED6A-4319-8064-E8D1EB23A2BC}" name="Column13213"/>
    <tableColumn id="13219" xr3:uid="{60B9FC8F-A488-471C-9711-C2B5F643A9C5}" name="Column13214"/>
    <tableColumn id="13220" xr3:uid="{5C6536FC-B6C0-49EA-9F9E-747442195608}" name="Column13215"/>
    <tableColumn id="13221" xr3:uid="{74C10EFA-E90C-45C2-A7EF-0B2ADFFD6AE9}" name="Column13216"/>
    <tableColumn id="13222" xr3:uid="{46E7302B-C6BF-408F-9AE3-4290E1C5417D}" name="Column13217"/>
    <tableColumn id="13223" xr3:uid="{6AB7383E-49FD-4F71-9490-4AAADD83F19A}" name="Column13218"/>
    <tableColumn id="13224" xr3:uid="{6DE11D2D-CB44-4364-9EFC-4D0F7F5F4643}" name="Column13219"/>
    <tableColumn id="13225" xr3:uid="{CEBBB5E8-7F94-4FEE-8C2E-C5E62B581151}" name="Column13220"/>
    <tableColumn id="13226" xr3:uid="{797A7E53-C292-49DC-932D-4695019D6B7F}" name="Column13221"/>
    <tableColumn id="13227" xr3:uid="{8178E748-1207-4720-B913-C07C00D7BEE9}" name="Column13222"/>
    <tableColumn id="13228" xr3:uid="{D4F502D0-3052-4541-B5B6-1D9B88A89A4C}" name="Column13223"/>
    <tableColumn id="13229" xr3:uid="{CC01323D-BC55-4160-ADFA-0EADED006380}" name="Column13224"/>
    <tableColumn id="13230" xr3:uid="{FF919132-BA1B-4442-AC0D-3A2DFB803499}" name="Column13225"/>
    <tableColumn id="13231" xr3:uid="{6DB5421F-ADB6-4EC6-9ADA-D053F083B626}" name="Column13226"/>
    <tableColumn id="13232" xr3:uid="{9639DEC8-478D-4E31-BAFA-86605C0536A1}" name="Column13227"/>
    <tableColumn id="13233" xr3:uid="{67B792D3-0DE1-4AC4-8796-37585D9A157D}" name="Column13228"/>
    <tableColumn id="13234" xr3:uid="{5035571A-0655-42CC-A5D1-779CE76A656F}" name="Column13229"/>
    <tableColumn id="13235" xr3:uid="{F1E573F7-0758-4234-AE5A-1281F520E34A}" name="Column13230"/>
    <tableColumn id="13236" xr3:uid="{5B979B7A-3071-42A3-B9A8-A67A4FB7D4FD}" name="Column13231"/>
    <tableColumn id="13237" xr3:uid="{062689F1-883E-474A-B71E-BBBC50A54854}" name="Column13232"/>
    <tableColumn id="13238" xr3:uid="{D14A5E9B-BDF0-4E97-92C4-8B9B0D5F5E15}" name="Column13233"/>
    <tableColumn id="13239" xr3:uid="{81A704FA-3227-4512-88B8-B38814A06920}" name="Column13234"/>
    <tableColumn id="13240" xr3:uid="{91CE4ABC-EE43-479F-9D6E-1E39BF7B7607}" name="Column13235"/>
    <tableColumn id="13241" xr3:uid="{D33B6563-4544-4978-A60F-F27ADCBA79EE}" name="Column13236"/>
    <tableColumn id="13242" xr3:uid="{D55415D7-3A8A-441A-99FF-2DBEC5B5CF72}" name="Column13237"/>
    <tableColumn id="13243" xr3:uid="{4A4583C3-EC29-4519-BA28-E053EA411ADD}" name="Column13238"/>
    <tableColumn id="13244" xr3:uid="{58D23377-6754-48B7-97DC-0608E5D7E48B}" name="Column13239"/>
    <tableColumn id="13245" xr3:uid="{9E2B19CD-5C5A-4A67-BF95-3EAAC9C92739}" name="Column13240"/>
    <tableColumn id="13246" xr3:uid="{9F43B1E3-EB45-40D1-80FC-D16475C7925C}" name="Column13241"/>
    <tableColumn id="13247" xr3:uid="{FC5B7AB9-9D88-45E8-84BD-D32B09D9F5C5}" name="Column13242"/>
    <tableColumn id="13248" xr3:uid="{57A0FFCD-73AE-4EA8-BE68-F866BC83BD91}" name="Column13243"/>
    <tableColumn id="13249" xr3:uid="{BA37A6F2-AD89-421B-A5B4-86663533FF69}" name="Column13244"/>
    <tableColumn id="13250" xr3:uid="{35AC1E33-6FA7-4A31-869B-3BC89C16C8F7}" name="Column13245"/>
    <tableColumn id="13251" xr3:uid="{D4D5D531-6B8A-41FA-8314-175BB663777C}" name="Column13246"/>
    <tableColumn id="13252" xr3:uid="{5C6075F1-83AB-4CF4-8282-BE1C5C133C16}" name="Column13247"/>
    <tableColumn id="13253" xr3:uid="{B7466F13-509E-4933-8F24-073B8D6C2F23}" name="Column13248"/>
    <tableColumn id="13254" xr3:uid="{F4F58797-8956-4AC8-BA6F-4698AD79C81B}" name="Column13249"/>
    <tableColumn id="13255" xr3:uid="{DB01E7C3-37C3-45C7-80B5-1C9E050A8552}" name="Column13250"/>
    <tableColumn id="13256" xr3:uid="{305F2409-4FEF-456A-8114-0A90008FD6E7}" name="Column13251"/>
    <tableColumn id="13257" xr3:uid="{D04A696E-8BFA-47AB-B98F-EA304176C591}" name="Column13252"/>
    <tableColumn id="13258" xr3:uid="{EBEBA91A-FC13-4EAD-B893-9C0B4A94416A}" name="Column13253"/>
    <tableColumn id="13259" xr3:uid="{19D46854-D667-41AD-B0AA-6D6C19FAB3F7}" name="Column13254"/>
    <tableColumn id="13260" xr3:uid="{6A171B9D-96DB-40E7-8E2D-26DF351080F1}" name="Column13255"/>
    <tableColumn id="13261" xr3:uid="{7C03E3D7-2CE2-41BE-B890-367963C81861}" name="Column13256"/>
    <tableColumn id="13262" xr3:uid="{24E5988F-46D6-44D8-82F2-37B7151D84AE}" name="Column13257"/>
    <tableColumn id="13263" xr3:uid="{0C095FAA-7A01-4771-B3D9-F7E27FB6FC3D}" name="Column13258"/>
    <tableColumn id="13264" xr3:uid="{5B615A71-6E08-4BE2-8D27-4B7115EE25E1}" name="Column13259"/>
    <tableColumn id="13265" xr3:uid="{0946E16B-4D56-440D-9BB7-147CA1EDF0A3}" name="Column13260"/>
    <tableColumn id="13266" xr3:uid="{EE406179-5A97-4214-99DE-8B2CE2F3C7F3}" name="Column13261"/>
    <tableColumn id="13267" xr3:uid="{2476CCC3-1CE9-4E9E-A9A9-18B60FB65910}" name="Column13262"/>
    <tableColumn id="13268" xr3:uid="{100763EE-C2F5-4583-9D0C-CDB0753FE468}" name="Column13263"/>
    <tableColumn id="13269" xr3:uid="{374A20FA-9C1C-4C40-A5A5-713B6707AC4C}" name="Column13264"/>
    <tableColumn id="13270" xr3:uid="{2E7E930E-F731-48FE-A86B-DEC875C6D2A0}" name="Column13265"/>
    <tableColumn id="13271" xr3:uid="{B5AEB224-027B-4F75-B40C-6864615C8329}" name="Column13266"/>
    <tableColumn id="13272" xr3:uid="{B04E5C53-3FB0-4B58-B899-7A58551B2609}" name="Column13267"/>
    <tableColumn id="13273" xr3:uid="{B3892C1C-4FFF-4054-AD4C-5E085C2502B5}" name="Column13268"/>
    <tableColumn id="13274" xr3:uid="{791F0EB4-8624-45F2-9CA7-4EB8726EF031}" name="Column13269"/>
    <tableColumn id="13275" xr3:uid="{6CBBFEB0-3526-4119-91B6-44DDC7827BA6}" name="Column13270"/>
    <tableColumn id="13276" xr3:uid="{D460FEEA-E1D3-4C0D-AD8A-6A3CECA8341F}" name="Column13271"/>
    <tableColumn id="13277" xr3:uid="{E7D2450A-74E2-4139-9FFE-6313FE1D6FED}" name="Column13272"/>
    <tableColumn id="13278" xr3:uid="{DE751E1B-723B-4AB1-B904-89E1408E0BDB}" name="Column13273"/>
    <tableColumn id="13279" xr3:uid="{B921B65E-A56B-4F0C-9E45-A93E391BD7EC}" name="Column13274"/>
    <tableColumn id="13280" xr3:uid="{8D24D21C-D32B-43F2-9FB1-9DE3C2999DF6}" name="Column13275"/>
    <tableColumn id="13281" xr3:uid="{FAC02803-6A80-47FD-9F6B-26D71EFA0204}" name="Column13276"/>
    <tableColumn id="13282" xr3:uid="{AEF05488-7030-42F6-9E58-458324EFA3FA}" name="Column13277"/>
    <tableColumn id="13283" xr3:uid="{327E676F-C440-4A59-9B71-C8DDC6434FA6}" name="Column13278"/>
    <tableColumn id="13284" xr3:uid="{2055D574-F9D7-4CB2-93BB-26CBF9E297D6}" name="Column13279"/>
    <tableColumn id="13285" xr3:uid="{3F26D8F6-0D7A-4B2A-8BDE-3859BBCB06D0}" name="Column13280"/>
    <tableColumn id="13286" xr3:uid="{156BC098-CD1C-4BC7-A9EB-6EAB8D48169F}" name="Column13281"/>
    <tableColumn id="13287" xr3:uid="{D2C48EBC-384D-4329-97CE-619C0A92D0DB}" name="Column13282"/>
    <tableColumn id="13288" xr3:uid="{F1C837BE-A3B6-4069-BB05-C7EE99DFDA04}" name="Column13283"/>
    <tableColumn id="13289" xr3:uid="{C9554FDF-72D2-418A-97DE-5BD7CA5D21FD}" name="Column13284"/>
    <tableColumn id="13290" xr3:uid="{EB3FA9BB-9CA7-42F5-9AAE-D8E93621D807}" name="Column13285"/>
    <tableColumn id="13291" xr3:uid="{7A004067-EBC6-47F6-BE6B-D7AE08DB50EC}" name="Column13286"/>
    <tableColumn id="13292" xr3:uid="{B762D108-85F9-482F-800F-88B3B289E966}" name="Column13287"/>
    <tableColumn id="13293" xr3:uid="{398F5324-087C-4D3A-B638-020A80552F27}" name="Column13288"/>
    <tableColumn id="13294" xr3:uid="{9E0A9B47-B9F1-4333-B468-845903D42EFA}" name="Column13289"/>
    <tableColumn id="13295" xr3:uid="{E3CCD632-6B3C-412C-89E1-DC287FA5BEAA}" name="Column13290"/>
    <tableColumn id="13296" xr3:uid="{3E560BBF-08E0-49BE-8173-9E60013EF2F3}" name="Column13291"/>
    <tableColumn id="13297" xr3:uid="{DE6101EC-0ED1-4A7D-8308-28DEAEDA4825}" name="Column13292"/>
    <tableColumn id="13298" xr3:uid="{CD807AAC-22F2-48C9-8143-26C73B74E448}" name="Column13293"/>
    <tableColumn id="13299" xr3:uid="{58313157-4F1A-4F40-8322-C1A64054832F}" name="Column13294"/>
    <tableColumn id="13300" xr3:uid="{828BDF97-4385-441D-A84D-CBCDCA54A55A}" name="Column13295"/>
    <tableColumn id="13301" xr3:uid="{0075FC90-CC7C-421E-AA56-C5E53B533A2C}" name="Column13296"/>
    <tableColumn id="13302" xr3:uid="{35074A94-9097-40E0-ACF0-6AA14D318CB1}" name="Column13297"/>
    <tableColumn id="13303" xr3:uid="{018012DB-A0AC-4E4B-9489-87F130D0B4AB}" name="Column13298"/>
    <tableColumn id="13304" xr3:uid="{F0580690-CD14-4033-81DA-DC7CC5578F7B}" name="Column13299"/>
    <tableColumn id="13305" xr3:uid="{38335708-7B8D-430D-8557-BAAD7E27F699}" name="Column13300"/>
    <tableColumn id="13306" xr3:uid="{438370AE-B81F-4E88-AFB2-D4BD283CAC02}" name="Column13301"/>
    <tableColumn id="13307" xr3:uid="{46F2B2AF-74C7-47AE-9878-40008B293CD7}" name="Column13302"/>
    <tableColumn id="13308" xr3:uid="{BFF9A9DD-B9B6-4E0B-99D4-00CBD9AF740D}" name="Column13303"/>
    <tableColumn id="13309" xr3:uid="{B42EF09E-871E-40DF-9704-D9F4936DFBB1}" name="Column13304"/>
    <tableColumn id="13310" xr3:uid="{EBB27FF1-A929-4196-88A1-53FA95EFAA42}" name="Column13305"/>
    <tableColumn id="13311" xr3:uid="{4E1825B6-C612-41AE-99EB-845495BE6DC4}" name="Column13306"/>
    <tableColumn id="13312" xr3:uid="{3A475A99-AB25-4B80-9470-1FD0500F0F50}" name="Column13307"/>
    <tableColumn id="13313" xr3:uid="{DCE8F694-E095-47C6-BB6F-73C633BB9DFC}" name="Column13308"/>
    <tableColumn id="13314" xr3:uid="{8E75F170-AD1A-4C12-86E7-B41C252496B0}" name="Column13309"/>
    <tableColumn id="13315" xr3:uid="{D121EF32-C894-4A1C-A557-1EE2857784F6}" name="Column13310"/>
    <tableColumn id="13316" xr3:uid="{F990528C-C29C-4B21-B626-52830467C039}" name="Column13311"/>
    <tableColumn id="13317" xr3:uid="{CEB9293A-A5DE-41D8-AD2E-D58C90FBF1DD}" name="Column13312"/>
    <tableColumn id="13318" xr3:uid="{60703E7C-5F94-4EF9-AB0C-46321950590D}" name="Column13313"/>
    <tableColumn id="13319" xr3:uid="{68A1556E-23CE-490A-A11C-A7A9A3195E93}" name="Column13314"/>
    <tableColumn id="13320" xr3:uid="{8D03E371-7EED-4156-9B02-C4DFCD416BE4}" name="Column13315"/>
    <tableColumn id="13321" xr3:uid="{BE408A11-C432-4E0F-A444-B52A579ED9E7}" name="Column13316"/>
    <tableColumn id="13322" xr3:uid="{FE2F6FB4-1A4D-4139-ADDA-36AE17CC30F7}" name="Column13317"/>
    <tableColumn id="13323" xr3:uid="{C35714C0-0F84-4D5C-B845-87318BBA9516}" name="Column13318"/>
    <tableColumn id="13324" xr3:uid="{A8B431D6-58D4-4E7F-91F6-A6BD5AAA1A33}" name="Column13319"/>
    <tableColumn id="13325" xr3:uid="{4C4924BC-CD3A-44C4-9C5F-67696F6353C8}" name="Column13320"/>
    <tableColumn id="13326" xr3:uid="{295B1A4F-90B8-4EDB-93BF-20009FEB99E7}" name="Column13321"/>
    <tableColumn id="13327" xr3:uid="{B01620BA-8E2A-4E1C-A126-768586CF28B2}" name="Column13322"/>
    <tableColumn id="13328" xr3:uid="{FD6B4478-EA4F-4D5D-A3FD-8FD79B2E13AA}" name="Column13323"/>
    <tableColumn id="13329" xr3:uid="{05B5F925-9C65-435C-9FA6-3794FD7B808C}" name="Column13324"/>
    <tableColumn id="13330" xr3:uid="{41107278-6807-4A80-BCA0-0E97B5B59A29}" name="Column13325"/>
    <tableColumn id="13331" xr3:uid="{1A3147D1-77AC-4933-8CE6-E42F199F6B6D}" name="Column13326"/>
    <tableColumn id="13332" xr3:uid="{01EB6FB1-5897-461A-8B37-E18EF5164C6E}" name="Column13327"/>
    <tableColumn id="13333" xr3:uid="{84A393C7-B797-4DF2-BDE0-CE7DE0583C15}" name="Column13328"/>
    <tableColumn id="13334" xr3:uid="{13A8BB72-2884-4865-BD4D-8186B4E42952}" name="Column13329"/>
    <tableColumn id="13335" xr3:uid="{2BBFE19F-9EDD-4954-867C-FAC37393DD3D}" name="Column13330"/>
    <tableColumn id="13336" xr3:uid="{278D7DEC-1246-4597-B69A-0ACE6BF6F24D}" name="Column13331"/>
    <tableColumn id="13337" xr3:uid="{2940565C-42D6-4EA5-843B-84D72AD872D3}" name="Column13332"/>
    <tableColumn id="13338" xr3:uid="{93AE201C-05D4-4637-9B7D-AC55CBB1277F}" name="Column13333"/>
    <tableColumn id="13339" xr3:uid="{1697A32A-1C99-4CE5-9E82-43D5512E5906}" name="Column13334"/>
    <tableColumn id="13340" xr3:uid="{06ED4BCF-0583-4FFD-9986-6091E644046B}" name="Column13335"/>
    <tableColumn id="13341" xr3:uid="{52AEE142-0AD9-4EC1-B9A3-43C76CB09912}" name="Column13336"/>
    <tableColumn id="13342" xr3:uid="{C4335AED-463C-4BEF-909F-EB676E89301A}" name="Column13337"/>
    <tableColumn id="13343" xr3:uid="{B283F32B-92B7-4DE9-8FE7-36E097EF9F0A}" name="Column13338"/>
    <tableColumn id="13344" xr3:uid="{9E3A9B15-4BEF-4D2F-A9C4-46642CD0A00F}" name="Column13339"/>
    <tableColumn id="13345" xr3:uid="{76448DB9-85B8-4D19-9D25-A3030FC905A0}" name="Column13340"/>
    <tableColumn id="13346" xr3:uid="{CD06D404-F6DC-4E09-95DD-EDD22D003DE4}" name="Column13341"/>
    <tableColumn id="13347" xr3:uid="{67A28E5D-8ECF-4171-8C11-3C650E230D4E}" name="Column13342"/>
    <tableColumn id="13348" xr3:uid="{A0F2B398-1D5D-409F-9734-1FC53D497B52}" name="Column13343"/>
    <tableColumn id="13349" xr3:uid="{528BDF5F-FE31-4A77-A488-1A457BE43655}" name="Column13344"/>
    <tableColumn id="13350" xr3:uid="{D3480FEA-75F8-494C-96AD-B2A92AEE64B0}" name="Column13345"/>
    <tableColumn id="13351" xr3:uid="{F694B853-1820-40A6-8119-234B3B90FBFD}" name="Column13346"/>
    <tableColumn id="13352" xr3:uid="{F283DF5A-3E0C-408F-AC02-D80ACEC08469}" name="Column13347"/>
    <tableColumn id="13353" xr3:uid="{41954121-832C-4CBD-BEF8-235655A31B44}" name="Column13348"/>
    <tableColumn id="13354" xr3:uid="{A72703D0-3571-4CB8-AEDA-86B0D1937B7E}" name="Column13349"/>
    <tableColumn id="13355" xr3:uid="{E109AC18-8C5B-4E47-9313-4CEA446486B8}" name="Column13350"/>
    <tableColumn id="13356" xr3:uid="{F54C3940-7AD2-43F2-BC53-92A3E656435E}" name="Column13351"/>
    <tableColumn id="13357" xr3:uid="{65A2130B-2F3E-43CD-A373-117ACD95A47F}" name="Column13352"/>
    <tableColumn id="13358" xr3:uid="{E7CB212C-2415-4030-ADAE-A98233FB08EC}" name="Column13353"/>
    <tableColumn id="13359" xr3:uid="{A6493CBC-DEC3-4E1E-8BD1-648673F8B0EC}" name="Column13354"/>
    <tableColumn id="13360" xr3:uid="{D0BE7B3F-13E8-42B4-A61A-D6BCA15D148D}" name="Column13355"/>
    <tableColumn id="13361" xr3:uid="{3312D477-59C5-4EF2-891B-74E6989E6FF9}" name="Column13356"/>
    <tableColumn id="13362" xr3:uid="{8414169D-58A1-410B-A797-7763F67001D5}" name="Column13357"/>
    <tableColumn id="13363" xr3:uid="{A0BDB62C-5CCA-48F8-8DD6-9FA67CDD8BBA}" name="Column13358"/>
    <tableColumn id="13364" xr3:uid="{7FCB41CD-2764-43E9-817A-D910437A484B}" name="Column13359"/>
    <tableColumn id="13365" xr3:uid="{7F7B49FD-D468-48A5-B457-240E9C399D95}" name="Column13360"/>
    <tableColumn id="13366" xr3:uid="{C297719A-F6AD-40AF-857A-FC8AF8CA471C}" name="Column13361"/>
    <tableColumn id="13367" xr3:uid="{C1C820C1-D8DC-4B34-9835-0FCD15BFAE58}" name="Column13362"/>
    <tableColumn id="13368" xr3:uid="{E3A744ED-DA47-4C6F-88EC-3743E8DC7B7D}" name="Column13363"/>
    <tableColumn id="13369" xr3:uid="{626EC938-B95F-47CB-AC82-4CF3248FEFD4}" name="Column13364"/>
    <tableColumn id="13370" xr3:uid="{C0F0349F-0940-4BF0-A762-6A620BC908C0}" name="Column13365"/>
    <tableColumn id="13371" xr3:uid="{0677CBDC-2DE6-4C32-8922-3DE1C1347EE3}" name="Column13366"/>
    <tableColumn id="13372" xr3:uid="{60E331BF-43CE-49A7-ABF2-8F3FA6D0E3FA}" name="Column13367"/>
    <tableColumn id="13373" xr3:uid="{9C7ABCF2-8117-46A8-BE54-0097F76A6415}" name="Column13368"/>
    <tableColumn id="13374" xr3:uid="{D4720630-BF8B-48BE-AE3B-5E9D632AFE55}" name="Column13369"/>
    <tableColumn id="13375" xr3:uid="{CF5CB6F6-BC6C-486C-BA3B-8FF511A9FAF8}" name="Column13370"/>
    <tableColumn id="13376" xr3:uid="{D1598BB0-8EE8-408C-8D35-A1FDBFFB95FB}" name="Column13371"/>
    <tableColumn id="13377" xr3:uid="{2F15A0A7-3489-4EFA-853C-603297D6B6BF}" name="Column13372"/>
    <tableColumn id="13378" xr3:uid="{11BE606F-713E-4F8C-8929-89826EFF939B}" name="Column13373"/>
    <tableColumn id="13379" xr3:uid="{F2E1743F-5CEC-41B8-8A1C-9B90D6601AE0}" name="Column13374"/>
    <tableColumn id="13380" xr3:uid="{CD107A6D-E00A-4BCB-9B2D-A8AC9864E542}" name="Column13375"/>
    <tableColumn id="13381" xr3:uid="{984E5819-40D2-4DD4-8A7A-5942503D3BF6}" name="Column13376"/>
    <tableColumn id="13382" xr3:uid="{692E0019-11CB-4703-8E3C-25CC220B6231}" name="Column13377"/>
    <tableColumn id="13383" xr3:uid="{71D1323E-7935-4FD4-9C59-7FF21E52DC15}" name="Column13378"/>
    <tableColumn id="13384" xr3:uid="{CF12601E-6CCA-4FDC-87EB-8EFC4949FAAB}" name="Column13379"/>
    <tableColumn id="13385" xr3:uid="{B219967F-1086-45E8-9AA5-23A12B9B8587}" name="Column13380"/>
    <tableColumn id="13386" xr3:uid="{652D2887-D740-424C-BBD3-334CF79F84EB}" name="Column13381"/>
    <tableColumn id="13387" xr3:uid="{B12291D3-8D68-4EE5-BA03-7C7E2D2D4769}" name="Column13382"/>
    <tableColumn id="13388" xr3:uid="{65C8F957-FEB9-4909-B677-53EFEDA62B6C}" name="Column13383"/>
    <tableColumn id="13389" xr3:uid="{3DDBACA9-999C-4637-A7C4-B832B57A2CFF}" name="Column13384"/>
    <tableColumn id="13390" xr3:uid="{821F2D1B-770E-49D8-ABD0-C3B116BB4EC0}" name="Column13385"/>
    <tableColumn id="13391" xr3:uid="{15EBD659-C960-40BA-8AE7-4B61DF099E5C}" name="Column13386"/>
    <tableColumn id="13392" xr3:uid="{0834BBF3-FC8D-4970-BF55-8B7ABA9CD7A5}" name="Column13387"/>
    <tableColumn id="13393" xr3:uid="{D27EE267-580E-4B45-9AD5-04B66C2DCD6D}" name="Column13388"/>
    <tableColumn id="13394" xr3:uid="{2EA4F8A8-B803-4AA2-B85A-9FFC09B56ABB}" name="Column13389"/>
    <tableColumn id="13395" xr3:uid="{609A22E3-AAA1-4F4A-AD98-68949C4ADB84}" name="Column13390"/>
    <tableColumn id="13396" xr3:uid="{A6351EA2-6B8C-420F-939A-1044D8618F22}" name="Column13391"/>
    <tableColumn id="13397" xr3:uid="{4116359A-B91F-4F6C-ADBA-52592E896B8C}" name="Column13392"/>
    <tableColumn id="13398" xr3:uid="{3B4B023C-F4F3-40DA-878E-2D124F084724}" name="Column13393"/>
    <tableColumn id="13399" xr3:uid="{61CF99CD-D1D1-47A0-942F-4C05BDBF2E85}" name="Column13394"/>
    <tableColumn id="13400" xr3:uid="{079AAB56-6D33-41ED-A7BB-077300A7D807}" name="Column13395"/>
    <tableColumn id="13401" xr3:uid="{1C644F40-A5FD-48CD-9F37-F4B1A7B14E2E}" name="Column13396"/>
    <tableColumn id="13402" xr3:uid="{A0384AE9-6FC8-44E8-8890-639B202F965B}" name="Column13397"/>
    <tableColumn id="13403" xr3:uid="{2244A788-8825-420B-94F7-D2EC07275661}" name="Column13398"/>
    <tableColumn id="13404" xr3:uid="{B01F20EF-C981-4BCB-8825-64D549CEF772}" name="Column13399"/>
    <tableColumn id="13405" xr3:uid="{4DE7334B-144F-4F5A-B195-EEE7F424E7FC}" name="Column13400"/>
    <tableColumn id="13406" xr3:uid="{0756A048-98A6-443F-92A2-1616F345E25B}" name="Column13401"/>
    <tableColumn id="13407" xr3:uid="{6ABF1188-B0AC-4A93-ADF6-826AD37F8A42}" name="Column13402"/>
    <tableColumn id="13408" xr3:uid="{D66258D6-DDD3-4A0B-8A3D-8CDC1C06D72B}" name="Column13403"/>
    <tableColumn id="13409" xr3:uid="{1C41A6AA-61C8-4ABC-BD25-95A0C4C7DEB9}" name="Column13404"/>
    <tableColumn id="13410" xr3:uid="{CA780E92-B29F-411F-8875-DE126217414A}" name="Column13405"/>
    <tableColumn id="13411" xr3:uid="{85AE3F79-D5D7-48EC-98E3-C9B10D785B43}" name="Column13406"/>
    <tableColumn id="13412" xr3:uid="{33D5D413-2B31-4028-B35A-46CC4DC82100}" name="Column13407"/>
    <tableColumn id="13413" xr3:uid="{86E3F83D-1AE9-44AD-B78F-05CDC9A6488E}" name="Column13408"/>
    <tableColumn id="13414" xr3:uid="{6050BD31-CA4A-465A-8C3E-63BF8E67F9C4}" name="Column13409"/>
    <tableColumn id="13415" xr3:uid="{88B13999-2CC6-44AE-9BFF-5A1CEF37ACB8}" name="Column13410"/>
    <tableColumn id="13416" xr3:uid="{40736423-47F6-4D84-96F4-94D211BEBC60}" name="Column13411"/>
    <tableColumn id="13417" xr3:uid="{A7B05E35-C8AE-4FCE-896E-6513EF251342}" name="Column13412"/>
    <tableColumn id="13418" xr3:uid="{3A68F130-FF6D-4110-86B1-A6CEB4FD0AB5}" name="Column13413"/>
    <tableColumn id="13419" xr3:uid="{BC3FDCB1-06F9-40FB-BB6C-7039AF96D061}" name="Column13414"/>
    <tableColumn id="13420" xr3:uid="{AC259077-3900-4FB8-9F9F-F5A52E651773}" name="Column13415"/>
    <tableColumn id="13421" xr3:uid="{C114A05A-468B-4001-87CC-1EB171C44F47}" name="Column13416"/>
    <tableColumn id="13422" xr3:uid="{1C327C30-8D16-46C7-968C-1D1246B62B8D}" name="Column13417"/>
    <tableColumn id="13423" xr3:uid="{7E1B0E5D-731A-404D-BCFA-43731D42894F}" name="Column13418"/>
    <tableColumn id="13424" xr3:uid="{DCFEE682-522F-4756-BA67-661EB53B386B}" name="Column13419"/>
    <tableColumn id="13425" xr3:uid="{973C33B2-EACD-45D0-B275-046C6E2A5791}" name="Column13420"/>
    <tableColumn id="13426" xr3:uid="{AA1FE9AE-2EC2-40DD-9AD4-839C6F437010}" name="Column13421"/>
    <tableColumn id="13427" xr3:uid="{E1185223-1E88-4690-8692-863E255AAF20}" name="Column13422"/>
    <tableColumn id="13428" xr3:uid="{5D3531F6-74AB-4504-A17B-8F81403CF9CD}" name="Column13423"/>
    <tableColumn id="13429" xr3:uid="{2D45F246-C7F8-4025-8DA9-8EE212C6FFE9}" name="Column13424"/>
    <tableColumn id="13430" xr3:uid="{121D021D-80F4-4AF8-A041-B02DCA5232C6}" name="Column13425"/>
    <tableColumn id="13431" xr3:uid="{C69082BF-B7A2-4E7E-BF09-30E4A2D57E0B}" name="Column13426"/>
    <tableColumn id="13432" xr3:uid="{E443491E-89D4-4803-990F-2ACE6E841A87}" name="Column13427"/>
    <tableColumn id="13433" xr3:uid="{914AD059-AE0A-4A60-90BA-C390E2C4E7D7}" name="Column13428"/>
    <tableColumn id="13434" xr3:uid="{84063D96-098D-4278-9FE4-B3066CBA6B9A}" name="Column13429"/>
    <tableColumn id="13435" xr3:uid="{45C3459A-DD76-48DA-9892-B56B5B56CB01}" name="Column13430"/>
    <tableColumn id="13436" xr3:uid="{4A589792-25E9-43C4-A0CE-1B3538C5679F}" name="Column13431"/>
    <tableColumn id="13437" xr3:uid="{06EFA5E8-4359-45DB-BDEF-F75B4E37A55E}" name="Column13432"/>
    <tableColumn id="13438" xr3:uid="{AD91C74D-17A2-4370-BB94-A4E60D071CCE}" name="Column13433"/>
    <tableColumn id="13439" xr3:uid="{3A32253C-D426-4A89-A4BE-2458CD763B81}" name="Column13434"/>
    <tableColumn id="13440" xr3:uid="{6F781DAC-20D1-4D1C-A3AC-A52EADDB93E5}" name="Column13435"/>
    <tableColumn id="13441" xr3:uid="{577842F1-E4F6-4E9F-9750-7CD44A51C701}" name="Column13436"/>
    <tableColumn id="13442" xr3:uid="{389FEDB1-ACC9-43BE-AB4C-8A81EF48F295}" name="Column13437"/>
    <tableColumn id="13443" xr3:uid="{681AB399-CC34-48D1-BBC6-A9F49BA6FFB1}" name="Column13438"/>
    <tableColumn id="13444" xr3:uid="{9E609AD5-B252-44BA-AFFD-82FBA33D5AF2}" name="Column13439"/>
    <tableColumn id="13445" xr3:uid="{5FADCA82-9736-4F59-9C6C-3B74D71A4562}" name="Column13440"/>
    <tableColumn id="13446" xr3:uid="{55BE4E56-F4F5-4CF6-B9C3-2F1590C8BCAE}" name="Column13441"/>
    <tableColumn id="13447" xr3:uid="{45DD4789-2DED-45C0-BA8A-5F42918EE121}" name="Column13442"/>
    <tableColumn id="13448" xr3:uid="{8108AE0A-CF9C-449F-884C-1180D10B828F}" name="Column13443"/>
    <tableColumn id="13449" xr3:uid="{42E3ACFE-E881-4CA8-9D6F-EDE579FA690C}" name="Column13444"/>
    <tableColumn id="13450" xr3:uid="{E16CC8EC-A628-43C9-B3CC-1C497A3154FC}" name="Column13445"/>
    <tableColumn id="13451" xr3:uid="{C72BDD25-29B9-44F1-BE71-E71D7DAB3BEC}" name="Column13446"/>
    <tableColumn id="13452" xr3:uid="{03D869C5-DE00-41B3-9C76-DD28F9F61A83}" name="Column13447"/>
    <tableColumn id="13453" xr3:uid="{3867B74B-F879-4A66-B3F3-76BF6F8E2B2C}" name="Column13448"/>
    <tableColumn id="13454" xr3:uid="{667EC036-22ED-4AA3-9BFC-2E6BD78A3ED1}" name="Column13449"/>
    <tableColumn id="13455" xr3:uid="{1F1FF6AF-58F0-4E97-8DD8-651956DBB7E9}" name="Column13450"/>
    <tableColumn id="13456" xr3:uid="{964A11E0-D3C2-47A8-92E9-F0670C7232BA}" name="Column13451"/>
    <tableColumn id="13457" xr3:uid="{FF862385-0C4F-4BE2-8BFC-BF0385237A6E}" name="Column13452"/>
    <tableColumn id="13458" xr3:uid="{FCCF4C68-4FB6-4766-AA61-44B815D3EF7C}" name="Column13453"/>
    <tableColumn id="13459" xr3:uid="{8525721C-3D5E-43B4-B837-5DD24190897F}" name="Column13454"/>
    <tableColumn id="13460" xr3:uid="{9F9DA25C-7DCC-487D-98B8-F2A59652A6AF}" name="Column13455"/>
    <tableColumn id="13461" xr3:uid="{AC9F46AA-C98E-4209-BEE8-96C457252321}" name="Column13456"/>
    <tableColumn id="13462" xr3:uid="{D212F092-0465-4797-A4F8-6EE373EAA5FC}" name="Column13457"/>
    <tableColumn id="13463" xr3:uid="{8E0BEB79-1E53-47A2-9F20-219D6BD3EFBD}" name="Column13458"/>
    <tableColumn id="13464" xr3:uid="{14F1F072-2F9D-482D-8BA7-3CB6FDDF6C18}" name="Column13459"/>
    <tableColumn id="13465" xr3:uid="{5A6B6A57-A7FF-4629-9049-DC4A51778E2F}" name="Column13460"/>
    <tableColumn id="13466" xr3:uid="{9723EACD-B71D-48BA-A8D0-7B7659D7569C}" name="Column13461"/>
    <tableColumn id="13467" xr3:uid="{AA3C8551-A7C3-4772-A936-812A6806A2E4}" name="Column13462"/>
    <tableColumn id="13468" xr3:uid="{D8026AF9-A476-4B16-A7FE-10CA64C1D45B}" name="Column13463"/>
    <tableColumn id="13469" xr3:uid="{F13B9AC1-56CA-4CD1-BF92-79E99426D69B}" name="Column13464"/>
    <tableColumn id="13470" xr3:uid="{DFD7AE84-E098-4FBA-B34D-DBCB55D0BFED}" name="Column13465"/>
    <tableColumn id="13471" xr3:uid="{E102CD2D-4C09-4C02-8CB5-0BEB90FBEE41}" name="Column13466"/>
    <tableColumn id="13472" xr3:uid="{DCC18DF0-621C-4BA0-B248-DAACD2F51EEB}" name="Column13467"/>
    <tableColumn id="13473" xr3:uid="{23357186-5FEB-41F3-B99F-C6BF10B51E66}" name="Column13468"/>
    <tableColumn id="13474" xr3:uid="{0F1620B7-DADC-439D-A81E-7817240D2047}" name="Column13469"/>
    <tableColumn id="13475" xr3:uid="{BBBF3124-CCFE-4781-A532-103543F8723B}" name="Column13470"/>
    <tableColumn id="13476" xr3:uid="{B6ACF26C-B7D5-42A3-B32A-6CEADC537F9C}" name="Column13471"/>
    <tableColumn id="13477" xr3:uid="{2C62E5B2-879F-40E3-B916-9B95C670FB7A}" name="Column13472"/>
    <tableColumn id="13478" xr3:uid="{D0C9CC6B-EE6C-4A89-B534-6A99945F7441}" name="Column13473"/>
    <tableColumn id="13479" xr3:uid="{B6F755D5-A904-4E81-9DDC-1AF1AFF96CE8}" name="Column13474"/>
    <tableColumn id="13480" xr3:uid="{98B6C9FA-0A2E-470E-9B04-7E8ADA0CDD89}" name="Column13475"/>
    <tableColumn id="13481" xr3:uid="{784C6C4D-BD66-4B3A-936B-9A90C2917C2D}" name="Column13476"/>
    <tableColumn id="13482" xr3:uid="{47ED98B1-D2FF-4F94-93E0-2C3766DE2AB0}" name="Column13477"/>
    <tableColumn id="13483" xr3:uid="{7D9F2170-BDA1-4747-B1F4-4B8A5E9042C7}" name="Column13478"/>
    <tableColumn id="13484" xr3:uid="{00DA20B0-4338-4312-B445-8836D229FD38}" name="Column13479"/>
    <tableColumn id="13485" xr3:uid="{DC9A4F7C-5131-43A0-B381-30D450C1E42C}" name="Column13480"/>
    <tableColumn id="13486" xr3:uid="{4AF85838-CC77-4302-922B-69662866237F}" name="Column13481"/>
    <tableColumn id="13487" xr3:uid="{BEF7C6FD-D932-4362-8B49-57E575199B95}" name="Column13482"/>
    <tableColumn id="13488" xr3:uid="{489FD8EC-D681-4F7E-87B9-44546FAD2D64}" name="Column13483"/>
    <tableColumn id="13489" xr3:uid="{C860118D-83EA-44BE-B234-C48B4403152F}" name="Column13484"/>
    <tableColumn id="13490" xr3:uid="{30512F84-AC35-4095-B1B6-5068E4E7138E}" name="Column13485"/>
    <tableColumn id="13491" xr3:uid="{64AC065E-8A9E-4513-9880-BA37B1F36FC0}" name="Column13486"/>
    <tableColumn id="13492" xr3:uid="{9183BFAB-E1CC-4D72-AD79-39E0361F8BFA}" name="Column13487"/>
    <tableColumn id="13493" xr3:uid="{96104A67-9D7F-40F3-9D7D-7F597A0BAB81}" name="Column13488"/>
    <tableColumn id="13494" xr3:uid="{91495D08-0967-49CA-BDDF-5E0F8B1FF1ED}" name="Column13489"/>
    <tableColumn id="13495" xr3:uid="{AF5443B5-5576-45F5-A48F-396574374481}" name="Column13490"/>
    <tableColumn id="13496" xr3:uid="{354B5137-66A0-4EDD-8B00-3D9CEB4F7FB9}" name="Column13491"/>
    <tableColumn id="13497" xr3:uid="{95D613EB-6177-45FD-90FE-246E2538CF45}" name="Column13492"/>
    <tableColumn id="13498" xr3:uid="{877D02E4-2B66-4985-BE88-0767884378C2}" name="Column13493"/>
    <tableColumn id="13499" xr3:uid="{0055B58C-9585-4290-B395-CA7CF7019031}" name="Column13494"/>
    <tableColumn id="13500" xr3:uid="{91B0A823-4FF3-4D2D-8F9D-47735CDC58D6}" name="Column13495"/>
    <tableColumn id="13501" xr3:uid="{E97E1F49-54F7-45A0-9268-F9CF700CE532}" name="Column13496"/>
    <tableColumn id="13502" xr3:uid="{677587C9-A0D2-45B4-A54F-05EE91EFF1C3}" name="Column13497"/>
    <tableColumn id="13503" xr3:uid="{0DEE5671-C990-4F26-9C90-0B0A5F8FCA37}" name="Column13498"/>
    <tableColumn id="13504" xr3:uid="{E59701F7-DF3C-4419-82C7-F0CA15BB20F0}" name="Column13499"/>
    <tableColumn id="13505" xr3:uid="{DDEE09BF-88DB-4E73-AACE-E0721800DECC}" name="Column13500"/>
    <tableColumn id="13506" xr3:uid="{F7F7637B-5463-4FA0-8852-D95D20AA7494}" name="Column13501"/>
    <tableColumn id="13507" xr3:uid="{E73F9355-1726-408A-B46A-AEA4733C69D0}" name="Column13502"/>
    <tableColumn id="13508" xr3:uid="{ED65BB9D-70D7-4FA6-90D4-67B2158DD1BD}" name="Column13503"/>
    <tableColumn id="13509" xr3:uid="{4A1D028C-0ABF-461F-9273-F340B7D13614}" name="Column13504"/>
    <tableColumn id="13510" xr3:uid="{30ACE242-0913-463B-B3CB-9FF04CF62CD9}" name="Column13505"/>
    <tableColumn id="13511" xr3:uid="{59029805-3B1E-4C56-B25C-52F93903647F}" name="Column13506"/>
    <tableColumn id="13512" xr3:uid="{2FEA6AF7-49F0-4D78-B096-A9C62DE8BACD}" name="Column13507"/>
    <tableColumn id="13513" xr3:uid="{13E21C04-FD89-4135-96B0-678E8CD9076B}" name="Column13508"/>
    <tableColumn id="13514" xr3:uid="{D27DC471-88F2-451F-9048-14D03A8CE09C}" name="Column13509"/>
    <tableColumn id="13515" xr3:uid="{6D61EB1C-E73E-4312-B3F8-093C13AC3876}" name="Column13510"/>
    <tableColumn id="13516" xr3:uid="{BC979CDD-E9C1-4896-8A14-8C85D9D17893}" name="Column13511"/>
    <tableColumn id="13517" xr3:uid="{51A82117-490C-464E-BABA-70131513AE3C}" name="Column13512"/>
    <tableColumn id="13518" xr3:uid="{49CE6460-A933-4575-9085-51C1B2332331}" name="Column13513"/>
    <tableColumn id="13519" xr3:uid="{95D8A87D-3919-4CAB-A257-11B345787057}" name="Column13514"/>
    <tableColumn id="13520" xr3:uid="{216922AB-0986-449D-9504-AD63B119830E}" name="Column13515"/>
    <tableColumn id="13521" xr3:uid="{3C7FE539-4DE3-4105-A592-636362BAF95C}" name="Column13516"/>
    <tableColumn id="13522" xr3:uid="{97E93234-5FA0-483A-AEE2-E5692F885315}" name="Column13517"/>
    <tableColumn id="13523" xr3:uid="{4B6F98A8-6C58-43C1-AA1B-F331414D1A5D}" name="Column13518"/>
    <tableColumn id="13524" xr3:uid="{D572C962-5AE5-4165-AE3C-13303B25BCF3}" name="Column13519"/>
    <tableColumn id="13525" xr3:uid="{B63DFFFF-8B48-4953-8F97-689486FF919A}" name="Column13520"/>
    <tableColumn id="13526" xr3:uid="{DBF83728-6B89-4A21-81F0-30951D6B2BBC}" name="Column13521"/>
    <tableColumn id="13527" xr3:uid="{9610C863-7E5E-4627-8417-B984B17DB47D}" name="Column13522"/>
    <tableColumn id="13528" xr3:uid="{81186697-9346-4B6B-BC70-30B39A3A4D82}" name="Column13523"/>
    <tableColumn id="13529" xr3:uid="{94CF998B-20D4-49D2-9AEE-283CE5FD49A2}" name="Column13524"/>
    <tableColumn id="13530" xr3:uid="{0E2BE175-C3D1-49D9-9979-F60EDCF9C67C}" name="Column13525"/>
    <tableColumn id="13531" xr3:uid="{E03FED3C-4A5A-4EC9-9DBE-62BA156F0BC5}" name="Column13526"/>
    <tableColumn id="13532" xr3:uid="{67A63313-B050-4EA1-B717-D384769CF80A}" name="Column13527"/>
    <tableColumn id="13533" xr3:uid="{C1921909-6E79-4742-9FCF-AC20E0A095D0}" name="Column13528"/>
    <tableColumn id="13534" xr3:uid="{B08E107B-F420-4A30-A517-53F53046DE72}" name="Column13529"/>
    <tableColumn id="13535" xr3:uid="{882E3B28-D93B-49A4-BECC-FD67FAE65BC8}" name="Column13530"/>
    <tableColumn id="13536" xr3:uid="{B525FDC9-83A8-46B6-A4EB-98CDE86BBE1F}" name="Column13531"/>
    <tableColumn id="13537" xr3:uid="{BCEBFA79-E521-45F1-BF1E-0C8E0EC0B893}" name="Column13532"/>
    <tableColumn id="13538" xr3:uid="{CBA23BAF-1F51-4C2C-8435-A18C89B7C8F0}" name="Column13533"/>
    <tableColumn id="13539" xr3:uid="{EBC96C16-4F4A-405A-BBDB-B533E5B09284}" name="Column13534"/>
    <tableColumn id="13540" xr3:uid="{A9872BCC-E515-45F2-9DE8-F4F5DC9909C6}" name="Column13535"/>
    <tableColumn id="13541" xr3:uid="{4B3AA410-3D0A-47E2-A4C0-2B0086379C6B}" name="Column13536"/>
    <tableColumn id="13542" xr3:uid="{D42D2F39-A4E0-4C83-8465-3399F29D87BC}" name="Column13537"/>
    <tableColumn id="13543" xr3:uid="{52C292E9-840A-49F0-AB50-7DD8B097373B}" name="Column13538"/>
    <tableColumn id="13544" xr3:uid="{19D80FAE-E862-4351-ADE6-467C1D55908E}" name="Column13539"/>
    <tableColumn id="13545" xr3:uid="{B89E8F76-FC72-4172-8804-39BAA94D4C94}" name="Column13540"/>
    <tableColumn id="13546" xr3:uid="{37AFC3C5-2C04-45C3-AE9B-8D2A1319DE6D}" name="Column13541"/>
    <tableColumn id="13547" xr3:uid="{5813B39D-F2A6-4C7D-8559-C6EBE36133FE}" name="Column13542"/>
    <tableColumn id="13548" xr3:uid="{083CFED7-0332-47E0-A14E-5E2ECDF87653}" name="Column13543"/>
    <tableColumn id="13549" xr3:uid="{47ED012B-179C-4134-93F9-F5B7B2D28D01}" name="Column13544"/>
    <tableColumn id="13550" xr3:uid="{69D340B7-106A-4F1F-92D6-A5EB89A5BBD6}" name="Column13545"/>
    <tableColumn id="13551" xr3:uid="{2FD6F3D1-F927-4420-83FD-8BF9D3201F70}" name="Column13546"/>
    <tableColumn id="13552" xr3:uid="{D73D2B96-C503-4DC9-8FC1-0F370E16A7BB}" name="Column13547"/>
    <tableColumn id="13553" xr3:uid="{BA0383A4-C073-4DCD-9B2E-1B32F5D90C6D}" name="Column13548"/>
    <tableColumn id="13554" xr3:uid="{636D15E2-51EB-4A0E-BE96-EACCE33A389B}" name="Column13549"/>
    <tableColumn id="13555" xr3:uid="{F6D1758E-2435-4560-BA69-6C0AD3E8E605}" name="Column13550"/>
    <tableColumn id="13556" xr3:uid="{86B8E70B-C101-4584-AC5D-ED3D148FD8B1}" name="Column13551"/>
    <tableColumn id="13557" xr3:uid="{7A43291B-1526-4FF7-BADD-A5A2F712B6B9}" name="Column13552"/>
    <tableColumn id="13558" xr3:uid="{263DE0EA-F75C-4A53-9E0F-5C1C83C8BE61}" name="Column13553"/>
    <tableColumn id="13559" xr3:uid="{44C4E152-5B5A-49A5-88E6-1B15770C04E6}" name="Column13554"/>
    <tableColumn id="13560" xr3:uid="{9F953B0D-89D7-4A12-B0DA-0310F3F0E292}" name="Column13555"/>
    <tableColumn id="13561" xr3:uid="{C879D070-D131-4FAE-B701-7B53C4F38AB9}" name="Column13556"/>
    <tableColumn id="13562" xr3:uid="{1115BC01-2661-431A-A4BF-43F9C27C282A}" name="Column13557"/>
    <tableColumn id="13563" xr3:uid="{A1771F07-D3F5-474A-95D5-DF2C1DCC3B28}" name="Column13558"/>
    <tableColumn id="13564" xr3:uid="{72354384-FF7A-4464-84FD-5F3EE17AE872}" name="Column13559"/>
    <tableColumn id="13565" xr3:uid="{8D7B6C7B-9E3B-4822-91D8-FACCA87A1566}" name="Column13560"/>
    <tableColumn id="13566" xr3:uid="{122F8CAD-BB57-4A65-B716-C1B930D11ED9}" name="Column13561"/>
    <tableColumn id="13567" xr3:uid="{DBBB030F-1000-4111-BCEE-08415BAEDA20}" name="Column13562"/>
    <tableColumn id="13568" xr3:uid="{A4D0DB68-6798-4426-A081-9DE4ACD81145}" name="Column13563"/>
    <tableColumn id="13569" xr3:uid="{CE147A25-2C33-406E-A32A-09B919470BD9}" name="Column13564"/>
    <tableColumn id="13570" xr3:uid="{84F4B21D-46A0-4B90-A428-3539DD8B5A05}" name="Column13565"/>
    <tableColumn id="13571" xr3:uid="{B784CD53-CA65-4A99-91B8-FA3F99C43491}" name="Column13566"/>
    <tableColumn id="13572" xr3:uid="{551004C3-1BFA-4F48-9C8E-682DE4A32AA0}" name="Column13567"/>
    <tableColumn id="13573" xr3:uid="{D77456A0-D2FB-4A5A-A9CE-3AC83A5B6345}" name="Column13568"/>
    <tableColumn id="13574" xr3:uid="{41D039B8-6648-4E73-BB65-6A91A8BAA7C5}" name="Column13569"/>
    <tableColumn id="13575" xr3:uid="{A5E2AC2D-976A-44BB-BDC6-043C4105AAF8}" name="Column13570"/>
    <tableColumn id="13576" xr3:uid="{F0E803A4-328A-41CC-810B-44DCD752B96F}" name="Column13571"/>
    <tableColumn id="13577" xr3:uid="{9E932B52-D584-4E03-BE90-9884FD6BFBEC}" name="Column13572"/>
    <tableColumn id="13578" xr3:uid="{C55E1468-8FB8-458D-9856-54D2F6EC81F9}" name="Column13573"/>
    <tableColumn id="13579" xr3:uid="{B1B95BB5-B45D-40DF-8632-837DAC1C79D3}" name="Column13574"/>
    <tableColumn id="13580" xr3:uid="{EC5FDEF9-7860-42A7-AE01-5EA5604A3668}" name="Column13575"/>
    <tableColumn id="13581" xr3:uid="{FB8FCEE0-4C01-443C-A197-F549A3624B95}" name="Column13576"/>
    <tableColumn id="13582" xr3:uid="{002BB7A3-9A5D-4D95-99FD-BCA37970F8CD}" name="Column13577"/>
    <tableColumn id="13583" xr3:uid="{3FEE94B0-4700-4D71-A28D-A95E70F457C9}" name="Column13578"/>
    <tableColumn id="13584" xr3:uid="{E2905DC2-B25A-4996-BBDA-B7D4BEEE1DC9}" name="Column13579"/>
    <tableColumn id="13585" xr3:uid="{37521354-023F-4054-AEAE-2F2483C99605}" name="Column13580"/>
    <tableColumn id="13586" xr3:uid="{7D704799-AEAA-4C2E-BC60-5E484FBC88F1}" name="Column13581"/>
    <tableColumn id="13587" xr3:uid="{2BFF95F6-12D2-4BD4-AA9E-01D1FC6EEBE6}" name="Column13582"/>
    <tableColumn id="13588" xr3:uid="{2352206D-141E-406F-88BD-FFA46BEF1831}" name="Column13583"/>
    <tableColumn id="13589" xr3:uid="{C18070FD-A660-4ED5-B186-4654FE79409D}" name="Column13584"/>
    <tableColumn id="13590" xr3:uid="{9498255D-DFA3-48EA-ACBF-C83097B8DE2C}" name="Column13585"/>
    <tableColumn id="13591" xr3:uid="{F2319C45-B803-4B58-9AFA-7246C91DEAEB}" name="Column13586"/>
    <tableColumn id="13592" xr3:uid="{F5F1097A-CFA0-4637-8F53-4AABFA7A1FA6}" name="Column13587"/>
    <tableColumn id="13593" xr3:uid="{A9337C23-807C-418F-A249-9317FD168ADE}" name="Column13588"/>
    <tableColumn id="13594" xr3:uid="{F66E1DE9-45B5-43D1-97BD-808D21E8CCD2}" name="Column13589"/>
    <tableColumn id="13595" xr3:uid="{687C793D-974B-427C-8EB6-0067554E06CE}" name="Column13590"/>
    <tableColumn id="13596" xr3:uid="{BA82EA0B-34A2-41E9-927A-EBFD74CCF450}" name="Column13591"/>
    <tableColumn id="13597" xr3:uid="{7C8E564D-B905-4D02-84F4-9DAF39315687}" name="Column13592"/>
    <tableColumn id="13598" xr3:uid="{F8571422-43B1-44D8-81B6-EFBFC5AC0659}" name="Column13593"/>
    <tableColumn id="13599" xr3:uid="{1C24119D-F3CB-4F25-AA50-06FB0196FC36}" name="Column13594"/>
    <tableColumn id="13600" xr3:uid="{4B637213-7F33-4879-BE98-013454B4612F}" name="Column13595"/>
    <tableColumn id="13601" xr3:uid="{16A66154-DE43-41E4-B680-A9EA35265852}" name="Column13596"/>
    <tableColumn id="13602" xr3:uid="{C9DF0AC5-E47D-4CC2-93BE-9FE051F6D27B}" name="Column13597"/>
    <tableColumn id="13603" xr3:uid="{32D7DE7C-85BA-447D-8105-ACD5B5B720EE}" name="Column13598"/>
    <tableColumn id="13604" xr3:uid="{AA3F7F30-1243-4B3D-8627-341B15B24688}" name="Column13599"/>
    <tableColumn id="13605" xr3:uid="{CDA0FB6C-C61A-4117-9E4E-5DE17D075F6F}" name="Column13600"/>
    <tableColumn id="13606" xr3:uid="{139C0185-C57F-4271-BC53-3956934AAC93}" name="Column13601"/>
    <tableColumn id="13607" xr3:uid="{1E14013D-4556-4BF3-A7F5-BCD645655DE8}" name="Column13602"/>
    <tableColumn id="13608" xr3:uid="{E9284558-0131-4E0D-B22F-229F9EFE15F4}" name="Column13603"/>
    <tableColumn id="13609" xr3:uid="{86510675-8048-49A7-A72A-CCFE8B4EE60F}" name="Column13604"/>
    <tableColumn id="13610" xr3:uid="{55761F42-73D2-421F-9014-E37BA12650FB}" name="Column13605"/>
    <tableColumn id="13611" xr3:uid="{A8FC7F64-E489-4A55-ACD7-BF9DE9ECFBA5}" name="Column13606"/>
    <tableColumn id="13612" xr3:uid="{BB50D973-E9C6-48D6-A879-560AB3386526}" name="Column13607"/>
    <tableColumn id="13613" xr3:uid="{8A2380B5-AC6A-4B7B-89A2-0EB49CC7327B}" name="Column13608"/>
    <tableColumn id="13614" xr3:uid="{10A550CD-C4E3-4776-9A63-43425705B316}" name="Column13609"/>
    <tableColumn id="13615" xr3:uid="{AEF1A021-2CC3-4A52-8357-1A1AFADE01ED}" name="Column13610"/>
    <tableColumn id="13616" xr3:uid="{683FAB20-1A9A-4D17-9881-CA9760E23D64}" name="Column13611"/>
    <tableColumn id="13617" xr3:uid="{7628DFE3-11A1-4D72-8B46-2955DD70538C}" name="Column13612"/>
    <tableColumn id="13618" xr3:uid="{EACE6320-D88D-443A-869F-1A1BEBCEC534}" name="Column13613"/>
    <tableColumn id="13619" xr3:uid="{3338E9E6-B549-47D1-8A88-D4930A44C2BF}" name="Column13614"/>
    <tableColumn id="13620" xr3:uid="{D0144E93-8DB8-4F91-92C4-207192C77728}" name="Column13615"/>
    <tableColumn id="13621" xr3:uid="{C1E79AF3-CDA9-48B0-959F-4B0B00DAA4AB}" name="Column13616"/>
    <tableColumn id="13622" xr3:uid="{400E7FFD-6A92-41B1-9659-6E131E129069}" name="Column13617"/>
    <tableColumn id="13623" xr3:uid="{F75996B0-BABD-4B6E-B0A6-92868DF7B0C6}" name="Column13618"/>
    <tableColumn id="13624" xr3:uid="{887A0D96-A1E9-47C1-9DDC-1903476E29A0}" name="Column13619"/>
    <tableColumn id="13625" xr3:uid="{370739CA-623A-4F9B-B9EE-BA289556EC63}" name="Column13620"/>
    <tableColumn id="13626" xr3:uid="{612573E4-CFB9-4D54-AC99-F69F4A46AD9A}" name="Column13621"/>
    <tableColumn id="13627" xr3:uid="{76FEB9B5-76C2-4958-9467-8F5D7EDE80CA}" name="Column13622"/>
    <tableColumn id="13628" xr3:uid="{59C55492-C898-4ED7-8611-FE6B98C9E22F}" name="Column13623"/>
    <tableColumn id="13629" xr3:uid="{E7D8DBAE-1EE7-42B3-8123-38560A4E74EF}" name="Column13624"/>
    <tableColumn id="13630" xr3:uid="{9B826A73-270B-40DF-A088-3E411F08C2D3}" name="Column13625"/>
    <tableColumn id="13631" xr3:uid="{DAE14913-C5BA-419F-9A0E-9311038ABADF}" name="Column13626"/>
    <tableColumn id="13632" xr3:uid="{C7990A30-C62A-4546-AA18-DA13BB335C91}" name="Column13627"/>
    <tableColumn id="13633" xr3:uid="{4F2447A9-B6AD-48FC-973B-6D88D7FB4FAF}" name="Column13628"/>
    <tableColumn id="13634" xr3:uid="{4E36B38B-2FFA-451B-A50F-A758C3119E9C}" name="Column13629"/>
    <tableColumn id="13635" xr3:uid="{A29AB287-5A21-47E3-B031-680E3B608840}" name="Column13630"/>
    <tableColumn id="13636" xr3:uid="{1BEA9447-1FBD-4AC6-BB66-5C178D3527CD}" name="Column13631"/>
    <tableColumn id="13637" xr3:uid="{14A29986-D6F3-459D-B8E8-F51DE6F86197}" name="Column13632"/>
    <tableColumn id="13638" xr3:uid="{95DE7A12-9395-435A-B2E9-BDD7AA55BC6A}" name="Column13633"/>
    <tableColumn id="13639" xr3:uid="{AB01CB95-ADB4-4C90-ABA1-9A2B40334388}" name="Column13634"/>
    <tableColumn id="13640" xr3:uid="{E27ED317-E166-471D-B207-53009F545720}" name="Column13635"/>
    <tableColumn id="13641" xr3:uid="{4BFA217A-49CB-4E4A-9BAD-A7AD2C0D2E38}" name="Column13636"/>
    <tableColumn id="13642" xr3:uid="{B34D2F60-BFCB-4825-A0A9-2E4792D06925}" name="Column13637"/>
    <tableColumn id="13643" xr3:uid="{51B837C7-988D-46EE-AD8E-F293B5E15BB5}" name="Column13638"/>
    <tableColumn id="13644" xr3:uid="{24B23695-53CA-49C9-8211-6FB9AA9E90ED}" name="Column13639"/>
    <tableColumn id="13645" xr3:uid="{0B4FC47C-3133-45CE-A47E-607E70139D1D}" name="Column13640"/>
    <tableColumn id="13646" xr3:uid="{849E2DFC-2554-468D-A1A9-7808EFE69B87}" name="Column13641"/>
    <tableColumn id="13647" xr3:uid="{53568349-CF28-4EC8-8777-DBBA13795E56}" name="Column13642"/>
    <tableColumn id="13648" xr3:uid="{D2117FDE-B8F9-4990-9F5E-6C66D2C0298D}" name="Column13643"/>
    <tableColumn id="13649" xr3:uid="{C1A41A66-7B8F-48A3-939D-BF50CEF5C49C}" name="Column13644"/>
    <tableColumn id="13650" xr3:uid="{E091712F-4A2B-492F-BF7C-3023D6F0C09B}" name="Column13645"/>
    <tableColumn id="13651" xr3:uid="{754D09FF-68A8-43B3-B63F-99AC134958DF}" name="Column13646"/>
    <tableColumn id="13652" xr3:uid="{D76CEF8D-D1BB-4CC7-B206-6744EDF77829}" name="Column13647"/>
    <tableColumn id="13653" xr3:uid="{F779510D-7B3A-45BB-A7EB-1FB5B76B876A}" name="Column13648"/>
    <tableColumn id="13654" xr3:uid="{7132001E-4D13-4C13-96AA-42A5208BAF1D}" name="Column13649"/>
    <tableColumn id="13655" xr3:uid="{A5D26546-BD0C-468E-B262-36B46C24E1C7}" name="Column13650"/>
    <tableColumn id="13656" xr3:uid="{0EE076DE-46FB-4FBC-B945-1AB0C5BAB51F}" name="Column13651"/>
    <tableColumn id="13657" xr3:uid="{C76CFCE5-84B6-4E13-8061-A006D306FD35}" name="Column13652"/>
    <tableColumn id="13658" xr3:uid="{510B1C7E-FF59-4FF3-91D4-B05917839AD2}" name="Column13653"/>
    <tableColumn id="13659" xr3:uid="{5C244C7A-04AC-42C4-A885-4789281B1547}" name="Column13654"/>
    <tableColumn id="13660" xr3:uid="{CECB49C6-5A72-4AED-8A84-CD43ED8A0D2D}" name="Column13655"/>
    <tableColumn id="13661" xr3:uid="{3B3D7ED4-568A-4A12-A861-4FA689FD4576}" name="Column13656"/>
    <tableColumn id="13662" xr3:uid="{E3179C36-C098-48FE-90D0-42402350BC6D}" name="Column13657"/>
    <tableColumn id="13663" xr3:uid="{D08CEC36-75F6-4EA6-8B83-1EF0B5232B49}" name="Column13658"/>
    <tableColumn id="13664" xr3:uid="{E487237E-DBDF-482C-B84F-A7303DEAD51C}" name="Column13659"/>
    <tableColumn id="13665" xr3:uid="{B7E50257-3519-4814-A83C-A02BEB3ED901}" name="Column13660"/>
    <tableColumn id="13666" xr3:uid="{A905952A-F1C8-4863-B816-ADE1AA4AC7E6}" name="Column13661"/>
    <tableColumn id="13667" xr3:uid="{AA18DFC1-AC10-410D-ADF9-666921EEE619}" name="Column13662"/>
    <tableColumn id="13668" xr3:uid="{AAC15A25-3CC3-4880-8F8B-2D96C765E9B5}" name="Column13663"/>
    <tableColumn id="13669" xr3:uid="{BE9850A8-9F95-44C6-9EAE-2B2AD593F477}" name="Column13664"/>
    <tableColumn id="13670" xr3:uid="{80F1C874-8247-4ED5-AAAF-48761B582E48}" name="Column13665"/>
    <tableColumn id="13671" xr3:uid="{DF3EE00F-1AF7-4500-896C-1D17C8FF4F8F}" name="Column13666"/>
    <tableColumn id="13672" xr3:uid="{D64005C4-3CCE-4432-974A-E99AAAFD801D}" name="Column13667"/>
    <tableColumn id="13673" xr3:uid="{47DC9D4F-4B2A-4A29-ABAD-10330DC88238}" name="Column13668"/>
    <tableColumn id="13674" xr3:uid="{5C22C8B4-BD90-4362-A824-B980BB0161FB}" name="Column13669"/>
    <tableColumn id="13675" xr3:uid="{5F370226-02A7-405F-98FD-FF8CC999FEA4}" name="Column13670"/>
    <tableColumn id="13676" xr3:uid="{994124BC-DF0D-4E96-A19E-39CA7A32270F}" name="Column13671"/>
    <tableColumn id="13677" xr3:uid="{EB655E54-1840-4AFE-986D-8F935E48EB5E}" name="Column13672"/>
    <tableColumn id="13678" xr3:uid="{0DA663EE-7A85-4075-8314-2EA4A43A7DD2}" name="Column13673"/>
    <tableColumn id="13679" xr3:uid="{863C3AC2-DD44-4B36-9209-87AFD16EAAE8}" name="Column13674"/>
    <tableColumn id="13680" xr3:uid="{6B8DFEC7-2F29-4505-AF20-53268D956710}" name="Column13675"/>
    <tableColumn id="13681" xr3:uid="{52F00117-0780-4ECC-84DF-13EB0B6C7E78}" name="Column13676"/>
    <tableColumn id="13682" xr3:uid="{101B5610-2F7D-45B8-AD12-3431361139C1}" name="Column13677"/>
    <tableColumn id="13683" xr3:uid="{30EE83C6-4AFD-4751-B829-D63DEAFDA0A5}" name="Column13678"/>
    <tableColumn id="13684" xr3:uid="{11FD55BA-2655-49B4-A6BD-849572F8D866}" name="Column13679"/>
    <tableColumn id="13685" xr3:uid="{2F80CF67-41CF-4011-9BAD-67BECF82138B}" name="Column13680"/>
    <tableColumn id="13686" xr3:uid="{5517886E-D0AF-40BD-90B9-87BB2770DC9A}" name="Column13681"/>
    <tableColumn id="13687" xr3:uid="{816F4128-1032-48D7-A1B0-C556A7B5C939}" name="Column13682"/>
    <tableColumn id="13688" xr3:uid="{A471B5DC-25D8-4E4A-A933-926648F3DA21}" name="Column13683"/>
    <tableColumn id="13689" xr3:uid="{FBF148D7-BA57-418F-8B2E-7993F1D4FA81}" name="Column13684"/>
    <tableColumn id="13690" xr3:uid="{B1A7EE7C-B90B-4C19-85FE-9AD30E7F57EA}" name="Column13685"/>
    <tableColumn id="13691" xr3:uid="{828A2AD8-1584-4794-9788-B9588DB037EF}" name="Column13686"/>
    <tableColumn id="13692" xr3:uid="{6B423C51-89D1-4C55-A461-E640C85DD118}" name="Column13687"/>
    <tableColumn id="13693" xr3:uid="{D65AA557-4320-40EC-AB29-52FDA1099EAD}" name="Column13688"/>
    <tableColumn id="13694" xr3:uid="{4591B3A8-E4F8-4084-994F-2873EDD741C2}" name="Column13689"/>
    <tableColumn id="13695" xr3:uid="{92A3D90D-954D-4907-8160-873DB51903B0}" name="Column13690"/>
    <tableColumn id="13696" xr3:uid="{479F7225-00F6-4CC8-8C1C-4495969B1E13}" name="Column13691"/>
    <tableColumn id="13697" xr3:uid="{D441B9E7-53D6-4A39-9899-1ED23D2B1804}" name="Column13692"/>
    <tableColumn id="13698" xr3:uid="{B13B7201-1434-47A8-A47E-46D4D820F468}" name="Column13693"/>
    <tableColumn id="13699" xr3:uid="{2DE92AA7-DA86-40D2-850E-F915C9CBE340}" name="Column13694"/>
    <tableColumn id="13700" xr3:uid="{DB3F3F81-BF7E-49EB-817C-ED5E34E5384A}" name="Column13695"/>
    <tableColumn id="13701" xr3:uid="{F9A96EBA-BCC2-4EC4-B3BB-F507AB045C4D}" name="Column13696"/>
    <tableColumn id="13702" xr3:uid="{BF2658A9-8C95-41C0-B8E5-31C3797A4686}" name="Column13697"/>
    <tableColumn id="13703" xr3:uid="{4E92D917-D4F9-4C2A-990B-5476967D28E9}" name="Column13698"/>
    <tableColumn id="13704" xr3:uid="{E0C9FFC3-9970-4DED-8A0C-99181DA84FC7}" name="Column13699"/>
    <tableColumn id="13705" xr3:uid="{89810886-0525-4E13-871E-DDD9A1B0BBC4}" name="Column13700"/>
    <tableColumn id="13706" xr3:uid="{CD055B37-8C0D-4E32-B83B-172DC66ABA7B}" name="Column13701"/>
    <tableColumn id="13707" xr3:uid="{19133C3B-454E-4986-842A-FB7020045CB6}" name="Column13702"/>
    <tableColumn id="13708" xr3:uid="{E0B5AF5F-CCF5-4473-AD50-C26BEE8FA67A}" name="Column13703"/>
    <tableColumn id="13709" xr3:uid="{6E61C672-5306-4260-B5A7-00572383D40F}" name="Column13704"/>
    <tableColumn id="13710" xr3:uid="{5BC9625D-2078-4CC4-883D-911111D0DF00}" name="Column13705"/>
    <tableColumn id="13711" xr3:uid="{0FBA6A55-A8EF-487F-82E8-090C43EF5609}" name="Column13706"/>
    <tableColumn id="13712" xr3:uid="{6EF9DF0D-DCA4-4B1C-9367-A226CA041F7C}" name="Column13707"/>
    <tableColumn id="13713" xr3:uid="{33EFA0C2-CACD-4EF2-9EC0-B3F510917DA7}" name="Column13708"/>
    <tableColumn id="13714" xr3:uid="{DA883557-B77A-46FB-AA73-758FE152FC49}" name="Column13709"/>
    <tableColumn id="13715" xr3:uid="{84F67FB4-E9BA-4529-B290-112F0568D02E}" name="Column13710"/>
    <tableColumn id="13716" xr3:uid="{A65F51BC-08F5-49CC-BDF8-763D602F2B80}" name="Column13711"/>
    <tableColumn id="13717" xr3:uid="{46640BAA-0FDE-40E7-817B-5BC4FA2AE856}" name="Column13712"/>
    <tableColumn id="13718" xr3:uid="{61DC712B-B1A1-49E9-85F7-3F0A32B97FAF}" name="Column13713"/>
    <tableColumn id="13719" xr3:uid="{6871C10E-DED7-4AD7-B010-915585E38B17}" name="Column13714"/>
    <tableColumn id="13720" xr3:uid="{0F0F7422-D61D-4740-AE33-F7A76C10139F}" name="Column13715"/>
    <tableColumn id="13721" xr3:uid="{E5703B7D-B542-4B32-9B43-C7EF35387A3D}" name="Column13716"/>
    <tableColumn id="13722" xr3:uid="{8ACFADAF-F384-4EED-B903-9C7CC63B6D67}" name="Column13717"/>
    <tableColumn id="13723" xr3:uid="{84878FAF-6A3B-4D15-91F0-20F831C0D863}" name="Column13718"/>
    <tableColumn id="13724" xr3:uid="{4B2725C2-9066-47A9-8283-1C2E864988C1}" name="Column13719"/>
    <tableColumn id="13725" xr3:uid="{A5D83994-63C0-458D-84F2-26F8C90621EC}" name="Column13720"/>
    <tableColumn id="13726" xr3:uid="{E89038D7-1244-4FDA-BDBF-55E00CA6FC0E}" name="Column13721"/>
    <tableColumn id="13727" xr3:uid="{163D2B24-2CC8-4480-BFA7-1675193E79A2}" name="Column13722"/>
    <tableColumn id="13728" xr3:uid="{B2097381-523B-43DB-9925-E96A8A940DB8}" name="Column13723"/>
    <tableColumn id="13729" xr3:uid="{D49C2C91-70B9-4C90-8123-F16C5EFA3AA8}" name="Column13724"/>
    <tableColumn id="13730" xr3:uid="{595B3126-2B60-4E14-A8E0-C62348E8F8DE}" name="Column13725"/>
    <tableColumn id="13731" xr3:uid="{E64082D5-237D-43E1-AD89-CBF67087D5B3}" name="Column13726"/>
    <tableColumn id="13732" xr3:uid="{6C240FBE-A9E6-485F-A278-D68037FA45F4}" name="Column13727"/>
    <tableColumn id="13733" xr3:uid="{47FD0CCD-3513-442B-9EB1-27EE807D0E4A}" name="Column13728"/>
    <tableColumn id="13734" xr3:uid="{D94CE8D8-72E5-4E00-A4E9-519D3E201222}" name="Column13729"/>
    <tableColumn id="13735" xr3:uid="{E1A8B2B1-600D-4521-9975-692918CB9A86}" name="Column13730"/>
    <tableColumn id="13736" xr3:uid="{68B34E4D-D193-4762-9650-5B4EB738491C}" name="Column13731"/>
    <tableColumn id="13737" xr3:uid="{B1DAABDA-DE59-40FF-A693-DDDEA9D9E527}" name="Column13732"/>
    <tableColumn id="13738" xr3:uid="{EE5482D7-2ED7-4A5A-B290-A8FFE3F5EC37}" name="Column13733"/>
    <tableColumn id="13739" xr3:uid="{D1330391-A10E-478A-86E9-AF7682E40E5B}" name="Column13734"/>
    <tableColumn id="13740" xr3:uid="{73DB506B-6C37-4A55-B22B-279C114E231B}" name="Column13735"/>
    <tableColumn id="13741" xr3:uid="{D7F14F7C-A011-49E5-9586-86E8AB110B35}" name="Column13736"/>
    <tableColumn id="13742" xr3:uid="{F20FE074-4196-4FAF-B234-55C5F9666FFA}" name="Column13737"/>
    <tableColumn id="13743" xr3:uid="{BE5AF845-201B-4A6E-8ED7-39D21AB00036}" name="Column13738"/>
    <tableColumn id="13744" xr3:uid="{26CB1CD1-C28A-43D5-B7B4-E7C2EB823489}" name="Column13739"/>
    <tableColumn id="13745" xr3:uid="{B7F22A1E-B8B4-4E4D-9BDF-96058F80290E}" name="Column13740"/>
    <tableColumn id="13746" xr3:uid="{6F612FE6-85F6-4320-BEA0-8C8408DC8628}" name="Column13741"/>
    <tableColumn id="13747" xr3:uid="{528661FA-3ED5-4769-9562-5388C934D0F1}" name="Column13742"/>
    <tableColumn id="13748" xr3:uid="{CF44FC4F-BE92-4CED-BB4F-266AF87D5835}" name="Column13743"/>
    <tableColumn id="13749" xr3:uid="{FEB6DE05-488E-47C0-A190-EE04BA388F43}" name="Column13744"/>
    <tableColumn id="13750" xr3:uid="{80538335-14C9-4F1F-86E3-3A2CEBFB4CE6}" name="Column13745"/>
    <tableColumn id="13751" xr3:uid="{D53E6744-4BD0-4E0B-BBE7-D1EAB1FDBEEE}" name="Column13746"/>
    <tableColumn id="13752" xr3:uid="{FF3B7A30-353B-46C7-BDF6-E250F90520FB}" name="Column13747"/>
    <tableColumn id="13753" xr3:uid="{29F4951D-14B8-4701-AF96-912A6B6727FA}" name="Column13748"/>
    <tableColumn id="13754" xr3:uid="{A5F01861-BDF1-4E25-B20E-A851D808D22C}" name="Column13749"/>
    <tableColumn id="13755" xr3:uid="{59A32392-ED07-492A-8951-398A7187B14D}" name="Column13750"/>
    <tableColumn id="13756" xr3:uid="{5E20CC82-71E7-4FCC-9E76-35E3F7DBDD6F}" name="Column13751"/>
    <tableColumn id="13757" xr3:uid="{9845CCF9-E7DC-43C2-A8FD-64BADA2C96A9}" name="Column13752"/>
    <tableColumn id="13758" xr3:uid="{74E79FA9-29EE-45B7-AF96-D2C986716419}" name="Column13753"/>
    <tableColumn id="13759" xr3:uid="{48892CDA-FC14-431C-8C7E-43E9A2DB82E9}" name="Column13754"/>
    <tableColumn id="13760" xr3:uid="{6DCDA7B3-16C0-4CA3-942D-329EDD1B6CFD}" name="Column13755"/>
    <tableColumn id="13761" xr3:uid="{377F55BC-6FF8-4068-AFFD-0DFB0FDB05DD}" name="Column13756"/>
    <tableColumn id="13762" xr3:uid="{39C2A974-3E80-4FA6-930F-BBEB38090B1B}" name="Column13757"/>
    <tableColumn id="13763" xr3:uid="{2BF27BD7-3AFC-43B6-AD29-B87CD2F46F8A}" name="Column13758"/>
    <tableColumn id="13764" xr3:uid="{B3BAB590-A66C-43C9-8FAC-09716EFF7209}" name="Column13759"/>
    <tableColumn id="13765" xr3:uid="{556C7C8D-8898-4860-BB95-E55DADB7F38C}" name="Column13760"/>
    <tableColumn id="13766" xr3:uid="{41DAE33C-7FB3-46C2-A343-65BA5768363B}" name="Column13761"/>
    <tableColumn id="13767" xr3:uid="{F3F5E312-E50B-40F8-BB61-30B95325F6EB}" name="Column13762"/>
    <tableColumn id="13768" xr3:uid="{214E482B-1CBB-408E-854D-9DA46F51684C}" name="Column13763"/>
    <tableColumn id="13769" xr3:uid="{D604CDFC-9DB5-46C2-AE75-895289B08E2F}" name="Column13764"/>
    <tableColumn id="13770" xr3:uid="{1C3584F7-22A9-4B0C-B7E8-FA7CA0F2166F}" name="Column13765"/>
    <tableColumn id="13771" xr3:uid="{84CCCBFF-B572-4911-94C5-4091EF55C5B2}" name="Column13766"/>
    <tableColumn id="13772" xr3:uid="{262E5441-B099-4B8D-93C9-138FA0BD1353}" name="Column13767"/>
    <tableColumn id="13773" xr3:uid="{4CFE393F-1665-4EBC-BA5D-D3D32C67E940}" name="Column13768"/>
    <tableColumn id="13774" xr3:uid="{EFDAE1A7-4275-4610-914B-A635EC512D1A}" name="Column13769"/>
    <tableColumn id="13775" xr3:uid="{5B0A6704-78E3-4524-A4A6-651654E42634}" name="Column13770"/>
    <tableColumn id="13776" xr3:uid="{07CD84BB-F7EC-4DF6-B6C5-742AD7D74639}" name="Column13771"/>
    <tableColumn id="13777" xr3:uid="{459CB752-630A-49AF-9BC1-81EAD61DB3D6}" name="Column13772"/>
    <tableColumn id="13778" xr3:uid="{AF870480-9644-43D3-9AFB-69AF36B7FF3F}" name="Column13773"/>
    <tableColumn id="13779" xr3:uid="{EEE2CA57-8EBD-4E9D-B02B-3EF3E7F50C55}" name="Column13774"/>
    <tableColumn id="13780" xr3:uid="{CCA0362D-CCF2-4553-AFFC-2CC11D29AA09}" name="Column13775"/>
    <tableColumn id="13781" xr3:uid="{25253D1B-C814-4D28-84B9-77B46C38F514}" name="Column13776"/>
    <tableColumn id="13782" xr3:uid="{41F399A3-8982-41AD-A4B3-6FA5309363CE}" name="Column13777"/>
    <tableColumn id="13783" xr3:uid="{0571B323-E121-4917-863E-DC0A60DEE98E}" name="Column13778"/>
    <tableColumn id="13784" xr3:uid="{805E9704-702D-42C3-8956-68C7E8C6FA69}" name="Column13779"/>
    <tableColumn id="13785" xr3:uid="{5A0603A9-4188-49EA-813C-65CE05C31A91}" name="Column13780"/>
    <tableColumn id="13786" xr3:uid="{400F8968-2799-4D03-BAA9-1D6DF937F71C}" name="Column13781"/>
    <tableColumn id="13787" xr3:uid="{EF8743CA-B07D-419E-94E9-091986309087}" name="Column13782"/>
    <tableColumn id="13788" xr3:uid="{944FB92D-C75F-4716-91B2-B5540697A7D0}" name="Column13783"/>
    <tableColumn id="13789" xr3:uid="{20933D26-14C3-4901-BADA-68DA2050C805}" name="Column13784"/>
    <tableColumn id="13790" xr3:uid="{2917C534-70CB-49BF-B85C-C99452933D31}" name="Column13785"/>
    <tableColumn id="13791" xr3:uid="{49A4A313-4413-4693-BBAC-E709299C3C15}" name="Column13786"/>
    <tableColumn id="13792" xr3:uid="{2BB71A70-1D2D-4A54-A82C-5891C300096B}" name="Column13787"/>
    <tableColumn id="13793" xr3:uid="{F8992026-40A3-49EE-A3EF-7B6AEE9F2893}" name="Column13788"/>
    <tableColumn id="13794" xr3:uid="{0B3F9F6A-72A4-4905-B7AB-D439F629B624}" name="Column13789"/>
    <tableColumn id="13795" xr3:uid="{82533AE7-60B5-4291-97AA-18BBE63B87DE}" name="Column13790"/>
    <tableColumn id="13796" xr3:uid="{C7FCB78B-78A6-45F8-94D3-1FB1D7BD62C5}" name="Column13791"/>
    <tableColumn id="13797" xr3:uid="{75FBDEC5-7C2E-4BC9-BE28-86A58973C4AB}" name="Column13792"/>
    <tableColumn id="13798" xr3:uid="{697972E8-E782-4A12-892F-9E31A368A4DD}" name="Column13793"/>
    <tableColumn id="13799" xr3:uid="{2B82C326-560B-4818-82BE-F8AC256467B7}" name="Column13794"/>
    <tableColumn id="13800" xr3:uid="{874B1B20-9724-4C57-8848-6FBE854EECCA}" name="Column13795"/>
    <tableColumn id="13801" xr3:uid="{4FAAC802-1766-424E-ADC7-BE12690C476E}" name="Column13796"/>
    <tableColumn id="13802" xr3:uid="{6A551BCB-5A78-471F-B84A-327F7B9B2146}" name="Column13797"/>
    <tableColumn id="13803" xr3:uid="{2FAC33EF-CBA6-4FB2-A586-64F6E63EED1F}" name="Column13798"/>
    <tableColumn id="13804" xr3:uid="{E3CE5EF3-54F9-4E64-B557-203D6C0CBB59}" name="Column13799"/>
    <tableColumn id="13805" xr3:uid="{0219B4FE-FCF5-4674-B2B9-BF5E620C9818}" name="Column13800"/>
    <tableColumn id="13806" xr3:uid="{6F45F6AA-7237-4F73-BCDA-B8B12BD6BF21}" name="Column13801"/>
    <tableColumn id="13807" xr3:uid="{D0BC12F1-D000-4106-AA8A-795F64E64F7F}" name="Column13802"/>
    <tableColumn id="13808" xr3:uid="{5F412A0B-83A1-4EFC-99D2-D6BA2D724822}" name="Column13803"/>
    <tableColumn id="13809" xr3:uid="{93EE1131-12CA-44A6-8934-283CC89D817C}" name="Column13804"/>
    <tableColumn id="13810" xr3:uid="{D3F82966-96C1-4EBC-9546-083562D1618F}" name="Column13805"/>
    <tableColumn id="13811" xr3:uid="{CD020ADD-F394-40CE-A3D0-63C3F2B9C627}" name="Column13806"/>
    <tableColumn id="13812" xr3:uid="{E5CA66BF-9AF7-4A9C-BFFF-B760BAD0812D}" name="Column13807"/>
    <tableColumn id="13813" xr3:uid="{2586B90C-FF7D-4A50-9464-6C6FE825A211}" name="Column13808"/>
    <tableColumn id="13814" xr3:uid="{4163B296-2491-4C98-845D-7698B777011B}" name="Column13809"/>
    <tableColumn id="13815" xr3:uid="{B4B0138B-52AE-4E33-8C17-4CE17F2C7EDE}" name="Column13810"/>
    <tableColumn id="13816" xr3:uid="{6AE42F2B-EFF4-4D0A-901D-C50AA778D340}" name="Column13811"/>
    <tableColumn id="13817" xr3:uid="{E8ABE340-B9FD-4DAB-A694-74329B900880}" name="Column13812"/>
    <tableColumn id="13818" xr3:uid="{13CCB36D-2885-44C0-AC14-8A6497153969}" name="Column13813"/>
    <tableColumn id="13819" xr3:uid="{FF069102-B06C-4C8B-AD29-78F31CE10646}" name="Column13814"/>
    <tableColumn id="13820" xr3:uid="{F87C4512-939C-4FB6-A8E8-8B9114964ADA}" name="Column13815"/>
    <tableColumn id="13821" xr3:uid="{641D0CC1-7847-4F37-BF18-4EEB2A86CBBA}" name="Column13816"/>
    <tableColumn id="13822" xr3:uid="{66F672F8-E865-40F7-9DF0-8C0141A3A7E4}" name="Column13817"/>
    <tableColumn id="13823" xr3:uid="{61F16C10-D780-4184-8C9D-76A115483069}" name="Column13818"/>
    <tableColumn id="13824" xr3:uid="{C13BBEF1-A6D0-447E-BD84-B8131C49A008}" name="Column13819"/>
    <tableColumn id="13825" xr3:uid="{E4A48CEE-9E66-4E96-846C-5911857DB9DB}" name="Column13820"/>
    <tableColumn id="13826" xr3:uid="{24CBB970-4243-4907-A163-36A51F6D287C}" name="Column13821"/>
    <tableColumn id="13827" xr3:uid="{4DA7346E-A512-42DD-BC80-5C7619817A30}" name="Column13822"/>
    <tableColumn id="13828" xr3:uid="{E845A849-6FBF-40BE-97EF-7247C95049C2}" name="Column13823"/>
    <tableColumn id="13829" xr3:uid="{46EF744E-094A-4B6C-AB14-54AE5E6C10B8}" name="Column13824"/>
    <tableColumn id="13830" xr3:uid="{86615BFA-8AC6-4F91-B459-A4C6B52EAF3A}" name="Column13825"/>
    <tableColumn id="13831" xr3:uid="{B1D67785-16B2-4467-8558-06651AF4FA07}" name="Column13826"/>
    <tableColumn id="13832" xr3:uid="{89A4C84F-2219-4468-B391-6774C44AB3DB}" name="Column13827"/>
    <tableColumn id="13833" xr3:uid="{C10D20FB-3A85-41ED-80E9-5AADB06C9E39}" name="Column13828"/>
    <tableColumn id="13834" xr3:uid="{AB774658-3E70-4F9C-BB5B-31C7E01004EB}" name="Column13829"/>
    <tableColumn id="13835" xr3:uid="{3AB62A6E-550E-4D61-BB74-386C70D8B880}" name="Column13830"/>
    <tableColumn id="13836" xr3:uid="{19F57878-53CC-4A45-96AA-0BC5D40E0FC4}" name="Column13831"/>
    <tableColumn id="13837" xr3:uid="{A6489371-FD85-4D7A-9967-371B18AA0748}" name="Column13832"/>
    <tableColumn id="13838" xr3:uid="{49E7B371-CD35-4FC5-BAC5-31786583DCCC}" name="Column13833"/>
    <tableColumn id="13839" xr3:uid="{291ED8F3-0392-44C3-97D9-A694FE9D15DB}" name="Column13834"/>
    <tableColumn id="13840" xr3:uid="{B13662F0-C904-4FB5-B764-C5E0FDEFBFA0}" name="Column13835"/>
    <tableColumn id="13841" xr3:uid="{F0E3B258-C21B-4CAB-822A-416E0620FE5A}" name="Column13836"/>
    <tableColumn id="13842" xr3:uid="{43B9CD3B-D640-4C34-A655-1A8BB2B905FC}" name="Column13837"/>
    <tableColumn id="13843" xr3:uid="{0206D50C-C36D-4D13-B3A9-7739DFA05F8A}" name="Column13838"/>
    <tableColumn id="13844" xr3:uid="{920064AC-9C2C-4BE1-9114-1D72D40EEEF0}" name="Column13839"/>
    <tableColumn id="13845" xr3:uid="{356197AC-3708-4531-BAE1-18724DF7823B}" name="Column13840"/>
    <tableColumn id="13846" xr3:uid="{09497FA2-2A7D-472F-BEE1-EFA27EB7A3C8}" name="Column13841"/>
    <tableColumn id="13847" xr3:uid="{148C330B-1868-4507-9823-0B0A3BB7BA2E}" name="Column13842"/>
    <tableColumn id="13848" xr3:uid="{E52EFC4C-12D3-457D-AE31-ED5A79DE8E38}" name="Column13843"/>
    <tableColumn id="13849" xr3:uid="{83F1CFE3-6CA6-4217-B849-1C1E5FA5F867}" name="Column13844"/>
    <tableColumn id="13850" xr3:uid="{2AE8BF4B-4044-4C1A-93DF-304CC30EF214}" name="Column13845"/>
    <tableColumn id="13851" xr3:uid="{B32D71AC-887E-4281-AA53-3B25DBD9AF0C}" name="Column13846"/>
    <tableColumn id="13852" xr3:uid="{1481F5EB-67DF-4D63-B9B2-645DE5AF8CFB}" name="Column13847"/>
    <tableColumn id="13853" xr3:uid="{7881E1A7-74DB-47AD-BC5E-469902D0120F}" name="Column13848"/>
    <tableColumn id="13854" xr3:uid="{844A9581-2024-42E5-9098-CE1E7F2B8BD2}" name="Column13849"/>
    <tableColumn id="13855" xr3:uid="{493E230B-4B0F-468A-AE4F-C92F02A3FCFF}" name="Column13850"/>
    <tableColumn id="13856" xr3:uid="{01F05F2D-5A37-49B3-A5F3-38F342B7405A}" name="Column13851"/>
    <tableColumn id="13857" xr3:uid="{D6409CAE-81CE-4091-9753-D400710A6C47}" name="Column13852"/>
    <tableColumn id="13858" xr3:uid="{8F0F493D-60D5-415C-A895-8F36227644FC}" name="Column13853"/>
    <tableColumn id="13859" xr3:uid="{999D3CD3-44D6-45D5-B7D7-162D88026F36}" name="Column13854"/>
    <tableColumn id="13860" xr3:uid="{928EC85B-1F9E-4838-B7B3-61765BEE319E}" name="Column13855"/>
    <tableColumn id="13861" xr3:uid="{4F563485-1B92-4C8F-A418-718BCD9AA8ED}" name="Column13856"/>
    <tableColumn id="13862" xr3:uid="{802FFA79-BE75-4B1D-A3A7-2877092C2982}" name="Column13857"/>
    <tableColumn id="13863" xr3:uid="{76766C53-B5F0-4F3F-99F7-A8C7787DE584}" name="Column13858"/>
    <tableColumn id="13864" xr3:uid="{D3C24311-8060-4B2B-B439-B60876CDCEF9}" name="Column13859"/>
    <tableColumn id="13865" xr3:uid="{3BFC3D5C-2862-447A-8699-2ADAD66A5143}" name="Column13860"/>
    <tableColumn id="13866" xr3:uid="{E811926B-1149-4E56-9C7C-D31AC780CED6}" name="Column13861"/>
    <tableColumn id="13867" xr3:uid="{85B980EE-2012-466A-AAB5-1C55B2337C7F}" name="Column13862"/>
    <tableColumn id="13868" xr3:uid="{0D17E088-6EE4-4458-93F5-211A2373780F}" name="Column13863"/>
    <tableColumn id="13869" xr3:uid="{4F4257ED-717C-4479-A74D-D65379E09EB0}" name="Column13864"/>
    <tableColumn id="13870" xr3:uid="{79B8DE8C-49DB-4E13-A754-7ED587CBCD43}" name="Column13865"/>
    <tableColumn id="13871" xr3:uid="{EC92E817-0F40-42AE-A1EE-4E62CEB6982E}" name="Column13866"/>
    <tableColumn id="13872" xr3:uid="{86FABBFD-8ABD-441B-9D69-182B61BB34F0}" name="Column13867"/>
    <tableColumn id="13873" xr3:uid="{DEB724B2-ACCE-48A1-B643-65D2F08808E9}" name="Column13868"/>
    <tableColumn id="13874" xr3:uid="{DAB15CF5-7908-4C13-9F33-6A38C14F5F83}" name="Column13869"/>
    <tableColumn id="13875" xr3:uid="{7AFEB156-8558-4E0A-8281-B28EBDEB06D3}" name="Column13870"/>
    <tableColumn id="13876" xr3:uid="{B0328B3A-1C74-45CD-B8AB-C06B5BBCE66D}" name="Column13871"/>
    <tableColumn id="13877" xr3:uid="{508010B0-C0D8-466C-8CDF-B11FCA8B8E45}" name="Column13872"/>
    <tableColumn id="13878" xr3:uid="{3C17C7DE-327C-48EA-8B38-7541CA2170A5}" name="Column13873"/>
    <tableColumn id="13879" xr3:uid="{D015D84D-29ED-42CA-835E-B299F41217B2}" name="Column13874"/>
    <tableColumn id="13880" xr3:uid="{4A86AB28-40F4-49BB-BA9D-FD2DA07620CB}" name="Column13875"/>
    <tableColumn id="13881" xr3:uid="{2BEC3BCD-FC51-49DE-91CC-1000223251E1}" name="Column13876"/>
    <tableColumn id="13882" xr3:uid="{BFBD9E75-ADD3-416C-90BD-B2FF109BB55C}" name="Column13877"/>
    <tableColumn id="13883" xr3:uid="{A4DB8F12-2731-4DAF-B039-433FD7C1ED99}" name="Column13878"/>
    <tableColumn id="13884" xr3:uid="{9006F77C-A469-4072-96A7-3E1CC40191A1}" name="Column13879"/>
    <tableColumn id="13885" xr3:uid="{447957E1-9993-4D06-893D-DBD21B233760}" name="Column13880"/>
    <tableColumn id="13886" xr3:uid="{E65B852F-ED0B-48DE-B522-8A39A2CE22F5}" name="Column13881"/>
    <tableColumn id="13887" xr3:uid="{C3DC5307-9488-4116-A9D0-C7161150665B}" name="Column13882"/>
    <tableColumn id="13888" xr3:uid="{609E8A3F-1B3B-45CD-9A6F-3DE6A771E35E}" name="Column13883"/>
    <tableColumn id="13889" xr3:uid="{FEE45517-11B9-4EBF-A732-83EAEBCF222A}" name="Column13884"/>
    <tableColumn id="13890" xr3:uid="{CD5B1C28-778D-453B-87DB-7E4CE23B3F48}" name="Column13885"/>
    <tableColumn id="13891" xr3:uid="{56E76878-AB3F-481F-92B9-DB4980768512}" name="Column13886"/>
    <tableColumn id="13892" xr3:uid="{6A3BB3DD-1373-434D-847F-0348CB1818E8}" name="Column13887"/>
    <tableColumn id="13893" xr3:uid="{EDA259A2-57E8-4DB7-9B7A-7C2EC964CD74}" name="Column13888"/>
    <tableColumn id="13894" xr3:uid="{AED03114-2827-4016-A86E-4A939ADA4DBD}" name="Column13889"/>
    <tableColumn id="13895" xr3:uid="{55FBBA02-4AE7-4D43-B736-F1BDBD5B5E4B}" name="Column13890"/>
    <tableColumn id="13896" xr3:uid="{237C4E13-AEA1-4642-83FA-6602FD2B4C9A}" name="Column13891"/>
    <tableColumn id="13897" xr3:uid="{A83CCBA0-B9A7-400B-8A18-5D3C44D44299}" name="Column13892"/>
    <tableColumn id="13898" xr3:uid="{CEB22870-920A-4E57-8E61-DF9748C5C9AB}" name="Column13893"/>
    <tableColumn id="13899" xr3:uid="{85281211-5C6A-4175-8EFB-7CF22359B8DB}" name="Column13894"/>
    <tableColumn id="13900" xr3:uid="{3F969F80-5B48-44B1-936B-DB1EA7C62F90}" name="Column13895"/>
    <tableColumn id="13901" xr3:uid="{D8F6B2BB-A6BC-4AE9-AA38-2CED141A0D19}" name="Column13896"/>
    <tableColumn id="13902" xr3:uid="{1006EAB7-7F41-4A2D-946C-4705610192F2}" name="Column13897"/>
    <tableColumn id="13903" xr3:uid="{9649FF05-9E83-4E03-833F-4B38F47A19D7}" name="Column13898"/>
    <tableColumn id="13904" xr3:uid="{68622CD0-9639-4684-9AC5-2C21121A3A6A}" name="Column13899"/>
    <tableColumn id="13905" xr3:uid="{C737539C-BC66-4B39-9F84-FBD1533BF5A4}" name="Column13900"/>
    <tableColumn id="13906" xr3:uid="{189BF262-B49B-4DC8-86AC-8BD2FD7D4D9F}" name="Column13901"/>
    <tableColumn id="13907" xr3:uid="{1E86CAED-68A2-4A20-906B-FCB71C64312F}" name="Column13902"/>
    <tableColumn id="13908" xr3:uid="{13E5B09B-F4DA-4318-A599-A362E48599C6}" name="Column13903"/>
    <tableColumn id="13909" xr3:uid="{4666B7F0-A151-4CD8-8E96-BBB15D3B114E}" name="Column13904"/>
    <tableColumn id="13910" xr3:uid="{072793E7-1720-4BFC-8E95-D58F263842DB}" name="Column13905"/>
    <tableColumn id="13911" xr3:uid="{BEB78F59-5BB7-4563-821F-233F72A13EFE}" name="Column13906"/>
    <tableColumn id="13912" xr3:uid="{98A6A1FB-1BF3-4E0C-8DDC-266AEB38605A}" name="Column13907"/>
    <tableColumn id="13913" xr3:uid="{95FABBDE-2F36-430B-8A29-84F44642B5C8}" name="Column13908"/>
    <tableColumn id="13914" xr3:uid="{B0BFC306-DD66-4E99-B864-365D9E7F0B25}" name="Column13909"/>
    <tableColumn id="13915" xr3:uid="{1B347BC5-F577-4267-90AB-FD2B3D11C392}" name="Column13910"/>
    <tableColumn id="13916" xr3:uid="{B8B6FDCF-98C8-4C56-9217-E19443C38939}" name="Column13911"/>
    <tableColumn id="13917" xr3:uid="{662676EB-80EF-48B4-97E2-CA3D01893BE4}" name="Column13912"/>
    <tableColumn id="13918" xr3:uid="{8A85890E-1B9A-46E4-BAF9-7A12701A01E5}" name="Column13913"/>
    <tableColumn id="13919" xr3:uid="{477EF9EA-EC27-4DF9-9C89-5330C11EA062}" name="Column13914"/>
    <tableColumn id="13920" xr3:uid="{1104CF0C-BBBF-4D09-9808-81D1928BD053}" name="Column13915"/>
    <tableColumn id="13921" xr3:uid="{427CB686-C54B-4E7F-B740-1A25EDFFB26F}" name="Column13916"/>
    <tableColumn id="13922" xr3:uid="{6A346383-E6B8-44B9-947E-0F9F0D202915}" name="Column13917"/>
    <tableColumn id="13923" xr3:uid="{C58BC9C5-8F49-423C-B8A1-63EF94072127}" name="Column13918"/>
    <tableColumn id="13924" xr3:uid="{33DE8A1B-09BF-4963-A904-F728129995E5}" name="Column13919"/>
    <tableColumn id="13925" xr3:uid="{7B146470-E6AD-40C1-AEDF-D4680DE8FF37}" name="Column13920"/>
    <tableColumn id="13926" xr3:uid="{B7225366-2BA9-45A9-8BB3-0027C74F06EA}" name="Column13921"/>
    <tableColumn id="13927" xr3:uid="{C3F9AB1D-EFCB-4994-9E78-63B35FBC3781}" name="Column13922"/>
    <tableColumn id="13928" xr3:uid="{1CDC36AA-0A1C-436A-B778-31DFA81A7580}" name="Column13923"/>
    <tableColumn id="13929" xr3:uid="{69509427-A1AE-41C8-8295-F7909297961F}" name="Column13924"/>
    <tableColumn id="13930" xr3:uid="{EABFCD60-3A98-4819-9DD7-1A329D31DFE2}" name="Column13925"/>
    <tableColumn id="13931" xr3:uid="{D9341CAB-3D97-4402-886E-83A266561868}" name="Column13926"/>
    <tableColumn id="13932" xr3:uid="{0DCE9CEC-C62A-4AA5-9025-E2CA91304AD5}" name="Column13927"/>
    <tableColumn id="13933" xr3:uid="{FB591CCC-E07D-4CF6-89F3-085C46756DC9}" name="Column13928"/>
    <tableColumn id="13934" xr3:uid="{6757E4BC-11E8-4FB3-A68F-5B854C35961A}" name="Column13929"/>
    <tableColumn id="13935" xr3:uid="{93075A55-836D-4844-B306-7777DF7D3FD8}" name="Column13930"/>
    <tableColumn id="13936" xr3:uid="{E8108194-0D3F-4A34-974A-B552FF7A3F5F}" name="Column13931"/>
    <tableColumn id="13937" xr3:uid="{667EEF8D-24BA-4B1C-8B06-0AD0A9987644}" name="Column13932"/>
    <tableColumn id="13938" xr3:uid="{577AB01F-2240-40CB-92F2-B798D83B4537}" name="Column13933"/>
    <tableColumn id="13939" xr3:uid="{01C5322D-713F-4479-A7CB-96BB5E2BC6A7}" name="Column13934"/>
    <tableColumn id="13940" xr3:uid="{5EBE43BF-A02A-42D2-BC89-CB12BDE09986}" name="Column13935"/>
    <tableColumn id="13941" xr3:uid="{F61E4597-ADA4-40F0-A26E-955096F72A7D}" name="Column13936"/>
    <tableColumn id="13942" xr3:uid="{A47868B3-FED1-4CD3-9D9D-7CCC3D9CEC20}" name="Column13937"/>
    <tableColumn id="13943" xr3:uid="{4BD1243E-BF6A-4E58-99BC-C60F8CBE48CA}" name="Column13938"/>
    <tableColumn id="13944" xr3:uid="{69CE122F-5CCB-41A9-91D3-18D6433877D0}" name="Column13939"/>
    <tableColumn id="13945" xr3:uid="{A29B3076-EF55-4D5F-BE90-36071368B538}" name="Column13940"/>
    <tableColumn id="13946" xr3:uid="{9EB511CB-AFA7-4E48-8C54-59E808AC17C0}" name="Column13941"/>
    <tableColumn id="13947" xr3:uid="{F03437D2-6E26-48CD-A2D2-5C85254DE44F}" name="Column13942"/>
    <tableColumn id="13948" xr3:uid="{6E3AEC72-F05A-4818-BECF-978C83F7C5F8}" name="Column13943"/>
    <tableColumn id="13949" xr3:uid="{A63E5354-6333-4751-A5D7-1CDBB284508A}" name="Column13944"/>
    <tableColumn id="13950" xr3:uid="{A5F83706-D145-4C73-8C70-FB5B77AEA4E1}" name="Column13945"/>
    <tableColumn id="13951" xr3:uid="{06BF57F8-BF0D-4FB1-A232-875656BBCECF}" name="Column13946"/>
    <tableColumn id="13952" xr3:uid="{20649A2A-F365-4F4C-94EF-6A9DE7287A51}" name="Column13947"/>
    <tableColumn id="13953" xr3:uid="{024B4FEC-092A-48EC-A4C9-30A1CBF0259B}" name="Column13948"/>
    <tableColumn id="13954" xr3:uid="{9B31CA27-0153-42B1-8F6F-894185D4A9FA}" name="Column13949"/>
    <tableColumn id="13955" xr3:uid="{069929EC-2B61-4C94-8B19-8C1D6B693605}" name="Column13950"/>
    <tableColumn id="13956" xr3:uid="{4C23A42F-C911-459C-B749-DAD2387024F0}" name="Column13951"/>
    <tableColumn id="13957" xr3:uid="{E9133973-B952-4605-BF3A-259C7C0D7A93}" name="Column13952"/>
    <tableColumn id="13958" xr3:uid="{2E298662-00F7-4B09-B1D9-9CE2474E98F9}" name="Column13953"/>
    <tableColumn id="13959" xr3:uid="{FE6AD79A-5D4F-4ABB-A187-0C4FD2C19838}" name="Column13954"/>
    <tableColumn id="13960" xr3:uid="{EB27D15B-DDC3-423A-9AF7-46B669F487DB}" name="Column13955"/>
    <tableColumn id="13961" xr3:uid="{31DA453B-5E7F-4253-BBE0-13FEE52CAA39}" name="Column13956"/>
    <tableColumn id="13962" xr3:uid="{B5553569-68B6-4695-B126-58FC7326A971}" name="Column13957"/>
    <tableColumn id="13963" xr3:uid="{E5652BC5-6EAD-4095-B3FB-B788843DA4BC}" name="Column13958"/>
    <tableColumn id="13964" xr3:uid="{0A4EE282-FE57-44E6-BD83-5329BB1DE134}" name="Column13959"/>
    <tableColumn id="13965" xr3:uid="{D1E6F981-8672-4BC6-93F7-97AF302365C8}" name="Column13960"/>
    <tableColumn id="13966" xr3:uid="{650466A2-8DCA-4FAD-B99C-ABEFBBA69092}" name="Column13961"/>
    <tableColumn id="13967" xr3:uid="{02500DB5-AB52-40AA-AFA5-C7F6F4FC6C7A}" name="Column13962"/>
    <tableColumn id="13968" xr3:uid="{3DD43A1E-1A9D-4A2E-BA21-F9256D69934E}" name="Column13963"/>
    <tableColumn id="13969" xr3:uid="{2FED4639-76E8-4763-9F35-6C1622259841}" name="Column13964"/>
    <tableColumn id="13970" xr3:uid="{600477A2-751B-4AAD-9ED6-A563248EC88E}" name="Column13965"/>
    <tableColumn id="13971" xr3:uid="{C49CFB87-BA3C-45C6-95E2-E8E5508E13C1}" name="Column13966"/>
    <tableColumn id="13972" xr3:uid="{D0808978-139A-45F0-906E-04F58513DA04}" name="Column13967"/>
    <tableColumn id="13973" xr3:uid="{184EFF00-7D70-4041-92EB-2B6DC678E312}" name="Column13968"/>
    <tableColumn id="13974" xr3:uid="{94787620-0E12-47BB-8915-7C6F7021FC1B}" name="Column13969"/>
    <tableColumn id="13975" xr3:uid="{B2AC5AE4-D0A2-4FFA-BAC1-2BFBFE96C198}" name="Column13970"/>
    <tableColumn id="13976" xr3:uid="{F7BABDBF-B014-436F-AFF8-89E604630D20}" name="Column13971"/>
    <tableColumn id="13977" xr3:uid="{EDCA5999-17C1-4153-AAD3-577D6294188F}" name="Column13972"/>
    <tableColumn id="13978" xr3:uid="{0151F7F9-B547-4ACD-8C55-52440B5FDDBA}" name="Column13973"/>
    <tableColumn id="13979" xr3:uid="{5B66F9AE-A829-42A4-A749-0A4BBD5055BE}" name="Column13974"/>
    <tableColumn id="13980" xr3:uid="{F0B32BF6-B354-48C7-AE45-E633CBFA761D}" name="Column13975"/>
    <tableColumn id="13981" xr3:uid="{26F27AE5-4E86-4C3A-B338-6DED5696B80D}" name="Column13976"/>
    <tableColumn id="13982" xr3:uid="{A949627C-463C-4D16-ABF3-988679A4A248}" name="Column13977"/>
    <tableColumn id="13983" xr3:uid="{AA5CE8DC-544D-473C-986A-E854E89B940C}" name="Column13978"/>
    <tableColumn id="13984" xr3:uid="{04F7316E-0D6D-4EC6-8396-B5B286E15058}" name="Column13979"/>
    <tableColumn id="13985" xr3:uid="{9D15A1D6-D364-4D40-A068-0A66EDF8118B}" name="Column13980"/>
    <tableColumn id="13986" xr3:uid="{FD614085-5671-4263-894B-E68E3B393BF9}" name="Column13981"/>
    <tableColumn id="13987" xr3:uid="{541A8046-1230-4BFA-AEB8-18A99F86ADA5}" name="Column13982"/>
    <tableColumn id="13988" xr3:uid="{1F029EE0-B897-43AD-926B-88DA67B4DD98}" name="Column13983"/>
    <tableColumn id="13989" xr3:uid="{89989771-82A9-4877-8751-A20851222F2B}" name="Column13984"/>
    <tableColumn id="13990" xr3:uid="{D1E7FE0C-D264-4405-961D-941D9BA604D4}" name="Column13985"/>
    <tableColumn id="13991" xr3:uid="{0EA00A1E-3236-43DA-BA38-BF054467D3B2}" name="Column13986"/>
    <tableColumn id="13992" xr3:uid="{85875BEE-1E39-4C2B-8DF3-1915DDAA2798}" name="Column13987"/>
    <tableColumn id="13993" xr3:uid="{53F19C0D-DD49-4F5D-A436-D1E7AE233FEB}" name="Column13988"/>
    <tableColumn id="13994" xr3:uid="{8B1C5D77-C0AC-4FD9-88B0-68B538DA75AB}" name="Column13989"/>
    <tableColumn id="13995" xr3:uid="{AF4A1961-BE08-4F16-89C2-A7953055C369}" name="Column13990"/>
    <tableColumn id="13996" xr3:uid="{728433B2-70F7-422C-A4CE-852FE000A0D1}" name="Column13991"/>
    <tableColumn id="13997" xr3:uid="{6BC49374-CDE1-464C-8F54-F5BA83FA0FAA}" name="Column13992"/>
    <tableColumn id="13998" xr3:uid="{5A664372-5840-41C1-90B9-BF9D5B5E4FF2}" name="Column13993"/>
    <tableColumn id="13999" xr3:uid="{4920609F-70D7-484C-BFB3-795595F91894}" name="Column13994"/>
    <tableColumn id="14000" xr3:uid="{0EC1D621-9E13-40A7-9A19-0E3A2922A1B3}" name="Column13995"/>
    <tableColumn id="14001" xr3:uid="{D4338632-0B3B-420E-AA31-14D6CDD481F2}" name="Column13996"/>
    <tableColumn id="14002" xr3:uid="{4F812063-E55C-4CCD-994E-32B6A1CF81C7}" name="Column13997"/>
    <tableColumn id="14003" xr3:uid="{208235B8-0256-45C7-BAA2-22563B9B0E72}" name="Column13998"/>
    <tableColumn id="14004" xr3:uid="{024A602C-CA7C-48E2-BF8B-81086DCDC582}" name="Column13999"/>
    <tableColumn id="14005" xr3:uid="{A559FC7D-8BA6-4A2D-A084-CAE225B34916}" name="Column14000"/>
    <tableColumn id="14006" xr3:uid="{AC91A388-3B14-4E07-8318-62CD94B4BAB5}" name="Column14001"/>
    <tableColumn id="14007" xr3:uid="{1303CAA1-BE20-476D-8E72-727EAE04B6D7}" name="Column14002"/>
    <tableColumn id="14008" xr3:uid="{A0E4A707-4BA8-4951-B0E7-291BE118443B}" name="Column14003"/>
    <tableColumn id="14009" xr3:uid="{046E8BF6-2210-4F90-9EA8-B91B7B68D92D}" name="Column14004"/>
    <tableColumn id="14010" xr3:uid="{9389AA00-EEA1-4AD9-BC72-FBE25D53A8E3}" name="Column14005"/>
    <tableColumn id="14011" xr3:uid="{64F30671-C6CF-4C9E-9414-CE82CEC2D0C7}" name="Column14006"/>
    <tableColumn id="14012" xr3:uid="{DCF49428-9A20-404D-8810-685DEB6FD7DE}" name="Column14007"/>
    <tableColumn id="14013" xr3:uid="{3E77D9C5-5265-4F2C-ADC3-02454E5DA45E}" name="Column14008"/>
    <tableColumn id="14014" xr3:uid="{4902A326-090F-46B4-B570-CDE622847E29}" name="Column14009"/>
    <tableColumn id="14015" xr3:uid="{2D967ABE-0D67-4EC9-9574-F424EA9D2C3A}" name="Column14010"/>
    <tableColumn id="14016" xr3:uid="{EF3DF08F-6A7A-43D0-B287-AB20F1CDA107}" name="Column14011"/>
    <tableColumn id="14017" xr3:uid="{EEAE0193-042C-44C7-A86F-8262E056C11A}" name="Column14012"/>
    <tableColumn id="14018" xr3:uid="{A6BF1B6F-3E87-48EE-9610-6BBB0DB8700C}" name="Column14013"/>
    <tableColumn id="14019" xr3:uid="{35BCA26A-86A8-46DA-8805-A0C2DF3DDE76}" name="Column14014"/>
    <tableColumn id="14020" xr3:uid="{03309FC7-CC9A-4C30-BF48-F37A98CDBCF8}" name="Column14015"/>
    <tableColumn id="14021" xr3:uid="{66E7E2EC-418E-4447-A09A-1761771C2F45}" name="Column14016"/>
    <tableColumn id="14022" xr3:uid="{46CB0B99-D3BF-408A-8D19-7CD6D25F71C4}" name="Column14017"/>
    <tableColumn id="14023" xr3:uid="{4217B4CC-3251-4E45-9AE3-9368899E6087}" name="Column14018"/>
    <tableColumn id="14024" xr3:uid="{D38BF295-ACFF-4825-A15E-2CB825FE0997}" name="Column14019"/>
    <tableColumn id="14025" xr3:uid="{0CF5E3F8-EF75-44DC-8B57-3540344DA52A}" name="Column14020"/>
    <tableColumn id="14026" xr3:uid="{F17418D9-0B1C-4164-9CD1-42808CDAE0A1}" name="Column14021"/>
    <tableColumn id="14027" xr3:uid="{87197109-E773-4B8A-97FF-F6FC763309E3}" name="Column14022"/>
    <tableColumn id="14028" xr3:uid="{3FDD8F03-438E-467B-8934-C6905E0C3F9D}" name="Column14023"/>
    <tableColumn id="14029" xr3:uid="{57A68F48-8AE2-42CF-9F93-F8227A2ED10E}" name="Column14024"/>
    <tableColumn id="14030" xr3:uid="{0E023B43-8BB8-42C5-B9CA-D083E28968C8}" name="Column14025"/>
    <tableColumn id="14031" xr3:uid="{F8B904A6-189F-411E-863F-8FEDD6F6AFB2}" name="Column14026"/>
    <tableColumn id="14032" xr3:uid="{F64DE08F-5A51-4E1D-8329-13E3452D4EB5}" name="Column14027"/>
    <tableColumn id="14033" xr3:uid="{5A116272-EC35-46D0-A8A2-783086B8F6F0}" name="Column14028"/>
    <tableColumn id="14034" xr3:uid="{869F4779-99BA-416C-B297-C56F0DFE05D5}" name="Column14029"/>
    <tableColumn id="14035" xr3:uid="{EB439DB1-5642-4B8B-8D0E-DD225E9892C3}" name="Column14030"/>
    <tableColumn id="14036" xr3:uid="{076EF9BF-4614-4209-AE94-8B1AF8D330DC}" name="Column14031"/>
    <tableColumn id="14037" xr3:uid="{AB3D63C8-5B28-4E28-902F-F5D183953819}" name="Column14032"/>
    <tableColumn id="14038" xr3:uid="{4B559229-420E-4053-A17B-2BE7E050E938}" name="Column14033"/>
    <tableColumn id="14039" xr3:uid="{23D69A32-5553-4542-9908-B87C198F5FBD}" name="Column14034"/>
    <tableColumn id="14040" xr3:uid="{09028F1E-45E5-4AAB-AE2C-F91B36579272}" name="Column14035"/>
    <tableColumn id="14041" xr3:uid="{D047B44B-A926-4C55-BECA-2F6D09E13925}" name="Column14036"/>
    <tableColumn id="14042" xr3:uid="{C67B4ACC-B193-4190-A05F-C0D3642E2B8A}" name="Column14037"/>
    <tableColumn id="14043" xr3:uid="{6BA9694B-95DA-497D-958D-1025AD4A1FBE}" name="Column14038"/>
    <tableColumn id="14044" xr3:uid="{A1798FE5-4A00-4E25-BE99-24D84E581102}" name="Column14039"/>
    <tableColumn id="14045" xr3:uid="{436DB00E-E46C-494E-A79A-9F35261831D6}" name="Column14040"/>
    <tableColumn id="14046" xr3:uid="{E464F3E0-8447-4B6E-9A66-FC714D7DCBCD}" name="Column14041"/>
    <tableColumn id="14047" xr3:uid="{BC4D8E6E-114E-4272-A627-B7CB3997F234}" name="Column14042"/>
    <tableColumn id="14048" xr3:uid="{FB80633B-6E36-4C0B-BBC7-7CE246AB42BD}" name="Column14043"/>
    <tableColumn id="14049" xr3:uid="{A7FA5804-5CC7-4175-BEDC-448541C55096}" name="Column14044"/>
    <tableColumn id="14050" xr3:uid="{99A99F2D-AF9A-4131-A641-E581BD5C076A}" name="Column14045"/>
    <tableColumn id="14051" xr3:uid="{25ECE491-C87A-4CA8-9373-1F1CFEA9BDE1}" name="Column14046"/>
    <tableColumn id="14052" xr3:uid="{CC5852FC-B910-4040-9BE2-CDD4FC82CF7B}" name="Column14047"/>
    <tableColumn id="14053" xr3:uid="{BCF0162A-3F1C-40AA-A68F-BC2CB51E8B42}" name="Column14048"/>
    <tableColumn id="14054" xr3:uid="{DCC21D28-F389-4133-9A0D-EEE2FCF2BD81}" name="Column14049"/>
    <tableColumn id="14055" xr3:uid="{F4404183-0076-4E5C-AA79-FBE71346E82E}" name="Column14050"/>
    <tableColumn id="14056" xr3:uid="{24A22D44-FBC8-4905-8AA5-D7CF263A7D7C}" name="Column14051"/>
    <tableColumn id="14057" xr3:uid="{57535EAE-9864-4436-B5E2-95C6D6D58298}" name="Column14052"/>
    <tableColumn id="14058" xr3:uid="{92C8549C-06FD-4BBB-8A7E-E6A87284CDAD}" name="Column14053"/>
    <tableColumn id="14059" xr3:uid="{D6E68EE1-47B9-4F54-974F-474E717A2767}" name="Column14054"/>
    <tableColumn id="14060" xr3:uid="{2AE575C7-46BC-4DFA-BF65-B4C396E85EAF}" name="Column14055"/>
    <tableColumn id="14061" xr3:uid="{B0AB070E-D585-49BD-A8DA-95CDB532CDF1}" name="Column14056"/>
    <tableColumn id="14062" xr3:uid="{7E8593F0-C2A0-4DD5-8294-F04A52B141D8}" name="Column14057"/>
    <tableColumn id="14063" xr3:uid="{A1A9F23C-FB52-4C24-A5E2-4569F9828D68}" name="Column14058"/>
    <tableColumn id="14064" xr3:uid="{DCF09BAA-7FB7-4A54-92B4-F7F2BD0287C4}" name="Column14059"/>
    <tableColumn id="14065" xr3:uid="{A7590804-807D-429E-91EA-3D1EC75B7272}" name="Column14060"/>
    <tableColumn id="14066" xr3:uid="{30B732D8-5326-44A5-B078-C4592A05644D}" name="Column14061"/>
    <tableColumn id="14067" xr3:uid="{CCBEAB91-7C91-49D1-B7D9-261C57527825}" name="Column14062"/>
    <tableColumn id="14068" xr3:uid="{935B670F-5E61-4DEC-A820-18CEB3E7D8A8}" name="Column14063"/>
    <tableColumn id="14069" xr3:uid="{7B9700BC-4602-4DCC-AC94-F969E3F3FD13}" name="Column14064"/>
    <tableColumn id="14070" xr3:uid="{AD25511E-8C51-488A-A9F0-88D5F09422C9}" name="Column14065"/>
    <tableColumn id="14071" xr3:uid="{9FF0FDFF-EA80-45C1-B233-B9EFA686F312}" name="Column14066"/>
    <tableColumn id="14072" xr3:uid="{6321ECC9-8A61-4BD0-B18F-037173268754}" name="Column14067"/>
    <tableColumn id="14073" xr3:uid="{3DC9E885-5971-4315-A7F3-C2D82A969B32}" name="Column14068"/>
    <tableColumn id="14074" xr3:uid="{555AC048-9377-450D-9F48-E1C9EF0CB126}" name="Column14069"/>
    <tableColumn id="14075" xr3:uid="{25BDF9AA-25D3-43D3-B94F-9C2029E360A2}" name="Column14070"/>
    <tableColumn id="14076" xr3:uid="{2638058A-9D69-41D8-B6D4-46BDBCE16B55}" name="Column14071"/>
    <tableColumn id="14077" xr3:uid="{DD5ED995-08A8-40D9-994B-47511DD18D8C}" name="Column14072"/>
    <tableColumn id="14078" xr3:uid="{3C0C16D8-07A9-499E-AA92-69F3490F6EAE}" name="Column14073"/>
    <tableColumn id="14079" xr3:uid="{EC8ECA93-513F-4390-B257-502ABE55801A}" name="Column14074"/>
    <tableColumn id="14080" xr3:uid="{913CC1E9-C0AD-423B-A38B-C7E40B727340}" name="Column14075"/>
    <tableColumn id="14081" xr3:uid="{7B5E07A8-2E41-4D84-8E61-8297EBA3D7FC}" name="Column14076"/>
    <tableColumn id="14082" xr3:uid="{48733A40-6819-4D33-B04B-AACE87C6BE8A}" name="Column14077"/>
    <tableColumn id="14083" xr3:uid="{C43B82B9-B34F-4603-9C0A-21393C4D153F}" name="Column14078"/>
    <tableColumn id="14084" xr3:uid="{F12EBB04-153C-4714-B328-97D5A3B733FA}" name="Column14079"/>
    <tableColumn id="14085" xr3:uid="{29CBBB0E-3195-4BF0-911A-8780A2EEE093}" name="Column14080"/>
    <tableColumn id="14086" xr3:uid="{3C9CA91D-83C5-4D50-9C0D-B3D8ED52EC53}" name="Column14081"/>
    <tableColumn id="14087" xr3:uid="{74192824-6288-437B-8CC6-D5793AA75EAE}" name="Column14082"/>
    <tableColumn id="14088" xr3:uid="{18D5EA43-06BF-46CF-80AF-AF27BB5BC068}" name="Column14083"/>
    <tableColumn id="14089" xr3:uid="{2D859202-3AA8-44C5-88E6-E5D24B871646}" name="Column14084"/>
    <tableColumn id="14090" xr3:uid="{63BA9295-FDFC-4943-85B4-F5FDB9195D09}" name="Column14085"/>
    <tableColumn id="14091" xr3:uid="{C3F1E255-3737-460E-9160-E47162B4EF4B}" name="Column14086"/>
    <tableColumn id="14092" xr3:uid="{D7DCBD84-B4EA-4397-8C54-DA1D10BC5DC5}" name="Column14087"/>
    <tableColumn id="14093" xr3:uid="{A3E10B4E-F095-4CF0-AF86-1141D37ACE73}" name="Column14088"/>
    <tableColumn id="14094" xr3:uid="{9109ABE8-28BD-4DBC-BC42-571C539784BF}" name="Column14089"/>
    <tableColumn id="14095" xr3:uid="{F3CFC94E-CE48-4B5C-92B6-B880AF3B6D97}" name="Column14090"/>
    <tableColumn id="14096" xr3:uid="{B89329C9-6767-48BB-8F44-29128D2AB193}" name="Column14091"/>
    <tableColumn id="14097" xr3:uid="{DF38D7E6-189F-4A68-B73A-C98C04E5E9BA}" name="Column14092"/>
    <tableColumn id="14098" xr3:uid="{FE77EC78-EA2D-4419-A983-F754D975D275}" name="Column14093"/>
    <tableColumn id="14099" xr3:uid="{DEDA23B1-6493-4300-9A9B-7D497E484560}" name="Column14094"/>
    <tableColumn id="14100" xr3:uid="{7BC5B927-90B5-4549-8A78-A65335B6FA9C}" name="Column14095"/>
    <tableColumn id="14101" xr3:uid="{1394BED4-FF14-4361-B868-DDD11E70103E}" name="Column14096"/>
    <tableColumn id="14102" xr3:uid="{1C5463E7-6C73-49CA-BEDF-51B11A216093}" name="Column14097"/>
    <tableColumn id="14103" xr3:uid="{D336FC56-CB21-44DF-8EA5-3EDD9C0E930B}" name="Column14098"/>
    <tableColumn id="14104" xr3:uid="{7679576C-35EB-481E-B946-C31EF8799685}" name="Column14099"/>
    <tableColumn id="14105" xr3:uid="{DB55D509-92C3-46C0-BDC5-7A7C452C33F6}" name="Column14100"/>
    <tableColumn id="14106" xr3:uid="{4E463D2C-498D-4DD3-8129-1871A34B19DB}" name="Column14101"/>
    <tableColumn id="14107" xr3:uid="{4C674FC7-C0FF-44CB-9167-31FCB6827D15}" name="Column14102"/>
    <tableColumn id="14108" xr3:uid="{9439AEF8-30B1-45C8-B260-352C7B085088}" name="Column14103"/>
    <tableColumn id="14109" xr3:uid="{E5DCA917-64E4-4946-AC43-8276D9A34668}" name="Column14104"/>
    <tableColumn id="14110" xr3:uid="{DB13528B-16FA-45BA-B217-BC3E464851BE}" name="Column14105"/>
    <tableColumn id="14111" xr3:uid="{18948D37-7EFE-4AA4-80D9-81143457C1F0}" name="Column14106"/>
    <tableColumn id="14112" xr3:uid="{4E6F1FAF-8084-424A-B8D7-35280FA37530}" name="Column14107"/>
    <tableColumn id="14113" xr3:uid="{CF3E4E7E-4B62-4417-8D69-EBA32A0ABC1A}" name="Column14108"/>
    <tableColumn id="14114" xr3:uid="{ED9B1A6C-7004-41F8-845A-02AABB3D8AB3}" name="Column14109"/>
    <tableColumn id="14115" xr3:uid="{2362DE83-CDAB-4666-A0E2-8E2E2F8C5049}" name="Column14110"/>
    <tableColumn id="14116" xr3:uid="{68B7556E-84A6-44D1-941B-117373BE6E76}" name="Column14111"/>
    <tableColumn id="14117" xr3:uid="{7D90B11A-95A0-4B24-9384-08062DA623FD}" name="Column14112"/>
    <tableColumn id="14118" xr3:uid="{86302355-6D3E-4214-8998-255D62119DEB}" name="Column14113"/>
    <tableColumn id="14119" xr3:uid="{7B87B095-27C9-44DD-9EAB-E8DED6B03AF5}" name="Column14114"/>
    <tableColumn id="14120" xr3:uid="{95F07662-2370-4789-918A-5ABC14CAB162}" name="Column14115"/>
    <tableColumn id="14121" xr3:uid="{902AB3BB-BF28-4B2E-B95D-ADD02ADA5986}" name="Column14116"/>
    <tableColumn id="14122" xr3:uid="{372FE481-A6D6-472F-9366-CDBA01EBED82}" name="Column14117"/>
    <tableColumn id="14123" xr3:uid="{44FA38B1-7872-47DE-99C9-30E91F657F67}" name="Column14118"/>
    <tableColumn id="14124" xr3:uid="{B87F1ADE-B0C7-4927-B5CF-F91B89167564}" name="Column14119"/>
    <tableColumn id="14125" xr3:uid="{0A39D696-F4A7-435D-A0F6-D936E91D1989}" name="Column14120"/>
    <tableColumn id="14126" xr3:uid="{D9A24CEA-1967-4399-979F-8A4C456A68A9}" name="Column14121"/>
    <tableColumn id="14127" xr3:uid="{0FF7E30F-9B9F-4513-9753-0E572A578521}" name="Column14122"/>
    <tableColumn id="14128" xr3:uid="{58145A66-C36C-4B1B-9C97-F98C9120F881}" name="Column14123"/>
    <tableColumn id="14129" xr3:uid="{146DFF69-EAB5-4583-A557-EF76ADE0EAF9}" name="Column14124"/>
    <tableColumn id="14130" xr3:uid="{614CF966-F916-447E-87AE-FEBA1C3E1B40}" name="Column14125"/>
    <tableColumn id="14131" xr3:uid="{C6B34CB1-891E-4AC6-943C-D2777FC61E7E}" name="Column14126"/>
    <tableColumn id="14132" xr3:uid="{E089181F-DE67-4CB6-9236-0930C3869425}" name="Column14127"/>
    <tableColumn id="14133" xr3:uid="{41D08102-8F76-4157-857F-0A71FA78F6DA}" name="Column14128"/>
    <tableColumn id="14134" xr3:uid="{01A84AD1-A33B-492A-A4A6-23A31F799453}" name="Column14129"/>
    <tableColumn id="14135" xr3:uid="{B50CA8B6-E925-4C70-86F3-1C6B73F03D63}" name="Column14130"/>
    <tableColumn id="14136" xr3:uid="{5EE43B30-B234-464B-95D2-F8D3109D83A0}" name="Column14131"/>
    <tableColumn id="14137" xr3:uid="{84CE2D8C-636B-4028-868A-A0819A4DF972}" name="Column14132"/>
    <tableColumn id="14138" xr3:uid="{DE97FDEA-D7B9-4901-B482-8631DCB345D1}" name="Column14133"/>
    <tableColumn id="14139" xr3:uid="{9FFC9F9C-C9D2-42C1-B050-BD5234428946}" name="Column14134"/>
    <tableColumn id="14140" xr3:uid="{B907BAB1-2E95-4DF9-A5D2-E88E0BE70C0C}" name="Column14135"/>
    <tableColumn id="14141" xr3:uid="{BE0E5D5D-5370-46B8-94E8-93328C94A4A5}" name="Column14136"/>
    <tableColumn id="14142" xr3:uid="{131DBF55-DE0A-42E8-9F7A-3509AA0660AE}" name="Column14137"/>
    <tableColumn id="14143" xr3:uid="{7B2A356F-8C1A-45EA-BB37-A6D7B193E2DD}" name="Column14138"/>
    <tableColumn id="14144" xr3:uid="{3B2356FC-8E66-46CB-BCE4-F8F7A1C928E0}" name="Column14139"/>
    <tableColumn id="14145" xr3:uid="{E55DE71F-810D-439E-894E-7126480742C9}" name="Column14140"/>
    <tableColumn id="14146" xr3:uid="{FB977393-05D4-4595-B923-EB1AB5FBF256}" name="Column14141"/>
    <tableColumn id="14147" xr3:uid="{08F837BF-C4CB-4CF7-BBA1-3E44EDFEAEAC}" name="Column14142"/>
    <tableColumn id="14148" xr3:uid="{58F6FBDE-AB34-45B9-B449-8ABE9503187D}" name="Column14143"/>
    <tableColumn id="14149" xr3:uid="{55EC7585-E84C-4F2D-8A35-540FBA76C6AF}" name="Column14144"/>
    <tableColumn id="14150" xr3:uid="{DA5F0FC4-1598-41A8-96A3-81867CC07659}" name="Column14145"/>
    <tableColumn id="14151" xr3:uid="{6442F6B4-1637-492A-8C97-ED615C4E3F1E}" name="Column14146"/>
    <tableColumn id="14152" xr3:uid="{72C2FA4B-0302-437A-B505-7D17CDA9EC2A}" name="Column14147"/>
    <tableColumn id="14153" xr3:uid="{4FB8AEF5-C927-44FE-905B-15652D5BF149}" name="Column14148"/>
    <tableColumn id="14154" xr3:uid="{43284F9E-C85F-4F5F-9614-30E4198F1C37}" name="Column14149"/>
    <tableColumn id="14155" xr3:uid="{2A3B51D4-AF1A-4321-A523-41C1246BF64C}" name="Column14150"/>
    <tableColumn id="14156" xr3:uid="{6214CB96-B565-40F7-B798-87ECE62D26EA}" name="Column14151"/>
    <tableColumn id="14157" xr3:uid="{F8B18A3E-5D00-4C58-84A2-150B5F2C32DC}" name="Column14152"/>
    <tableColumn id="14158" xr3:uid="{1C7530E1-5A59-45D7-8EB1-905293711E91}" name="Column14153"/>
    <tableColumn id="14159" xr3:uid="{8E4C083D-A8F0-4956-BB38-437718837033}" name="Column14154"/>
    <tableColumn id="14160" xr3:uid="{FAF9545A-D3F5-4171-A01D-ED3ABAC5559C}" name="Column14155"/>
    <tableColumn id="14161" xr3:uid="{6705B371-C377-4D42-9F14-7C6E6DA6854D}" name="Column14156"/>
    <tableColumn id="14162" xr3:uid="{4EB61DBD-49EE-4FD8-801E-5B03C8D58856}" name="Column14157"/>
    <tableColumn id="14163" xr3:uid="{15650764-6A63-4D18-88D7-9792D7B09AB0}" name="Column14158"/>
    <tableColumn id="14164" xr3:uid="{1617BB8C-900C-4E01-AA84-B4333D9C264F}" name="Column14159"/>
    <tableColumn id="14165" xr3:uid="{20028BDF-3CBF-42D9-9A6A-E5448AE0BC5E}" name="Column14160"/>
    <tableColumn id="14166" xr3:uid="{927BD250-CF58-4076-81DA-EFA3CA27F121}" name="Column14161"/>
    <tableColumn id="14167" xr3:uid="{3E464410-7CB3-4490-9BFD-1D557B8A3CC1}" name="Column14162"/>
    <tableColumn id="14168" xr3:uid="{8F27C7EC-2574-48B4-9E75-1CDEAD537FF0}" name="Column14163"/>
    <tableColumn id="14169" xr3:uid="{DDDA8F97-64E4-4216-BEF2-95E2FDC9AFFE}" name="Column14164"/>
    <tableColumn id="14170" xr3:uid="{CD31D788-68CC-4056-980F-697717BF0133}" name="Column14165"/>
    <tableColumn id="14171" xr3:uid="{A71B1924-D333-4520-8754-69B8DA581073}" name="Column14166"/>
    <tableColumn id="14172" xr3:uid="{59786B07-2B14-4F5F-A89C-9F5B225AAB12}" name="Column14167"/>
    <tableColumn id="14173" xr3:uid="{A9E1872A-9073-4C1B-841A-0A3005CCBFBB}" name="Column14168"/>
    <tableColumn id="14174" xr3:uid="{0B70E122-D7EA-4460-A90C-06F1074516C0}" name="Column14169"/>
    <tableColumn id="14175" xr3:uid="{D28B5882-C68C-409D-BE90-1CC303408042}" name="Column14170"/>
    <tableColumn id="14176" xr3:uid="{BD02A9E1-8505-4211-8647-0E59662A240C}" name="Column14171"/>
    <tableColumn id="14177" xr3:uid="{C9C6A5A0-5F9A-4061-9B36-86CA927CFA13}" name="Column14172"/>
    <tableColumn id="14178" xr3:uid="{98804A26-E5FB-4089-B61C-E28AD4924CBF}" name="Column14173"/>
    <tableColumn id="14179" xr3:uid="{6748CC22-7008-494D-8AF3-E9FD3982BABF}" name="Column14174"/>
    <tableColumn id="14180" xr3:uid="{CBEBA772-A017-4E1D-BEDC-F8EC8B037B06}" name="Column14175"/>
    <tableColumn id="14181" xr3:uid="{91249BF2-9B0D-47CA-8BCF-D490B3922915}" name="Column14176"/>
    <tableColumn id="14182" xr3:uid="{ADDAE1D9-A026-4AD9-8EF9-AF59D5D5D54D}" name="Column14177"/>
    <tableColumn id="14183" xr3:uid="{972A673F-9499-4173-80BC-45ABF32A1EF8}" name="Column14178"/>
    <tableColumn id="14184" xr3:uid="{E30C103E-8B32-44D0-B08D-FC8B400938E9}" name="Column14179"/>
    <tableColumn id="14185" xr3:uid="{6822099F-6BDD-46DE-B947-6F3BB057EE23}" name="Column14180"/>
    <tableColumn id="14186" xr3:uid="{CFFE440F-57EC-4D6A-86E7-2511075167F7}" name="Column14181"/>
    <tableColumn id="14187" xr3:uid="{36B09A3E-87EC-4BAB-A0FD-9D8D7504D20B}" name="Column14182"/>
    <tableColumn id="14188" xr3:uid="{26394240-E354-47AB-8E73-1FC394F9D1B9}" name="Column14183"/>
    <tableColumn id="14189" xr3:uid="{9BC4EE55-E5AA-445E-9E73-EA442AC2C2C8}" name="Column14184"/>
    <tableColumn id="14190" xr3:uid="{DAE9ADB2-C252-4197-8403-702CAF49BFAA}" name="Column14185"/>
    <tableColumn id="14191" xr3:uid="{A30553CF-F3BC-4603-BAA1-FBFA37533306}" name="Column14186"/>
    <tableColumn id="14192" xr3:uid="{DAAD9E94-F1B6-43F5-8F57-B1042F79F855}" name="Column14187"/>
    <tableColumn id="14193" xr3:uid="{1A54A7C5-39BA-4B16-B3E3-CEEB3B0B2164}" name="Column14188"/>
    <tableColumn id="14194" xr3:uid="{AE38B37D-CF4D-4097-A869-4FF384797A81}" name="Column14189"/>
    <tableColumn id="14195" xr3:uid="{CA1E1DC8-25BE-409E-931A-A1027533F6C3}" name="Column14190"/>
    <tableColumn id="14196" xr3:uid="{25A88CEE-624E-4B45-8CD0-6B4DFAE8ED63}" name="Column14191"/>
    <tableColumn id="14197" xr3:uid="{67091763-57BC-4E2D-89BA-C6ACFD112748}" name="Column14192"/>
    <tableColumn id="14198" xr3:uid="{B1887934-A010-4468-93FA-AF26430B779F}" name="Column14193"/>
    <tableColumn id="14199" xr3:uid="{A1E42AEB-81A7-45FF-AE80-BEAB358BCEC3}" name="Column14194"/>
    <tableColumn id="14200" xr3:uid="{CB2932D1-49FF-45CE-904E-D70E67C89B49}" name="Column14195"/>
    <tableColumn id="14201" xr3:uid="{A40398F3-C4D7-4450-BB26-3104C88929D0}" name="Column14196"/>
    <tableColumn id="14202" xr3:uid="{2AB108B6-F89B-4B30-82F3-309C646FA04C}" name="Column14197"/>
    <tableColumn id="14203" xr3:uid="{410B7A67-92A9-43A9-BE5C-76038D159CFC}" name="Column14198"/>
    <tableColumn id="14204" xr3:uid="{3310F6AC-FC63-4E5D-8586-DCAC107E2E65}" name="Column14199"/>
    <tableColumn id="14205" xr3:uid="{1393DE7A-0425-48F4-8B05-DAC2305D54D6}" name="Column14200"/>
    <tableColumn id="14206" xr3:uid="{C1319F89-CD78-4777-9A72-D62D89F33197}" name="Column14201"/>
    <tableColumn id="14207" xr3:uid="{CC8A6C1C-24AC-4D96-A4A0-31AD5E62E7DF}" name="Column14202"/>
    <tableColumn id="14208" xr3:uid="{74359B80-DA75-4A51-9B80-375678AE4E8D}" name="Column14203"/>
    <tableColumn id="14209" xr3:uid="{86B99F66-0F7C-4ADA-ACB7-277A5DDC8110}" name="Column14204"/>
    <tableColumn id="14210" xr3:uid="{8E0EDE8D-7B9D-4D60-BDE5-0BE4513EF18C}" name="Column14205"/>
    <tableColumn id="14211" xr3:uid="{0FAC9A88-C3FF-4E6A-A33A-955D0E1FB158}" name="Column14206"/>
    <tableColumn id="14212" xr3:uid="{C62AD12E-EBC7-4C15-B677-CA17DBAB011A}" name="Column14207"/>
    <tableColumn id="14213" xr3:uid="{4267E4C1-41D2-4831-9607-2FE10F2B79FF}" name="Column14208"/>
    <tableColumn id="14214" xr3:uid="{559588B3-1A7F-4ACE-90B9-038F84B0F21A}" name="Column14209"/>
    <tableColumn id="14215" xr3:uid="{325A80C6-53F7-41E1-B186-5D058A0B0481}" name="Column14210"/>
    <tableColumn id="14216" xr3:uid="{B39734D6-1083-4A64-83E2-7D94C0933767}" name="Column14211"/>
    <tableColumn id="14217" xr3:uid="{5B83B877-2606-40FA-BC07-F46EC2BBC332}" name="Column14212"/>
    <tableColumn id="14218" xr3:uid="{AC25B560-91A9-44B0-A480-F2683D429630}" name="Column14213"/>
    <tableColumn id="14219" xr3:uid="{3D3034FE-D1FB-4096-8795-66D7A05989BF}" name="Column14214"/>
    <tableColumn id="14220" xr3:uid="{8DA2E907-0A98-4506-B7E4-7865BF3C8D1D}" name="Column14215"/>
    <tableColumn id="14221" xr3:uid="{601F516B-3C9C-4E15-967B-2311F4D83558}" name="Column14216"/>
    <tableColumn id="14222" xr3:uid="{18C77181-20CD-493C-AD8F-A1164A0283DE}" name="Column14217"/>
    <tableColumn id="14223" xr3:uid="{93E1223F-2714-4DEF-B187-7A1C811740A8}" name="Column14218"/>
    <tableColumn id="14224" xr3:uid="{0266AFF0-1DB1-4185-A0F5-2C633B5777BC}" name="Column14219"/>
    <tableColumn id="14225" xr3:uid="{879885F0-4628-49AA-9756-19AB8A0E9F2F}" name="Column14220"/>
    <tableColumn id="14226" xr3:uid="{DB5B08BD-4A5A-4EB3-A23E-4CE272019CB3}" name="Column14221"/>
    <tableColumn id="14227" xr3:uid="{0631F094-D029-4D06-AEB7-2A0B8B5D447D}" name="Column14222"/>
    <tableColumn id="14228" xr3:uid="{332D40D8-EED2-458D-96D7-63D2A72AF080}" name="Column14223"/>
    <tableColumn id="14229" xr3:uid="{2257212E-DCCE-4712-8ECE-BC58DA24E35E}" name="Column14224"/>
    <tableColumn id="14230" xr3:uid="{4D465398-BBF6-4C2F-A1D3-BECDFED6FFE4}" name="Column14225"/>
    <tableColumn id="14231" xr3:uid="{2DDDF6A8-10A8-46BF-B611-22D4F2D84B42}" name="Column14226"/>
    <tableColumn id="14232" xr3:uid="{CA180F37-130F-4607-A457-FCEEA4A964E1}" name="Column14227"/>
    <tableColumn id="14233" xr3:uid="{76CA144E-BD23-49E3-B9AC-09102235A4B6}" name="Column14228"/>
    <tableColumn id="14234" xr3:uid="{129C21CC-4AD7-44DC-9EAD-6E21AAFA91B1}" name="Column14229"/>
    <tableColumn id="14235" xr3:uid="{841E492D-3CD3-4F38-A97B-6CC24FF03ABD}" name="Column14230"/>
    <tableColumn id="14236" xr3:uid="{5B9E31A3-4BA2-4BA6-9B35-07862939CA33}" name="Column14231"/>
    <tableColumn id="14237" xr3:uid="{C59659C0-E146-47C5-9E4C-88456D67C000}" name="Column14232"/>
    <tableColumn id="14238" xr3:uid="{B222D7A3-63A1-486F-8B80-AC8885522015}" name="Column14233"/>
    <tableColumn id="14239" xr3:uid="{C01D69BE-C68F-4D8B-B4AC-8399E4CB31C9}" name="Column14234"/>
    <tableColumn id="14240" xr3:uid="{F55C3974-37A9-4C7E-BAF5-69A6AFB6D65C}" name="Column14235"/>
    <tableColumn id="14241" xr3:uid="{33260C0E-A158-4BF8-A489-8EF47C5C6AB7}" name="Column14236"/>
    <tableColumn id="14242" xr3:uid="{458DA700-A7F6-405F-8C9D-E720D72FB300}" name="Column14237"/>
    <tableColumn id="14243" xr3:uid="{09E4D8E7-55B3-4F57-818E-4DA78333747C}" name="Column14238"/>
    <tableColumn id="14244" xr3:uid="{C5E6A65F-C33A-47EB-91AE-A8E8C4593935}" name="Column14239"/>
    <tableColumn id="14245" xr3:uid="{E6C72B31-9A47-4434-BB4B-F0B7E1491085}" name="Column14240"/>
    <tableColumn id="14246" xr3:uid="{25EDF444-A4E3-4193-A2C6-78ABB674694F}" name="Column14241"/>
    <tableColumn id="14247" xr3:uid="{2C2644EA-1710-4ACD-B7BF-C3F2761A1E21}" name="Column14242"/>
    <tableColumn id="14248" xr3:uid="{7E87BB21-8765-415D-885C-CEA5EA643CB7}" name="Column14243"/>
    <tableColumn id="14249" xr3:uid="{7FD35417-38C1-4764-B280-F9F0536FD08F}" name="Column14244"/>
    <tableColumn id="14250" xr3:uid="{861FB48E-6757-489B-AD20-6392D2C91434}" name="Column14245"/>
    <tableColumn id="14251" xr3:uid="{FAA74D68-3930-4F91-946A-6FB32E7BCA62}" name="Column14246"/>
    <tableColumn id="14252" xr3:uid="{82D74B54-A925-450A-8731-994CBE731EB3}" name="Column14247"/>
    <tableColumn id="14253" xr3:uid="{95CC3A12-3C9F-4249-8969-94F8BD318560}" name="Column14248"/>
    <tableColumn id="14254" xr3:uid="{A3B336EC-A144-40DB-99AF-468801C58E9E}" name="Column14249"/>
    <tableColumn id="14255" xr3:uid="{48F6FC52-5A49-409C-9CA3-0C630F4963CE}" name="Column14250"/>
    <tableColumn id="14256" xr3:uid="{6A5AF748-8173-464B-8840-C031AC47E1DD}" name="Column14251"/>
    <tableColumn id="14257" xr3:uid="{47F175C1-9F55-4E1F-8034-2CDFDFDE3868}" name="Column14252"/>
    <tableColumn id="14258" xr3:uid="{A484CFE1-49FB-4E14-B9A0-56AD2BE893A3}" name="Column14253"/>
    <tableColumn id="14259" xr3:uid="{FC6513B9-D207-4925-A0C1-79CD852044BF}" name="Column14254"/>
    <tableColumn id="14260" xr3:uid="{A962B2A1-D166-4563-A67E-92A9F4BC1DCA}" name="Column14255"/>
    <tableColumn id="14261" xr3:uid="{547B23CA-0D71-4EFB-AB5E-EDB0B96C742C}" name="Column14256"/>
    <tableColumn id="14262" xr3:uid="{9F19B177-CAD9-4653-8DC7-D268E9A184F7}" name="Column14257"/>
    <tableColumn id="14263" xr3:uid="{AA34ABEF-2427-4735-B5A4-7CF104EA0DEF}" name="Column14258"/>
    <tableColumn id="14264" xr3:uid="{BCB4235C-5F78-4234-98F3-B8A1BC89A2A9}" name="Column14259"/>
    <tableColumn id="14265" xr3:uid="{1078A108-7AC5-49DB-9E39-75FD8AAD71E7}" name="Column14260"/>
    <tableColumn id="14266" xr3:uid="{3CDFAF49-5853-4307-A519-54F998CE143D}" name="Column14261"/>
    <tableColumn id="14267" xr3:uid="{7496E0B8-E50B-4B5D-BA91-9D44E42B4E04}" name="Column14262"/>
    <tableColumn id="14268" xr3:uid="{B29553C8-63B2-49FF-AA13-1C450F8F7E19}" name="Column14263"/>
    <tableColumn id="14269" xr3:uid="{365D12B0-6C5E-4DD3-958E-AC29C6932EFF}" name="Column14264"/>
    <tableColumn id="14270" xr3:uid="{8ACC0034-1779-47B3-903D-292683D0E084}" name="Column14265"/>
    <tableColumn id="14271" xr3:uid="{8A966998-67BD-47DA-98BE-C28D17F3D488}" name="Column14266"/>
    <tableColumn id="14272" xr3:uid="{2C20025D-9B13-431F-A8DB-E451EE8446A6}" name="Column14267"/>
    <tableColumn id="14273" xr3:uid="{52B6CD6F-BE18-4C26-94E7-949A2DF85C5F}" name="Column14268"/>
    <tableColumn id="14274" xr3:uid="{C5A16B42-A331-4FDF-AA4D-BF8CA2D0E043}" name="Column14269"/>
    <tableColumn id="14275" xr3:uid="{3FF74A48-025D-4D32-806D-FD0C3C45CC3C}" name="Column14270"/>
    <tableColumn id="14276" xr3:uid="{3C086255-C03B-4721-B27B-5DF328E163BF}" name="Column14271"/>
    <tableColumn id="14277" xr3:uid="{366FBC9A-FCE2-4193-B8D3-8DAF7B5EC911}" name="Column14272"/>
    <tableColumn id="14278" xr3:uid="{42F66200-B085-44FF-8A7D-BDE67266B000}" name="Column14273"/>
    <tableColumn id="14279" xr3:uid="{85FE16C9-BCFE-4856-B907-8059B19B799E}" name="Column14274"/>
    <tableColumn id="14280" xr3:uid="{9DEDD49D-B93E-484D-8474-F392FADF4ABA}" name="Column14275"/>
    <tableColumn id="14281" xr3:uid="{80B23B0B-F262-43BE-99DB-93F3137CB84D}" name="Column14276"/>
    <tableColumn id="14282" xr3:uid="{EBDE4394-EE25-46F9-9798-6654AEFBDB25}" name="Column14277"/>
    <tableColumn id="14283" xr3:uid="{F61E75E1-DCD5-4677-9A57-1F29475199DB}" name="Column14278"/>
    <tableColumn id="14284" xr3:uid="{CA67FBB1-82FC-4F62-B5D6-70A227BA3B87}" name="Column14279"/>
    <tableColumn id="14285" xr3:uid="{7B646F52-34BA-44CD-A1F6-0E4ECA8CF711}" name="Column14280"/>
    <tableColumn id="14286" xr3:uid="{C0CCD531-0841-4F4E-BBAC-3061D3D67828}" name="Column14281"/>
    <tableColumn id="14287" xr3:uid="{1BA958BD-0F2E-4532-82AB-779396BF77B2}" name="Column14282"/>
    <tableColumn id="14288" xr3:uid="{E9225B99-CE66-41F8-9FA2-ABE9F37575DF}" name="Column14283"/>
    <tableColumn id="14289" xr3:uid="{D674D6B4-1EDA-4DC2-8C6D-B609E0A5C346}" name="Column14284"/>
    <tableColumn id="14290" xr3:uid="{7D62E2CF-361B-4307-AF5B-9EE88781AEF8}" name="Column14285"/>
    <tableColumn id="14291" xr3:uid="{41E47390-473B-4BA8-AF65-88A0DDD8DAEA}" name="Column14286"/>
    <tableColumn id="14292" xr3:uid="{92A8B755-A70D-4AA6-902A-21F87968673F}" name="Column14287"/>
    <tableColumn id="14293" xr3:uid="{66673E36-4DF3-46D2-8DB2-6C56E1A0CEF3}" name="Column14288"/>
    <tableColumn id="14294" xr3:uid="{5E119F12-F1F7-4355-BAEC-A2E10208718B}" name="Column14289"/>
    <tableColumn id="14295" xr3:uid="{A074FF12-5DEB-4694-9F7C-D303D0E5CF48}" name="Column14290"/>
    <tableColumn id="14296" xr3:uid="{103635F7-8427-4CB4-8C9D-CC1B2ABD6591}" name="Column14291"/>
    <tableColumn id="14297" xr3:uid="{DDEB583F-BC3E-48E5-8916-1718935A75BE}" name="Column14292"/>
    <tableColumn id="14298" xr3:uid="{70F76C5D-71D3-4932-9559-417BB5A8684D}" name="Column14293"/>
    <tableColumn id="14299" xr3:uid="{D1C20907-3021-435C-BDF2-630624D0F475}" name="Column14294"/>
    <tableColumn id="14300" xr3:uid="{6A317BCC-7C26-4D83-829A-B55E90CB1EA6}" name="Column14295"/>
    <tableColumn id="14301" xr3:uid="{549F7A14-E525-4875-876C-D4C167AA9BA8}" name="Column14296"/>
    <tableColumn id="14302" xr3:uid="{4D9C2558-5B32-4A30-9E75-031A7632B8F0}" name="Column14297"/>
    <tableColumn id="14303" xr3:uid="{3C394FC2-4987-45BD-B776-88E63FAF67F7}" name="Column14298"/>
    <tableColumn id="14304" xr3:uid="{087CC859-7ECF-4F4F-8A78-DA40C128497B}" name="Column14299"/>
    <tableColumn id="14305" xr3:uid="{FDE12239-9ECD-43F1-930E-480FE237543C}" name="Column14300"/>
    <tableColumn id="14306" xr3:uid="{6BFECF5B-4BA2-4998-9A5A-A443F8471722}" name="Column14301"/>
    <tableColumn id="14307" xr3:uid="{0499C5A3-C66C-4C8C-8C7A-37BB0E695B6E}" name="Column14302"/>
    <tableColumn id="14308" xr3:uid="{71347446-590E-4116-ABE6-A1CB8E031B6C}" name="Column14303"/>
    <tableColumn id="14309" xr3:uid="{B84F6892-E0DB-4243-AC43-169F21DE96E6}" name="Column14304"/>
    <tableColumn id="14310" xr3:uid="{1DBDEA24-D444-48D8-89FC-8EDA35C42F6C}" name="Column14305"/>
    <tableColumn id="14311" xr3:uid="{1CFE9EFF-23D4-4F34-9C5C-6A43EF020706}" name="Column14306"/>
    <tableColumn id="14312" xr3:uid="{154AD7DA-DC47-4114-8C90-92BB90C94B33}" name="Column14307"/>
    <tableColumn id="14313" xr3:uid="{A2778C6D-3C07-4A26-ADD4-9DC9934B87AC}" name="Column14308"/>
    <tableColumn id="14314" xr3:uid="{051470CA-CF79-4924-8498-2830732D0C0F}" name="Column14309"/>
    <tableColumn id="14315" xr3:uid="{5C3CA9C8-E050-46CD-B8EE-298DE300F76A}" name="Column14310"/>
    <tableColumn id="14316" xr3:uid="{5065AD1A-A8C7-44C0-BFB2-ECDEE8191912}" name="Column14311"/>
    <tableColumn id="14317" xr3:uid="{A3DB573E-4260-44EE-AD16-FB32F7128B73}" name="Column14312"/>
    <tableColumn id="14318" xr3:uid="{C8261682-8DFA-4523-866F-B7430904D2FB}" name="Column14313"/>
    <tableColumn id="14319" xr3:uid="{C49733B8-4A77-4198-917F-24C3BE3841DE}" name="Column14314"/>
    <tableColumn id="14320" xr3:uid="{BB5CD517-2E26-4021-BFA5-323C858D44A9}" name="Column14315"/>
    <tableColumn id="14321" xr3:uid="{FF915473-6A1B-4D96-B59A-2C69F9783911}" name="Column14316"/>
    <tableColumn id="14322" xr3:uid="{D62E1F39-6115-4327-B6AD-AD1B1B0C4FCC}" name="Column14317"/>
    <tableColumn id="14323" xr3:uid="{0858A651-8A73-4439-9A4C-0CB3E3A3D311}" name="Column14318"/>
    <tableColumn id="14324" xr3:uid="{6B7BD922-E002-464A-A2D7-54B02D9B4831}" name="Column14319"/>
    <tableColumn id="14325" xr3:uid="{67AC9CDF-43D6-46C0-ACF9-5744A2054405}" name="Column14320"/>
    <tableColumn id="14326" xr3:uid="{3F6932CF-E783-496F-8802-C3583E509572}" name="Column14321"/>
    <tableColumn id="14327" xr3:uid="{CCACCC27-BFC6-4496-8583-FC687BBCCB66}" name="Column14322"/>
    <tableColumn id="14328" xr3:uid="{8E40AEDC-EB4E-45AB-82FF-6F04276471FF}" name="Column14323"/>
    <tableColumn id="14329" xr3:uid="{9BC6CD50-5C5C-4E0D-A9D6-08E323FC3CCA}" name="Column14324"/>
    <tableColumn id="14330" xr3:uid="{DEA3DF8F-8DF6-4F35-9A9A-5B18F1ED052C}" name="Column14325"/>
    <tableColumn id="14331" xr3:uid="{BDE231DC-193D-412D-ABB4-87AD09B3E107}" name="Column14326"/>
    <tableColumn id="14332" xr3:uid="{C1B88C88-B1E8-4C94-A6F2-94836A1FFEF4}" name="Column14327"/>
    <tableColumn id="14333" xr3:uid="{34AA74F1-2C92-4517-95ED-0018278E51A5}" name="Column14328"/>
    <tableColumn id="14334" xr3:uid="{3C7FA961-B45C-438E-98A8-7E43AD78AF2A}" name="Column14329"/>
    <tableColumn id="14335" xr3:uid="{86D09209-4D13-4727-BD8C-0EB3E64AECE2}" name="Column14330"/>
    <tableColumn id="14336" xr3:uid="{35D90606-CA50-43B5-850B-946667545500}" name="Column14331"/>
    <tableColumn id="14337" xr3:uid="{D60F646B-3E3F-4F5E-BE7C-AC1E4A7A56C0}" name="Column14332"/>
    <tableColumn id="14338" xr3:uid="{8C091AE7-3030-44F9-9E50-EBF75F43339F}" name="Column14333"/>
    <tableColumn id="14339" xr3:uid="{92B9AE5A-F9F2-4D5D-BE08-F4868B91FF21}" name="Column14334"/>
    <tableColumn id="14340" xr3:uid="{99284C46-9F03-49A4-83EC-1099C64876D6}" name="Column14335"/>
    <tableColumn id="14341" xr3:uid="{2CDA6E5B-6588-481C-84BB-CEFEC445CC0C}" name="Column14336"/>
    <tableColumn id="14342" xr3:uid="{E26C06EA-BA13-4FA3-B5C5-E42CE9061AC9}" name="Column14337"/>
    <tableColumn id="14343" xr3:uid="{19C01F29-DE79-4561-8F4E-E0F8750F23B2}" name="Column14338"/>
    <tableColumn id="14344" xr3:uid="{D3226933-4805-413D-8E34-D4A4E7DE6524}" name="Column14339"/>
    <tableColumn id="14345" xr3:uid="{D8D08A21-6CFA-461F-BF2D-1BB8F2C60880}" name="Column14340"/>
    <tableColumn id="14346" xr3:uid="{C7F9DDF8-4051-400D-AA96-2ABB8BAE71BD}" name="Column14341"/>
    <tableColumn id="14347" xr3:uid="{35C4A170-63A7-4B52-BF0D-61E85F7CCE8D}" name="Column14342"/>
    <tableColumn id="14348" xr3:uid="{1DB8339F-1032-4410-B668-F68B2BEC89C7}" name="Column14343"/>
    <tableColumn id="14349" xr3:uid="{B5DFAD66-074F-46A9-A2B5-7736F596E42D}" name="Column14344"/>
    <tableColumn id="14350" xr3:uid="{2E670BBC-4361-4250-8547-06981A2F2055}" name="Column14345"/>
    <tableColumn id="14351" xr3:uid="{7E238C89-9922-4121-BF0C-37BF790EC51D}" name="Column14346"/>
    <tableColumn id="14352" xr3:uid="{B9D264BE-3DB3-47DD-82EC-FC4C8D4E9578}" name="Column14347"/>
    <tableColumn id="14353" xr3:uid="{1B1DAB52-BE12-45CB-9911-EF1B83A3FDA1}" name="Column14348"/>
    <tableColumn id="14354" xr3:uid="{D7E6524C-0095-4D16-88C2-3A33178B62E1}" name="Column14349"/>
    <tableColumn id="14355" xr3:uid="{78FE4791-7B26-4118-957B-4F3F9641A2FF}" name="Column14350"/>
    <tableColumn id="14356" xr3:uid="{ED9E8681-39D5-4452-9806-00E4EC7465BF}" name="Column14351"/>
    <tableColumn id="14357" xr3:uid="{814BD654-49B7-47C2-9285-A5921A22E769}" name="Column14352"/>
    <tableColumn id="14358" xr3:uid="{DD4C7A09-23A5-4C4F-B336-9D00D44AE860}" name="Column14353"/>
    <tableColumn id="14359" xr3:uid="{EE7CE431-455B-45A0-AE70-52217D692BDA}" name="Column14354"/>
    <tableColumn id="14360" xr3:uid="{D1049C39-FDFD-4DBD-B405-06A7E48785B3}" name="Column14355"/>
    <tableColumn id="14361" xr3:uid="{516660B9-6A51-47A5-A21C-8290102528D7}" name="Column14356"/>
    <tableColumn id="14362" xr3:uid="{124E9189-D285-4131-ACC7-7FDB97DADF62}" name="Column14357"/>
    <tableColumn id="14363" xr3:uid="{3375CE23-1BE4-4637-896B-F02E3C1D5FB5}" name="Column14358"/>
    <tableColumn id="14364" xr3:uid="{B01EEA41-6921-4A0C-ADF6-C135FDA38A66}" name="Column14359"/>
    <tableColumn id="14365" xr3:uid="{3FBF7621-771C-46AA-BF1D-40D551E146BF}" name="Column14360"/>
    <tableColumn id="14366" xr3:uid="{445AE3D2-6CB2-433C-853D-12CA51B3A3CF}" name="Column14361"/>
    <tableColumn id="14367" xr3:uid="{B526DA4D-67F1-4B32-BEC1-6D720A734E80}" name="Column14362"/>
    <tableColumn id="14368" xr3:uid="{51CEB285-3A3E-4CFD-8CC4-3E4A6011D9AE}" name="Column14363"/>
    <tableColumn id="14369" xr3:uid="{F6689FDD-3973-42C2-9E94-2B05AC475316}" name="Column14364"/>
    <tableColumn id="14370" xr3:uid="{E39C8631-2485-4B15-BB0E-F17A8C3D9C84}" name="Column14365"/>
    <tableColumn id="14371" xr3:uid="{D20B4295-3B5C-458F-AC8D-598394ED5572}" name="Column14366"/>
    <tableColumn id="14372" xr3:uid="{08FB8455-C9E4-4157-91E0-E2E0E7ADEC76}" name="Column14367"/>
    <tableColumn id="14373" xr3:uid="{96E19B40-15AD-4791-B35C-761D0E027EFC}" name="Column14368"/>
    <tableColumn id="14374" xr3:uid="{E449A615-8432-4917-8D3A-3A1EB04F17A6}" name="Column14369"/>
    <tableColumn id="14375" xr3:uid="{D2B6A88A-E173-4235-9A29-5B29AD317F39}" name="Column14370"/>
    <tableColumn id="14376" xr3:uid="{65945149-09EE-4CE5-B5A9-F4656B31679D}" name="Column14371"/>
    <tableColumn id="14377" xr3:uid="{D2931E0B-0782-46D2-9A87-CDC51F148582}" name="Column14372"/>
    <tableColumn id="14378" xr3:uid="{C3D99264-CC3A-4462-85C5-0D77F3420127}" name="Column14373"/>
    <tableColumn id="14379" xr3:uid="{D0907EA8-FF8D-4398-AF57-3BC0734A4930}" name="Column14374"/>
    <tableColumn id="14380" xr3:uid="{940E2C0C-1589-4583-A52D-501B74F352CC}" name="Column14375"/>
    <tableColumn id="14381" xr3:uid="{9C04EF92-3B79-436F-9641-B79E194670C6}" name="Column14376"/>
    <tableColumn id="14382" xr3:uid="{2502B01B-0236-460B-A035-70E37953B165}" name="Column14377"/>
    <tableColumn id="14383" xr3:uid="{04A1CB92-549D-4852-9CF7-5685CF2F58AB}" name="Column14378"/>
    <tableColumn id="14384" xr3:uid="{6ACCFE4D-E9C5-4F4E-8378-B5F7A88A64B0}" name="Column14379"/>
    <tableColumn id="14385" xr3:uid="{28DBFBE7-99F4-4B16-8EEB-6E2735902252}" name="Column14380"/>
    <tableColumn id="14386" xr3:uid="{38CFF847-3851-48D4-9916-BB00461E8192}" name="Column14381"/>
    <tableColumn id="14387" xr3:uid="{B0CDC35F-2567-4E6E-BF9A-28B3554E105E}" name="Column14382"/>
    <tableColumn id="14388" xr3:uid="{EA8DC6B7-F449-4119-BFD9-2DFF179BEC48}" name="Column14383"/>
    <tableColumn id="14389" xr3:uid="{2879A459-91CE-42C1-8EF6-3E1C3FAA7691}" name="Column14384"/>
    <tableColumn id="14390" xr3:uid="{8906984F-1A05-41FA-A955-D2B90AFBD918}" name="Column14385"/>
    <tableColumn id="14391" xr3:uid="{F86E59BD-D6AF-41B0-A0F3-4F4FDAE85EEF}" name="Column14386"/>
    <tableColumn id="14392" xr3:uid="{072AAEB8-BD85-4CE6-AF15-46006A3ED6FA}" name="Column14387"/>
    <tableColumn id="14393" xr3:uid="{4784D33A-CCBE-4D1B-A134-ADD40E5EE949}" name="Column14388"/>
    <tableColumn id="14394" xr3:uid="{76A84D89-46A2-47D0-B765-320040CF391A}" name="Column14389"/>
    <tableColumn id="14395" xr3:uid="{0FFB40A2-9029-483B-912D-6BF696BED64E}" name="Column14390"/>
    <tableColumn id="14396" xr3:uid="{7B68EE04-53D7-45D0-8E10-90C44FF957BA}" name="Column14391"/>
    <tableColumn id="14397" xr3:uid="{463B3EC9-0D46-4CDB-8B5F-0A7797EB014C}" name="Column14392"/>
    <tableColumn id="14398" xr3:uid="{5735026B-2C6A-455F-925A-ABA83FB441A2}" name="Column14393"/>
    <tableColumn id="14399" xr3:uid="{3F4D6182-714B-47E3-8009-81E099BA8941}" name="Column14394"/>
    <tableColumn id="14400" xr3:uid="{6B6255D8-D8E8-48BB-8C8F-2D663CA4BBDD}" name="Column14395"/>
    <tableColumn id="14401" xr3:uid="{D859C088-0757-4E47-A78A-F7B2A635F030}" name="Column14396"/>
    <tableColumn id="14402" xr3:uid="{3C57FDF0-C5EA-470B-A416-AF483AE0C6E2}" name="Column14397"/>
    <tableColumn id="14403" xr3:uid="{9B634FB1-D893-41FD-87E7-E79001CD53DF}" name="Column14398"/>
    <tableColumn id="14404" xr3:uid="{39FDC0A3-DFBF-4EE5-8438-3A46338F346A}" name="Column14399"/>
    <tableColumn id="14405" xr3:uid="{BB9401B7-D8A3-4D8F-B503-749659847B94}" name="Column14400"/>
    <tableColumn id="14406" xr3:uid="{BF09D3CB-B7AB-46D0-BB67-DF5B3434B2A0}" name="Column14401"/>
    <tableColumn id="14407" xr3:uid="{7D27B092-2ED0-4E8B-B5CD-8DD93232ED86}" name="Column14402"/>
    <tableColumn id="14408" xr3:uid="{3D4A6050-FB9C-409E-B5E7-140A7E420C47}" name="Column14403"/>
    <tableColumn id="14409" xr3:uid="{731429AC-1B8B-4D6E-BB88-8BC674EF0633}" name="Column14404"/>
    <tableColumn id="14410" xr3:uid="{741A1FEA-F779-4845-9EA1-75B1741FD900}" name="Column14405"/>
    <tableColumn id="14411" xr3:uid="{30CCAA9F-10E2-49BF-8019-B8BFDEAE25A4}" name="Column14406"/>
    <tableColumn id="14412" xr3:uid="{EAFEB4AF-DB51-4144-B617-EE6ED766AD73}" name="Column14407"/>
    <tableColumn id="14413" xr3:uid="{08BA641E-48CF-443E-87B6-75E0E8FA6019}" name="Column14408"/>
    <tableColumn id="14414" xr3:uid="{F5BCF036-FB5E-44EA-ABB0-08EBE2873D1B}" name="Column14409"/>
    <tableColumn id="14415" xr3:uid="{8307E417-5E9D-4E8E-8F8D-8D99672E0A3F}" name="Column14410"/>
    <tableColumn id="14416" xr3:uid="{E956D7CB-E353-43E4-A5B7-F898CF1C4A7B}" name="Column14411"/>
    <tableColumn id="14417" xr3:uid="{C87C1A12-7989-49C3-88CE-F4C15E5DED53}" name="Column14412"/>
    <tableColumn id="14418" xr3:uid="{16579F4D-52D4-4B14-AA82-DBF64FDEB5A6}" name="Column14413"/>
    <tableColumn id="14419" xr3:uid="{428CA6A7-96A6-4524-8C92-01DBE6B37736}" name="Column14414"/>
    <tableColumn id="14420" xr3:uid="{189EE25A-AC17-4810-9C37-34CAE5AF2289}" name="Column14415"/>
    <tableColumn id="14421" xr3:uid="{164935D8-7202-4762-A5BB-3E9F3BF8527C}" name="Column14416"/>
    <tableColumn id="14422" xr3:uid="{51F97795-688A-4A38-8C61-595193D14FFD}" name="Column14417"/>
    <tableColumn id="14423" xr3:uid="{A494394A-9E4F-4CE6-B55B-3F39E8A81325}" name="Column14418"/>
    <tableColumn id="14424" xr3:uid="{9E29A103-799F-4158-8CCE-9CED776BED65}" name="Column14419"/>
    <tableColumn id="14425" xr3:uid="{FFF37E9F-CD30-4768-94D5-C4E6F06547BA}" name="Column14420"/>
    <tableColumn id="14426" xr3:uid="{5DCE7AEB-F695-4869-8560-54E5FDF4AAD5}" name="Column14421"/>
    <tableColumn id="14427" xr3:uid="{3F30CE04-EAC9-46C6-946A-1144182A8E31}" name="Column14422"/>
    <tableColumn id="14428" xr3:uid="{8BADBA53-A63C-4E87-8545-95D77F35CC37}" name="Column14423"/>
    <tableColumn id="14429" xr3:uid="{4C8D44A1-20C3-4FCB-AEEE-E131718BED1F}" name="Column14424"/>
    <tableColumn id="14430" xr3:uid="{2A640CAA-B3AD-43FA-84EE-2141A014EF9F}" name="Column14425"/>
    <tableColumn id="14431" xr3:uid="{370E617B-F93A-40ED-BE54-56EA463CEDE8}" name="Column14426"/>
    <tableColumn id="14432" xr3:uid="{C32C34F1-B7A7-42BB-8632-9C2AC242C4E1}" name="Column14427"/>
    <tableColumn id="14433" xr3:uid="{E9402D9A-9D07-4F2B-8258-355C7ADA8136}" name="Column14428"/>
    <tableColumn id="14434" xr3:uid="{0149C7EE-9154-433E-A6C1-1C4984264EA6}" name="Column14429"/>
    <tableColumn id="14435" xr3:uid="{7FEA1FC8-A692-427D-9C30-4B846897D283}" name="Column14430"/>
    <tableColumn id="14436" xr3:uid="{85BBE34D-707C-4DD1-871E-CE969F330CBE}" name="Column14431"/>
    <tableColumn id="14437" xr3:uid="{6D6A6CB4-2D06-4235-B7B8-000C7A62AFEC}" name="Column14432"/>
    <tableColumn id="14438" xr3:uid="{C86EE21B-59D0-430C-9B3C-5FCD60AD6488}" name="Column14433"/>
    <tableColumn id="14439" xr3:uid="{C0C472FD-9B7C-47C4-8C94-0A9B34829A5C}" name="Column14434"/>
    <tableColumn id="14440" xr3:uid="{EF4626B0-214B-4DEC-AAA7-4BD671DDF867}" name="Column14435"/>
    <tableColumn id="14441" xr3:uid="{B4F64B5E-A29D-4B61-8D95-9CC9B9C0BA05}" name="Column14436"/>
    <tableColumn id="14442" xr3:uid="{30235263-D129-462C-BBAE-8AC6A39CD752}" name="Column14437"/>
    <tableColumn id="14443" xr3:uid="{0286C299-F69F-48FB-AAD4-B6B709AB79A6}" name="Column14438"/>
    <tableColumn id="14444" xr3:uid="{6BE190D4-6577-4F8C-B4DB-587751E34BC2}" name="Column14439"/>
    <tableColumn id="14445" xr3:uid="{63E06585-0863-45ED-9C39-346219D474B8}" name="Column14440"/>
    <tableColumn id="14446" xr3:uid="{CDBA2DE0-224D-4728-AFA8-4DF3C166DE2E}" name="Column14441"/>
    <tableColumn id="14447" xr3:uid="{0BCB6047-9CFB-47A0-BC9F-9EA8E831B3BD}" name="Column14442"/>
    <tableColumn id="14448" xr3:uid="{07C009E5-C7CA-468B-AC9E-6A0DD53DEDD2}" name="Column14443"/>
    <tableColumn id="14449" xr3:uid="{8734A356-0702-4A95-BA3A-99A6AEE8D77D}" name="Column14444"/>
    <tableColumn id="14450" xr3:uid="{4B01FD1E-6C11-48B3-844F-FAF0BCD2647D}" name="Column14445"/>
    <tableColumn id="14451" xr3:uid="{0AA5C6D1-10A4-4B3D-B8D0-A1A15BB2A780}" name="Column14446"/>
    <tableColumn id="14452" xr3:uid="{F7713D02-C006-489A-A908-4B1D3F0D848E}" name="Column14447"/>
    <tableColumn id="14453" xr3:uid="{596582BF-167F-4E65-BB4E-F55956670C19}" name="Column14448"/>
    <tableColumn id="14454" xr3:uid="{D5C0C3FD-28CF-4B49-8537-DDB3CABBF4CC}" name="Column14449"/>
    <tableColumn id="14455" xr3:uid="{68E209AD-6A88-4F36-B171-C28547FD0CB3}" name="Column14450"/>
    <tableColumn id="14456" xr3:uid="{7DBC8C35-170D-4D35-BE1E-2EC8F5742B2D}" name="Column14451"/>
    <tableColumn id="14457" xr3:uid="{CCB5619D-3483-41CE-A6E7-47C489242F3F}" name="Column14452"/>
    <tableColumn id="14458" xr3:uid="{4A27C18C-1E4E-45DF-91B6-AD304DDF2954}" name="Column14453"/>
    <tableColumn id="14459" xr3:uid="{982760C3-5CC5-4A41-8516-9CEC654FC9F5}" name="Column14454"/>
    <tableColumn id="14460" xr3:uid="{2502A891-7E80-40F3-96DE-99B6F80DA596}" name="Column14455"/>
    <tableColumn id="14461" xr3:uid="{6ACBD3AD-CFCF-4EAC-AFEA-FE7F3CD1B806}" name="Column14456"/>
    <tableColumn id="14462" xr3:uid="{B6CAACB9-0855-40D6-AB21-F0D3B59A4F58}" name="Column14457"/>
    <tableColumn id="14463" xr3:uid="{5D5C6AC3-1288-4E35-98F5-3239F904F9AD}" name="Column14458"/>
    <tableColumn id="14464" xr3:uid="{4189C439-AC87-4BE0-A8DF-7292415623B0}" name="Column14459"/>
    <tableColumn id="14465" xr3:uid="{E8E7D4E4-9746-4705-8F30-B18BC8C60FFC}" name="Column14460"/>
    <tableColumn id="14466" xr3:uid="{56822BBE-00BB-4B25-9719-D32D73CCC63D}" name="Column14461"/>
    <tableColumn id="14467" xr3:uid="{4D4F00A6-28FA-47FD-A777-DBD3C9B930B0}" name="Column14462"/>
    <tableColumn id="14468" xr3:uid="{BC0B5B03-4DE6-4F11-A868-E11E2CB44279}" name="Column14463"/>
    <tableColumn id="14469" xr3:uid="{119009F2-C91F-4426-95D5-83D2A85BA46B}" name="Column14464"/>
    <tableColumn id="14470" xr3:uid="{271D814E-8C2E-49F5-84F1-D3CA1C9BFF08}" name="Column14465"/>
    <tableColumn id="14471" xr3:uid="{987147C6-1E15-4D99-BFD3-66C193725B7B}" name="Column14466"/>
    <tableColumn id="14472" xr3:uid="{DDA6A252-060E-4CA0-8748-13F2C1F63FD8}" name="Column14467"/>
    <tableColumn id="14473" xr3:uid="{E3879251-AB0C-471E-AF57-1D237C98AC42}" name="Column14468"/>
    <tableColumn id="14474" xr3:uid="{34D5A978-3B07-453B-B4F0-D3AECFD501E5}" name="Column14469"/>
    <tableColumn id="14475" xr3:uid="{7114348C-A168-4495-ADE8-B736845DD86A}" name="Column14470"/>
    <tableColumn id="14476" xr3:uid="{4860A27F-2864-41B4-905C-D5681B6F3CB9}" name="Column14471"/>
    <tableColumn id="14477" xr3:uid="{F35E0706-37F5-4025-AD4E-C527F89088F4}" name="Column14472"/>
    <tableColumn id="14478" xr3:uid="{F20B9293-DF99-4C09-8CEC-E986E143FB20}" name="Column14473"/>
    <tableColumn id="14479" xr3:uid="{61FC98C9-FFC3-4549-89F3-BBACCBB24DF9}" name="Column14474"/>
    <tableColumn id="14480" xr3:uid="{A7D04FF8-DC8E-4E4C-94E8-62F458AAF9FD}" name="Column14475"/>
    <tableColumn id="14481" xr3:uid="{BE9C45FF-80F0-4BFB-AADC-2DF11DAD2B37}" name="Column14476"/>
    <tableColumn id="14482" xr3:uid="{C7404390-669F-4474-BD71-292984DC7783}" name="Column14477"/>
    <tableColumn id="14483" xr3:uid="{D2431F26-3773-4E7C-BAF9-28C373BD9AF8}" name="Column14478"/>
    <tableColumn id="14484" xr3:uid="{EC7A7B42-D049-4036-978D-0BA73BFAD55C}" name="Column14479"/>
    <tableColumn id="14485" xr3:uid="{76A3F327-DF47-45CF-BCB6-1A6E11627977}" name="Column14480"/>
    <tableColumn id="14486" xr3:uid="{1E9389C6-A99D-4078-94C4-7CA9B938B4EA}" name="Column14481"/>
    <tableColumn id="14487" xr3:uid="{B2A250B0-4623-43B3-9B2B-4EF94440A6A7}" name="Column14482"/>
    <tableColumn id="14488" xr3:uid="{31828DBC-959E-4D3A-BD15-336972D53E04}" name="Column14483"/>
    <tableColumn id="14489" xr3:uid="{7849D60E-17D6-48EF-874B-7531E36B2514}" name="Column14484"/>
    <tableColumn id="14490" xr3:uid="{1C83CE1A-D6B6-4B74-9220-1792FE7E4118}" name="Column14485"/>
    <tableColumn id="14491" xr3:uid="{F2CA13C7-8DCF-4FD9-8125-0CE94927AA82}" name="Column14486"/>
    <tableColumn id="14492" xr3:uid="{06EC2A74-669A-4438-BC0A-15A4B377FDCB}" name="Column14487"/>
    <tableColumn id="14493" xr3:uid="{B33B274B-1041-4493-A5B0-A3FAF16AC74F}" name="Column14488"/>
    <tableColumn id="14494" xr3:uid="{5ECE6CD8-86B6-431B-BB83-8D37899B4CC2}" name="Column14489"/>
    <tableColumn id="14495" xr3:uid="{4767330A-BC22-4BAE-9238-2B041A0A82A8}" name="Column14490"/>
    <tableColumn id="14496" xr3:uid="{BF2B4319-710E-4F3D-B767-4196976C314B}" name="Column14491"/>
    <tableColumn id="14497" xr3:uid="{26B557B7-50BE-4C1A-9BF1-8C23C9B99F82}" name="Column14492"/>
    <tableColumn id="14498" xr3:uid="{62352F81-D518-4FA4-9886-4CAB6B7D6457}" name="Column14493"/>
    <tableColumn id="14499" xr3:uid="{2EEDB350-591D-43D9-BBD6-7E6EE1D8944A}" name="Column14494"/>
    <tableColumn id="14500" xr3:uid="{2A660BC2-E37D-40BD-A2F2-23507056D6AD}" name="Column14495"/>
    <tableColumn id="14501" xr3:uid="{E4FA16FD-CC5A-4946-B7E3-4DA694D72042}" name="Column14496"/>
    <tableColumn id="14502" xr3:uid="{3E750E03-EACC-419B-85ED-7896DE4A51F2}" name="Column14497"/>
    <tableColumn id="14503" xr3:uid="{B89E5A5D-6834-4E65-A84A-E7E0D16DE422}" name="Column14498"/>
    <tableColumn id="14504" xr3:uid="{3748D003-F9C3-4135-B6DC-9CFDEB65B523}" name="Column14499"/>
    <tableColumn id="14505" xr3:uid="{857D4937-47CD-4452-A6D5-46600B36A0B4}" name="Column14500"/>
    <tableColumn id="14506" xr3:uid="{02D423E8-A759-4CD0-AF00-686BD7D0E24F}" name="Column14501"/>
    <tableColumn id="14507" xr3:uid="{42B1C3D8-8EE2-4272-9F12-ED3A47A6BD42}" name="Column14502"/>
    <tableColumn id="14508" xr3:uid="{4CBE3B48-9B75-46A5-8A32-68131DEC46A7}" name="Column14503"/>
    <tableColumn id="14509" xr3:uid="{E0F675BB-3669-4DDF-8717-59F7A58731B4}" name="Column14504"/>
    <tableColumn id="14510" xr3:uid="{4730039F-5892-4039-B07B-37BF39C3CFC1}" name="Column14505"/>
    <tableColumn id="14511" xr3:uid="{5D151AB8-DB66-421E-B65B-77B42A8C7A93}" name="Column14506"/>
    <tableColumn id="14512" xr3:uid="{0751C74E-94D1-4392-BAC7-FED022BEE291}" name="Column14507"/>
    <tableColumn id="14513" xr3:uid="{45A0460F-E701-4022-900B-994888A330F7}" name="Column14508"/>
    <tableColumn id="14514" xr3:uid="{CF09B3A6-AC86-4B33-ADFA-0AAFF24D78D8}" name="Column14509"/>
    <tableColumn id="14515" xr3:uid="{10076DDE-E0B0-4EC6-8241-91BF0178DF93}" name="Column14510"/>
    <tableColumn id="14516" xr3:uid="{B2A3107F-3CDE-4FBA-8278-E87EF0564126}" name="Column14511"/>
    <tableColumn id="14517" xr3:uid="{9608E126-EF07-42EE-BA34-6D1588A6286F}" name="Column14512"/>
    <tableColumn id="14518" xr3:uid="{91170130-5A59-4F89-AB2B-A9B3346FE7D1}" name="Column14513"/>
    <tableColumn id="14519" xr3:uid="{98ADCB3B-0F5F-4C87-A076-466B2ACE76FA}" name="Column14514"/>
    <tableColumn id="14520" xr3:uid="{39169E16-9B12-4772-A753-D5D9CF3E45DE}" name="Column14515"/>
    <tableColumn id="14521" xr3:uid="{B82AEA78-2099-434D-BA2E-9A4CEB4D895B}" name="Column14516"/>
    <tableColumn id="14522" xr3:uid="{E2A53667-F0E6-4F72-96D1-E6516B7F24DF}" name="Column14517"/>
    <tableColumn id="14523" xr3:uid="{2065BA2B-560B-4CBE-BE7E-97AE29CD137F}" name="Column14518"/>
    <tableColumn id="14524" xr3:uid="{AB77847F-80BA-41D5-8C30-E7E6D7A76942}" name="Column14519"/>
    <tableColumn id="14525" xr3:uid="{36D69E44-529B-4C9E-A77C-13333A0C274E}" name="Column14520"/>
    <tableColumn id="14526" xr3:uid="{249B5FD0-B3A0-4B17-8C11-8B1A1378E8E7}" name="Column14521"/>
    <tableColumn id="14527" xr3:uid="{5FFFD404-2029-48ED-A22A-7A3C6A28A03E}" name="Column14522"/>
    <tableColumn id="14528" xr3:uid="{B6E10F5A-7957-445D-A8E8-CF9234D83334}" name="Column14523"/>
    <tableColumn id="14529" xr3:uid="{BE219B65-68BD-4A4A-AE40-0AE541FC8B5E}" name="Column14524"/>
    <tableColumn id="14530" xr3:uid="{64A90BE0-791B-4C31-AB99-039E19B24C41}" name="Column14525"/>
    <tableColumn id="14531" xr3:uid="{675F2DC7-CEB0-40E3-97F6-5F004D3B0016}" name="Column14526"/>
    <tableColumn id="14532" xr3:uid="{BF04C64E-FDA9-4878-8B2F-7E769849ABBA}" name="Column14527"/>
    <tableColumn id="14533" xr3:uid="{FC94C13F-2929-468F-8C2E-58D28C6DC2BD}" name="Column14528"/>
    <tableColumn id="14534" xr3:uid="{3B85481A-F048-4DC0-A35A-75A574375117}" name="Column14529"/>
    <tableColumn id="14535" xr3:uid="{90ADB2C9-D110-41CC-A43D-317CA7D78B57}" name="Column14530"/>
    <tableColumn id="14536" xr3:uid="{87A216D1-F5D8-43A1-824D-1DBFE8B12C3D}" name="Column14531"/>
    <tableColumn id="14537" xr3:uid="{7488A57D-BE8C-4BFD-8672-433F2539996B}" name="Column14532"/>
    <tableColumn id="14538" xr3:uid="{21749747-F057-4DDE-94E0-C9FE262D19E2}" name="Column14533"/>
    <tableColumn id="14539" xr3:uid="{293693B2-6B0F-4560-9EC3-4578AD98C425}" name="Column14534"/>
    <tableColumn id="14540" xr3:uid="{4347834A-16DE-42F8-867D-41C22912BD32}" name="Column14535"/>
    <tableColumn id="14541" xr3:uid="{C6D0346F-2F2E-4825-B668-99D6A5A85D07}" name="Column14536"/>
    <tableColumn id="14542" xr3:uid="{707FE903-C40C-460F-A515-D6D2DE5F93FA}" name="Column14537"/>
    <tableColumn id="14543" xr3:uid="{AEDAC77F-6159-4D98-B6F6-FCE4D7D315EF}" name="Column14538"/>
    <tableColumn id="14544" xr3:uid="{08E048E4-7441-4026-AAE7-C37E5C6B2372}" name="Column14539"/>
    <tableColumn id="14545" xr3:uid="{8C5A91B4-18B8-463E-811D-677DA8E3ECC9}" name="Column14540"/>
    <tableColumn id="14546" xr3:uid="{74A7FDED-AA82-44A6-A289-1986B7ED23FC}" name="Column14541"/>
    <tableColumn id="14547" xr3:uid="{552764CA-2324-4BF7-B3F8-7818BDF61C4C}" name="Column14542"/>
    <tableColumn id="14548" xr3:uid="{1659802A-1CFF-4904-8109-1D1F824CD5B6}" name="Column14543"/>
    <tableColumn id="14549" xr3:uid="{CDEDD00A-AC16-48B8-869B-CE8EE0FA6093}" name="Column14544"/>
    <tableColumn id="14550" xr3:uid="{89B0D0B4-ADCF-467A-8B3D-5D53A3A11D43}" name="Column14545"/>
    <tableColumn id="14551" xr3:uid="{82133EA6-9477-4D56-92EF-ED77A73D21A7}" name="Column14546"/>
    <tableColumn id="14552" xr3:uid="{CD96FF46-29B9-4FAA-A364-173A5D6C0EE5}" name="Column14547"/>
    <tableColumn id="14553" xr3:uid="{9E1EB96C-FC0C-4059-834E-F74140F280A0}" name="Column14548"/>
    <tableColumn id="14554" xr3:uid="{8885B7FB-E2D4-44F1-97D7-19299EFE45C9}" name="Column14549"/>
    <tableColumn id="14555" xr3:uid="{7EB8A785-9C84-42DA-AA25-29D068F2C6B2}" name="Column14550"/>
    <tableColumn id="14556" xr3:uid="{EA1457AA-D0E5-4E32-A66F-A2E84F7A1015}" name="Column14551"/>
    <tableColumn id="14557" xr3:uid="{6918A167-E332-4645-A7E9-FC475229B44F}" name="Column14552"/>
    <tableColumn id="14558" xr3:uid="{1DF1C371-8D94-4A69-A478-EEEFE04293D1}" name="Column14553"/>
    <tableColumn id="14559" xr3:uid="{9EE528E3-1313-4AF5-B7D8-0B606537FACA}" name="Column14554"/>
    <tableColumn id="14560" xr3:uid="{5D74E8D1-FA00-44C0-96F5-B11A96DB9182}" name="Column14555"/>
    <tableColumn id="14561" xr3:uid="{CA967B38-EC7A-4C52-926D-7246D7F047DE}" name="Column14556"/>
    <tableColumn id="14562" xr3:uid="{878C3FAF-5D1D-455C-9B62-2912B7285D67}" name="Column14557"/>
    <tableColumn id="14563" xr3:uid="{4DD27DA5-E2CF-4DC8-AD14-0E441E1567AB}" name="Column14558"/>
    <tableColumn id="14564" xr3:uid="{B1F4B44D-8953-455F-8BB9-6D76B4BD57E3}" name="Column14559"/>
    <tableColumn id="14565" xr3:uid="{EC99AF03-6053-4F58-976D-FE8DCA942D91}" name="Column14560"/>
    <tableColumn id="14566" xr3:uid="{E2193992-2DE1-492E-A8E8-E33D542F741F}" name="Column14561"/>
    <tableColumn id="14567" xr3:uid="{15ABBE4A-7528-4CB5-A63A-06DE6D248176}" name="Column14562"/>
    <tableColumn id="14568" xr3:uid="{FA99F3FA-F9CF-4F53-A111-CE446C7770BA}" name="Column14563"/>
    <tableColumn id="14569" xr3:uid="{CD8C135E-2640-43F3-8AEC-024F56342B2F}" name="Column14564"/>
    <tableColumn id="14570" xr3:uid="{C3F3F27B-6C01-4F08-84F7-7676902372D8}" name="Column14565"/>
    <tableColumn id="14571" xr3:uid="{5BB81C9A-2C5F-4B22-B2E2-D3890ED4A5B2}" name="Column14566"/>
    <tableColumn id="14572" xr3:uid="{04688CEB-7C11-49E2-8AF9-03F6B872155C}" name="Column14567"/>
    <tableColumn id="14573" xr3:uid="{FD1D2789-F6B7-4B98-B465-CD360201EF7B}" name="Column14568"/>
    <tableColumn id="14574" xr3:uid="{DBF00E2E-6A1C-4ECB-ACB7-3A6457EB1733}" name="Column14569"/>
    <tableColumn id="14575" xr3:uid="{F52CDE1F-EAB2-40E5-931C-DA233D3AA0E0}" name="Column14570"/>
    <tableColumn id="14576" xr3:uid="{BCD2B3BF-2EE4-426D-A22F-B56A5CA65E06}" name="Column14571"/>
    <tableColumn id="14577" xr3:uid="{0F07B181-4E60-4390-B583-A28EBB6F4378}" name="Column14572"/>
    <tableColumn id="14578" xr3:uid="{D5388F31-F616-4EE1-8CEF-52B06FF49A0B}" name="Column14573"/>
    <tableColumn id="14579" xr3:uid="{EF788370-575F-444A-A29C-FC4637CBDD42}" name="Column14574"/>
    <tableColumn id="14580" xr3:uid="{CB409416-31A3-4813-8DD1-30D436A40DB7}" name="Column14575"/>
    <tableColumn id="14581" xr3:uid="{87CF8378-0FB0-4853-ADEE-5CA734F93CA6}" name="Column14576"/>
    <tableColumn id="14582" xr3:uid="{960680D1-000B-477A-B6E1-60474CBF848E}" name="Column14577"/>
    <tableColumn id="14583" xr3:uid="{CC4038E4-3576-4096-A30E-7321EF561CCD}" name="Column14578"/>
    <tableColumn id="14584" xr3:uid="{326C7D8E-F16C-4BF1-8CA6-7905ECEEFB5B}" name="Column14579"/>
    <tableColumn id="14585" xr3:uid="{CBDB2704-6758-4EF4-B463-4EAC70E3B91B}" name="Column14580"/>
    <tableColumn id="14586" xr3:uid="{9180769C-DD2A-4F88-975B-B00008AA27C3}" name="Column14581"/>
    <tableColumn id="14587" xr3:uid="{52FB240C-7A10-4EBB-844E-21175F832ECD}" name="Column14582"/>
    <tableColumn id="14588" xr3:uid="{34C000F9-E670-48FC-AC19-4CB48B15C4C0}" name="Column14583"/>
    <tableColumn id="14589" xr3:uid="{690D13D8-C032-4DA7-B513-CAFD618D4C15}" name="Column14584"/>
    <tableColumn id="14590" xr3:uid="{2DE658E0-C24A-49FC-A653-C6D329F5E8FD}" name="Column14585"/>
    <tableColumn id="14591" xr3:uid="{E682B76D-2A6B-4DD2-8824-3B00C3A9EA5F}" name="Column14586"/>
    <tableColumn id="14592" xr3:uid="{CDF14211-904A-4EE5-A0FD-247495B9FF01}" name="Column14587"/>
    <tableColumn id="14593" xr3:uid="{B3CF3331-97EE-4E6B-9CC1-252FEE9D1AC7}" name="Column14588"/>
    <tableColumn id="14594" xr3:uid="{224057BA-6C76-46D6-95EE-CE8FA7FE6686}" name="Column14589"/>
    <tableColumn id="14595" xr3:uid="{B1A18E78-C983-4D4F-96A6-C02F97C947DA}" name="Column14590"/>
    <tableColumn id="14596" xr3:uid="{535F2F95-D988-4E95-BF95-F0E756ED5961}" name="Column14591"/>
    <tableColumn id="14597" xr3:uid="{17D35973-0CA2-4BDD-86F5-A5F526D8FAA2}" name="Column14592"/>
    <tableColumn id="14598" xr3:uid="{088F1F33-07EE-4BDF-8B73-BA180A379FDF}" name="Column14593"/>
    <tableColumn id="14599" xr3:uid="{FED7BF22-2FE9-4EB6-B2B7-88E9B074DF07}" name="Column14594"/>
    <tableColumn id="14600" xr3:uid="{EB9DDAB4-7E5D-4D73-B459-6EA457A2B93F}" name="Column14595"/>
    <tableColumn id="14601" xr3:uid="{F67FA984-A2B6-4458-AF2E-0C341E9C4BC9}" name="Column14596"/>
    <tableColumn id="14602" xr3:uid="{110F6074-B89E-4B2C-AF71-757FA14D936A}" name="Column14597"/>
    <tableColumn id="14603" xr3:uid="{AA089943-5201-47E5-BF0C-A9F604D03F11}" name="Column14598"/>
    <tableColumn id="14604" xr3:uid="{17176F2B-C86D-4D58-BFF0-E09349D78459}" name="Column14599"/>
    <tableColumn id="14605" xr3:uid="{79FE62E4-ED17-4DA7-964E-0B8951251478}" name="Column14600"/>
    <tableColumn id="14606" xr3:uid="{C324E5CE-37C1-49F7-8B4F-6ACADD4CB098}" name="Column14601"/>
    <tableColumn id="14607" xr3:uid="{81C8BD62-B731-4AB5-8C55-04E3598018D6}" name="Column14602"/>
    <tableColumn id="14608" xr3:uid="{61C508F7-104D-4542-B98F-55630B36E4A7}" name="Column14603"/>
    <tableColumn id="14609" xr3:uid="{535765BD-ED8D-4223-9058-E0A5BE6E5DBD}" name="Column14604"/>
    <tableColumn id="14610" xr3:uid="{A8E26ED9-AC6E-4F27-96FD-5170FB81ECB5}" name="Column14605"/>
    <tableColumn id="14611" xr3:uid="{CFBAEE94-EB87-4167-8EC9-368F5D53A3F0}" name="Column14606"/>
    <tableColumn id="14612" xr3:uid="{8AB440C6-3978-4691-A17E-1F08FEA0864A}" name="Column14607"/>
    <tableColumn id="14613" xr3:uid="{B94F4974-F093-4DEA-8684-CC501023DD45}" name="Column14608"/>
    <tableColumn id="14614" xr3:uid="{AA4D49E0-9E4A-4062-BDF8-A46DE6BB83D3}" name="Column14609"/>
    <tableColumn id="14615" xr3:uid="{D86F8ADE-FBB7-4536-BEC5-1AE49C6B4BCA}" name="Column14610"/>
    <tableColumn id="14616" xr3:uid="{E7825328-05CA-4C0A-9D4C-37E7DF3823FD}" name="Column14611"/>
    <tableColumn id="14617" xr3:uid="{DB40F62D-6F68-4969-A951-C1CB6E1DE3FE}" name="Column14612"/>
    <tableColumn id="14618" xr3:uid="{29043217-EDB1-44DE-8880-4344C5784D16}" name="Column14613"/>
    <tableColumn id="14619" xr3:uid="{F9491D84-C175-4BDB-B523-C139B6456A39}" name="Column14614"/>
    <tableColumn id="14620" xr3:uid="{FE162E6C-C95E-48D3-8486-0B9F772440D8}" name="Column14615"/>
    <tableColumn id="14621" xr3:uid="{E2C8EB5A-7B0B-4A75-B4BE-B2711B3E639D}" name="Column14616"/>
    <tableColumn id="14622" xr3:uid="{51179137-FD4A-4156-847C-F3C69F0CFB86}" name="Column14617"/>
    <tableColumn id="14623" xr3:uid="{DDA27EDB-1810-48E0-9F6E-AB88F6911320}" name="Column14618"/>
    <tableColumn id="14624" xr3:uid="{F4BAB210-F1D1-4FF8-8C9B-2F70FB475FB4}" name="Column14619"/>
    <tableColumn id="14625" xr3:uid="{A9BDC642-48DD-49DE-BAD4-2DED01E779F0}" name="Column14620"/>
    <tableColumn id="14626" xr3:uid="{358C4FBE-E043-4CCF-8524-D8B1259492DB}" name="Column14621"/>
    <tableColumn id="14627" xr3:uid="{C6296E00-FA79-4E86-9DCF-804C13C2AB1C}" name="Column14622"/>
    <tableColumn id="14628" xr3:uid="{D8B7416C-14E3-41B5-9E8F-BD79D2D0D0BC}" name="Column14623"/>
    <tableColumn id="14629" xr3:uid="{E8E7CDDE-CCB9-4872-A707-62FC0ACED09E}" name="Column14624"/>
    <tableColumn id="14630" xr3:uid="{806F3CC7-0299-4A7E-BA27-52A77D5A00BF}" name="Column14625"/>
    <tableColumn id="14631" xr3:uid="{CEBED12A-33ED-49FD-B903-4511562568B6}" name="Column14626"/>
    <tableColumn id="14632" xr3:uid="{D3D76E86-949B-49BD-9915-C152B77DED8F}" name="Column14627"/>
    <tableColumn id="14633" xr3:uid="{0BDBEA1C-A7B7-4808-BD67-B5F75AEA46DF}" name="Column14628"/>
    <tableColumn id="14634" xr3:uid="{20D463F2-18F2-40F4-B822-CA3F8CBCC6B3}" name="Column14629"/>
    <tableColumn id="14635" xr3:uid="{DDBD3304-D701-4B26-A7E4-C6E98CAD5A73}" name="Column14630"/>
    <tableColumn id="14636" xr3:uid="{7ADAC24C-B346-4994-85E0-DA3D2D0D4B53}" name="Column14631"/>
    <tableColumn id="14637" xr3:uid="{1BA93CE4-08E4-4182-B570-75190F4E0F3A}" name="Column14632"/>
    <tableColumn id="14638" xr3:uid="{25DB8DD5-4F6B-44B9-8A8D-C84254852C50}" name="Column14633"/>
    <tableColumn id="14639" xr3:uid="{565746E6-B4BF-47CD-B2A1-677E3FF96CCF}" name="Column14634"/>
    <tableColumn id="14640" xr3:uid="{6E2A5519-437F-4E16-BC49-E74C11B63859}" name="Column14635"/>
    <tableColumn id="14641" xr3:uid="{E4A09C89-9167-480F-B46E-E29C8E89FAE0}" name="Column14636"/>
    <tableColumn id="14642" xr3:uid="{8E929BD7-5EA6-45EA-B0E2-9628B31C0AE7}" name="Column14637"/>
    <tableColumn id="14643" xr3:uid="{080955FD-D25C-4ACF-BDC2-5E31B8B921C9}" name="Column14638"/>
    <tableColumn id="14644" xr3:uid="{01BB82AA-5137-4740-91A7-6A6367C4C144}" name="Column14639"/>
    <tableColumn id="14645" xr3:uid="{981B6485-DBDE-4C6C-808E-F70D3410B3EE}" name="Column14640"/>
    <tableColumn id="14646" xr3:uid="{2F991353-1522-46B8-961B-CAB4D8228CE7}" name="Column14641"/>
    <tableColumn id="14647" xr3:uid="{6AAE373A-26F2-4778-9F86-F2F57391E300}" name="Column14642"/>
    <tableColumn id="14648" xr3:uid="{96EF7A0E-E7C2-45A6-A292-598AA5721CB1}" name="Column14643"/>
    <tableColumn id="14649" xr3:uid="{05998152-6D16-455F-9E87-9D0F85D659BB}" name="Column14644"/>
    <tableColumn id="14650" xr3:uid="{43DEA765-8D0C-4EC0-BD07-D76404BFE47C}" name="Column14645"/>
    <tableColumn id="14651" xr3:uid="{D365B4A8-DCFF-44A1-ADA4-29F38CC09AEE}" name="Column14646"/>
    <tableColumn id="14652" xr3:uid="{1CF671AF-9B64-45C0-B1EB-5D63809D733D}" name="Column14647"/>
    <tableColumn id="14653" xr3:uid="{5EE4D47D-7613-43D5-A79B-69B12A141E76}" name="Column14648"/>
    <tableColumn id="14654" xr3:uid="{1BF352BA-3C47-45A6-966C-225ACCB78F6B}" name="Column14649"/>
    <tableColumn id="14655" xr3:uid="{D6C0BAE1-1E0E-41F6-9946-EF4558CEEDD8}" name="Column14650"/>
    <tableColumn id="14656" xr3:uid="{FF4D3CDD-63EE-49F3-A8F2-3609A171F046}" name="Column14651"/>
    <tableColumn id="14657" xr3:uid="{F8BED355-99B0-45EE-A8FF-52E885914E33}" name="Column14652"/>
    <tableColumn id="14658" xr3:uid="{A5A93A4C-6F87-43BC-B8BC-35CD9CF2DF15}" name="Column14653"/>
    <tableColumn id="14659" xr3:uid="{A9597A59-6B85-4B33-9CCA-571335684200}" name="Column14654"/>
    <tableColumn id="14660" xr3:uid="{B5D9E796-094C-4483-A62D-1C9534CA2EC9}" name="Column14655"/>
    <tableColumn id="14661" xr3:uid="{5A65A5E1-8EC1-44AA-BA64-8706EE4372D8}" name="Column14656"/>
    <tableColumn id="14662" xr3:uid="{86F57580-6AA1-41B4-A9F8-52DE1C34A336}" name="Column14657"/>
    <tableColumn id="14663" xr3:uid="{50085450-B376-4829-B984-F6D18E2E9022}" name="Column14658"/>
    <tableColumn id="14664" xr3:uid="{9E58DDB3-8613-4F78-9EE1-0BE9D3BC751A}" name="Column14659"/>
    <tableColumn id="14665" xr3:uid="{1D9C4990-D8C5-4633-B00B-14688FB09F95}" name="Column14660"/>
    <tableColumn id="14666" xr3:uid="{6576557B-FDB1-45E0-B0D5-EBAF2577CF4C}" name="Column14661"/>
    <tableColumn id="14667" xr3:uid="{627103F9-9F72-4BB6-816C-48B039871139}" name="Column14662"/>
    <tableColumn id="14668" xr3:uid="{07B1D4CF-77AE-4269-B812-513CE1EC7892}" name="Column14663"/>
    <tableColumn id="14669" xr3:uid="{7EB17ED8-4443-4D8F-94BF-AD2612C73907}" name="Column14664"/>
    <tableColumn id="14670" xr3:uid="{13A2F659-0287-48BF-9395-54830E1D5E8D}" name="Column14665"/>
    <tableColumn id="14671" xr3:uid="{3C57B4F5-111B-4BA4-A011-A4E8296ABDAE}" name="Column14666"/>
    <tableColumn id="14672" xr3:uid="{A3E3A8CF-BD3C-40C0-A7A9-81523EFB6C8E}" name="Column14667"/>
    <tableColumn id="14673" xr3:uid="{5CEB72B6-0A5F-4E02-8764-C0B946110926}" name="Column14668"/>
    <tableColumn id="14674" xr3:uid="{8B84939A-1F06-4D15-8A95-97ED6D3BC1B2}" name="Column14669"/>
    <tableColumn id="14675" xr3:uid="{FDD27CC4-A3BF-4F56-9B31-3F33162A7876}" name="Column14670"/>
    <tableColumn id="14676" xr3:uid="{945E8136-3540-4CA7-9461-C80FF3CBAA09}" name="Column14671"/>
    <tableColumn id="14677" xr3:uid="{0C327C22-7913-405D-B6C2-49E7097337FE}" name="Column14672"/>
    <tableColumn id="14678" xr3:uid="{8533A7AC-A207-46CA-9F30-A64D075119D4}" name="Column14673"/>
    <tableColumn id="14679" xr3:uid="{42C0C3E2-6661-4477-8782-1649BAED7569}" name="Column14674"/>
    <tableColumn id="14680" xr3:uid="{2F1E803A-FA5A-417F-B3AC-50475F4A455D}" name="Column14675"/>
    <tableColumn id="14681" xr3:uid="{1D11228E-C7EC-4C56-8F22-450C319D6EE8}" name="Column14676"/>
    <tableColumn id="14682" xr3:uid="{5B810F9D-27BE-4DEE-A29B-36C78C40E872}" name="Column14677"/>
    <tableColumn id="14683" xr3:uid="{9C185567-B1D2-44C0-9151-7F221F0F2F31}" name="Column14678"/>
    <tableColumn id="14684" xr3:uid="{077301E3-1F6D-49D8-B8BE-AF16318E87CF}" name="Column14679"/>
    <tableColumn id="14685" xr3:uid="{EFFCD03B-3657-49F9-812D-E7DEDB7A9201}" name="Column14680"/>
    <tableColumn id="14686" xr3:uid="{93B7AEDA-D8AD-41F3-858C-D18F5A0A19A3}" name="Column14681"/>
    <tableColumn id="14687" xr3:uid="{7324A353-5B7C-4147-8FFC-D103D8376F6A}" name="Column14682"/>
    <tableColumn id="14688" xr3:uid="{B522A938-E1BB-4803-9909-FF99084F018F}" name="Column14683"/>
    <tableColumn id="14689" xr3:uid="{93725CA6-EF35-4E2B-B755-7EC0FB56EB5C}" name="Column14684"/>
    <tableColumn id="14690" xr3:uid="{A9026869-4E1A-4764-966E-D10F772A10B0}" name="Column14685"/>
    <tableColumn id="14691" xr3:uid="{F7C35883-9D95-4C85-BC31-B86092CFC1A3}" name="Column14686"/>
    <tableColumn id="14692" xr3:uid="{C1752AED-17E9-4223-88D8-85FA532F584F}" name="Column14687"/>
    <tableColumn id="14693" xr3:uid="{78B62046-B9F5-4FC3-A9EF-DD779BDDD256}" name="Column14688"/>
    <tableColumn id="14694" xr3:uid="{F392145C-D6E5-4AFE-B6AD-840BBA626757}" name="Column14689"/>
    <tableColumn id="14695" xr3:uid="{805F4C5E-6CB1-413D-A497-F91D1BA212F2}" name="Column14690"/>
    <tableColumn id="14696" xr3:uid="{5D490CD7-AB5B-4668-B02C-7932489631D2}" name="Column14691"/>
    <tableColumn id="14697" xr3:uid="{584B5D3B-C183-4B4F-9129-5439AF6DF0D0}" name="Column14692"/>
    <tableColumn id="14698" xr3:uid="{A7CEE223-A7FD-4D37-948D-700D86ECDF0A}" name="Column14693"/>
    <tableColumn id="14699" xr3:uid="{4A5BE5CD-961D-4A16-8425-84B4C681857E}" name="Column14694"/>
    <tableColumn id="14700" xr3:uid="{1300BDD8-74D7-43B4-BF38-69995FB50F0A}" name="Column14695"/>
    <tableColumn id="14701" xr3:uid="{25C01236-946D-4BBB-8578-C1D0CEB7818B}" name="Column14696"/>
    <tableColumn id="14702" xr3:uid="{E8627371-10EE-4CC3-B6E4-B4F51D69ACB3}" name="Column14697"/>
    <tableColumn id="14703" xr3:uid="{6374778C-E39C-48A0-BD9C-307708513AD8}" name="Column14698"/>
    <tableColumn id="14704" xr3:uid="{0C115642-55F2-4DEC-9C7C-7B22B7E08A13}" name="Column14699"/>
    <tableColumn id="14705" xr3:uid="{9C00E97E-4EA4-4B0E-8D04-C43E058CBFEC}" name="Column14700"/>
    <tableColumn id="14706" xr3:uid="{72F9DEDD-53C4-4A8B-A34F-F591C2584DD3}" name="Column14701"/>
    <tableColumn id="14707" xr3:uid="{728B1ED6-9125-4C13-B1C5-A72CFD38D58F}" name="Column14702"/>
    <tableColumn id="14708" xr3:uid="{045FA30E-71EE-478D-A799-BCCC50D9EBA8}" name="Column14703"/>
    <tableColumn id="14709" xr3:uid="{67CE86BB-090D-495A-A482-243C8D31EA41}" name="Column14704"/>
    <tableColumn id="14710" xr3:uid="{3F504EE5-EA2D-4FE1-A612-44B65BA3605F}" name="Column14705"/>
    <tableColumn id="14711" xr3:uid="{7ED4D783-0933-4130-8D01-1C1200628CDA}" name="Column14706"/>
    <tableColumn id="14712" xr3:uid="{863F1ED4-1C96-4332-9E66-AA78FD58663E}" name="Column14707"/>
    <tableColumn id="14713" xr3:uid="{DB179A64-628F-4335-B536-3C851F43E13A}" name="Column14708"/>
    <tableColumn id="14714" xr3:uid="{42364DC3-FEFF-420D-B590-8E7CDCEA7968}" name="Column14709"/>
    <tableColumn id="14715" xr3:uid="{82695E74-FA17-4F0C-9448-6F8FB3CCAD28}" name="Column14710"/>
    <tableColumn id="14716" xr3:uid="{1DDBB23E-EA20-4D3F-8F8C-A44AFA299D3A}" name="Column14711"/>
    <tableColumn id="14717" xr3:uid="{0729A0FF-A2FD-4DF8-AE06-76AD0F8743CB}" name="Column14712"/>
    <tableColumn id="14718" xr3:uid="{1260105B-BC22-45AE-9FBD-FDF8FDC278B9}" name="Column14713"/>
    <tableColumn id="14719" xr3:uid="{7C25C3B6-A883-48FA-9962-CF188DEBA6CA}" name="Column14714"/>
    <tableColumn id="14720" xr3:uid="{AE2B94F5-E3CD-4521-85E0-AD75375E92A3}" name="Column14715"/>
    <tableColumn id="14721" xr3:uid="{3FCD7B0F-5A0E-4229-8209-4C2E0A117513}" name="Column14716"/>
    <tableColumn id="14722" xr3:uid="{0C8FC554-375B-4BE4-B66F-6714867A8AE0}" name="Column14717"/>
    <tableColumn id="14723" xr3:uid="{74BBC529-08E8-487B-B2CA-9CE58B5EBFBD}" name="Column14718"/>
    <tableColumn id="14724" xr3:uid="{A44BB5EB-30E0-48E4-AC5F-7619AC9DD230}" name="Column14719"/>
    <tableColumn id="14725" xr3:uid="{36AAC0B6-DB45-4ADC-94A4-D5454982F9D7}" name="Column14720"/>
    <tableColumn id="14726" xr3:uid="{708BA958-E3F4-44E7-9212-821DF07D4659}" name="Column14721"/>
    <tableColumn id="14727" xr3:uid="{63F1E46F-443A-4598-9559-8C4FA17113C6}" name="Column14722"/>
    <tableColumn id="14728" xr3:uid="{12790663-BF1F-4B7D-B77D-FBF2A26E3B0C}" name="Column14723"/>
    <tableColumn id="14729" xr3:uid="{A8A3E230-D391-4D60-90E6-86C08EA00549}" name="Column14724"/>
    <tableColumn id="14730" xr3:uid="{BAC8769C-FD32-475E-9B21-9D3BFF200C2C}" name="Column14725"/>
    <tableColumn id="14731" xr3:uid="{1818F520-BF49-41B3-9C0F-C7F4069EC239}" name="Column14726"/>
    <tableColumn id="14732" xr3:uid="{CCA8EF3F-93C0-4D14-8C8C-6925C0F99356}" name="Column14727"/>
    <tableColumn id="14733" xr3:uid="{A7DEBDB5-83A1-4E37-A121-71470D8715AB}" name="Column14728"/>
    <tableColumn id="14734" xr3:uid="{B13C5931-B6B9-4ADD-A1B6-0DF2ED6BFE34}" name="Column14729"/>
    <tableColumn id="14735" xr3:uid="{8BB53039-DA5A-47EA-813E-98663AC5C630}" name="Column14730"/>
    <tableColumn id="14736" xr3:uid="{384B473C-0A9B-4E11-BB0C-D02EC210DF46}" name="Column14731"/>
    <tableColumn id="14737" xr3:uid="{9DB01AE1-814D-4C05-ABB0-00D6E6ACB49D}" name="Column14732"/>
    <tableColumn id="14738" xr3:uid="{82B33D77-264A-4EE4-9990-1F67047703E5}" name="Column14733"/>
    <tableColumn id="14739" xr3:uid="{FD3ACA2A-1264-4FD6-A5B5-B361046E75D4}" name="Column14734"/>
    <tableColumn id="14740" xr3:uid="{0FB7685A-BF8C-49E2-8916-446855CBAC55}" name="Column14735"/>
    <tableColumn id="14741" xr3:uid="{B73AB601-38D8-46A7-96AE-552F36642EED}" name="Column14736"/>
    <tableColumn id="14742" xr3:uid="{ED7CF254-C4CC-4E57-8EF5-3509FCCB393D}" name="Column14737"/>
    <tableColumn id="14743" xr3:uid="{BA8B2CB5-8331-4459-8500-EA7902DBF48E}" name="Column14738"/>
    <tableColumn id="14744" xr3:uid="{265353C2-2642-4BA2-8C35-D0C24293687D}" name="Column14739"/>
    <tableColumn id="14745" xr3:uid="{137E08BA-8410-4182-A29C-25F45C1BEC79}" name="Column14740"/>
    <tableColumn id="14746" xr3:uid="{88C474B7-2C69-42A5-A2BF-6465E4825751}" name="Column14741"/>
    <tableColumn id="14747" xr3:uid="{5A01BF3B-0663-4ED7-ADD1-079CD8A16BC9}" name="Column14742"/>
    <tableColumn id="14748" xr3:uid="{C9054186-68F2-466A-B863-0FE1D07D6B8E}" name="Column14743"/>
    <tableColumn id="14749" xr3:uid="{B7C4C790-B5BB-4652-AC64-F5A1997DF327}" name="Column14744"/>
    <tableColumn id="14750" xr3:uid="{CCBBC25D-D22A-4D6C-AE0E-764C45CD3284}" name="Column14745"/>
    <tableColumn id="14751" xr3:uid="{7B63C0F3-12D2-410D-910D-27D6391C6ABC}" name="Column14746"/>
    <tableColumn id="14752" xr3:uid="{B9527324-A3F3-47F5-9E07-8973BC36FDDA}" name="Column14747"/>
    <tableColumn id="14753" xr3:uid="{A0C06B9A-C631-4621-AB20-4FFD21C50DFC}" name="Column14748"/>
    <tableColumn id="14754" xr3:uid="{9F88FD43-A523-4435-8C08-6261698E720D}" name="Column14749"/>
    <tableColumn id="14755" xr3:uid="{C4FCE25A-0B98-4CA8-A1EF-073377F4CDCB}" name="Column14750"/>
    <tableColumn id="14756" xr3:uid="{B105610A-9CA2-4195-B3A4-D72B10412333}" name="Column14751"/>
    <tableColumn id="14757" xr3:uid="{923689D6-5967-4CC6-B5A7-9370D004CD76}" name="Column14752"/>
    <tableColumn id="14758" xr3:uid="{7AB4E1C3-116B-41FC-ACF9-F9EF25EC0381}" name="Column14753"/>
    <tableColumn id="14759" xr3:uid="{B7C5BA2C-0310-473D-8E08-04EDA9A0534B}" name="Column14754"/>
    <tableColumn id="14760" xr3:uid="{75D54715-31C7-433B-BD32-A96732B13E01}" name="Column14755"/>
    <tableColumn id="14761" xr3:uid="{F3C49021-4BF9-4A0A-8140-479C2D56C39E}" name="Column14756"/>
    <tableColumn id="14762" xr3:uid="{8F19DEB8-7A3E-497F-8466-BA11FABB8950}" name="Column14757"/>
    <tableColumn id="14763" xr3:uid="{054CB51B-E147-4930-95F3-426E89FE823A}" name="Column14758"/>
    <tableColumn id="14764" xr3:uid="{0A83F66D-AF0A-4419-B3C7-B3376B859B91}" name="Column14759"/>
    <tableColumn id="14765" xr3:uid="{F6D8CA46-C43B-4D00-AD53-F03DC37C48C0}" name="Column14760"/>
    <tableColumn id="14766" xr3:uid="{CB44B0D5-8D04-42FA-8E8B-716D3E3B2EAE}" name="Column14761"/>
    <tableColumn id="14767" xr3:uid="{475EA4EB-6E82-439C-A996-6FE860124B48}" name="Column14762"/>
    <tableColumn id="14768" xr3:uid="{DB8461EE-2D87-45E1-AD4C-2220AA390704}" name="Column14763"/>
    <tableColumn id="14769" xr3:uid="{CCAA659D-9663-4D09-92D4-F31859ECDE26}" name="Column14764"/>
    <tableColumn id="14770" xr3:uid="{68605DE7-587C-4A79-B6CB-4E82B99253C3}" name="Column14765"/>
    <tableColumn id="14771" xr3:uid="{2621EB0D-09C4-43F0-B08F-20FB4D395B4F}" name="Column14766"/>
    <tableColumn id="14772" xr3:uid="{81507815-8315-408D-84C7-AEB6B6449CDD}" name="Column14767"/>
    <tableColumn id="14773" xr3:uid="{0DB8DF19-9806-4488-9EA1-555AA4894770}" name="Column14768"/>
    <tableColumn id="14774" xr3:uid="{19B97003-83A8-4C65-91E6-822019E1551E}" name="Column14769"/>
    <tableColumn id="14775" xr3:uid="{C192CDB8-F799-4F0F-8203-F9405576272E}" name="Column14770"/>
    <tableColumn id="14776" xr3:uid="{C7745A2D-8B98-4D67-BE47-75680B5C7BF1}" name="Column14771"/>
    <tableColumn id="14777" xr3:uid="{FBABA659-F747-46A1-953F-67E1777DA396}" name="Column14772"/>
    <tableColumn id="14778" xr3:uid="{3676B7F4-2CE9-4E4F-9769-C5F1AF57B96E}" name="Column14773"/>
    <tableColumn id="14779" xr3:uid="{CD3108BB-E4BB-484B-905B-9A5379D214EA}" name="Column14774"/>
    <tableColumn id="14780" xr3:uid="{D2674604-44EA-42F9-B09E-03346F7423CD}" name="Column14775"/>
    <tableColumn id="14781" xr3:uid="{B66E4B55-E96C-46EA-B41B-7430A0D1BBA5}" name="Column14776"/>
    <tableColumn id="14782" xr3:uid="{D30AA074-6DFA-40E4-94D8-0972E043AD15}" name="Column14777"/>
    <tableColumn id="14783" xr3:uid="{18E14A4B-2842-4CE9-A206-3BF84EE6259A}" name="Column14778"/>
    <tableColumn id="14784" xr3:uid="{7B875DFE-5E9A-4C3A-9119-D8D15F119E74}" name="Column14779"/>
    <tableColumn id="14785" xr3:uid="{53BFA926-922B-4E85-AF3A-B9A2B4B73A29}" name="Column14780"/>
    <tableColumn id="14786" xr3:uid="{7148AD5C-7568-48D3-B2F7-835E89B50213}" name="Column14781"/>
    <tableColumn id="14787" xr3:uid="{821A42DF-3145-4500-B8A5-B9C2A2046D11}" name="Column14782"/>
    <tableColumn id="14788" xr3:uid="{E26D92CA-6D41-4E0C-AEAE-263AB912A0FB}" name="Column14783"/>
    <tableColumn id="14789" xr3:uid="{110D8822-5687-4DAC-919B-3DDA70143456}" name="Column14784"/>
    <tableColumn id="14790" xr3:uid="{AC883F9D-00ED-4A3E-B095-AA7FCC7EBBD8}" name="Column14785"/>
    <tableColumn id="14791" xr3:uid="{EF8CA3FE-B038-4D5A-BA86-2501F58479C8}" name="Column14786"/>
    <tableColumn id="14792" xr3:uid="{3DD16DCC-2DA3-4E67-81D6-56DDB892AE6E}" name="Column14787"/>
    <tableColumn id="14793" xr3:uid="{79F45463-2E87-411B-8B9B-7384FFFD067F}" name="Column14788"/>
    <tableColumn id="14794" xr3:uid="{7DD6499F-FF96-4430-9AF0-146F04772A4E}" name="Column14789"/>
    <tableColumn id="14795" xr3:uid="{9ADD6435-4192-44B0-A417-2F7BFBD0B710}" name="Column14790"/>
    <tableColumn id="14796" xr3:uid="{55478A9F-F2C6-4428-A575-7F008346B223}" name="Column14791"/>
    <tableColumn id="14797" xr3:uid="{231BD0A6-8CFB-4B03-9E35-27BF1A5F4A79}" name="Column14792"/>
    <tableColumn id="14798" xr3:uid="{C9124B96-0ED7-4C31-9720-24761149C492}" name="Column14793"/>
    <tableColumn id="14799" xr3:uid="{230D951E-4967-4784-AA40-BCA514822D12}" name="Column14794"/>
    <tableColumn id="14800" xr3:uid="{D4B5285F-20B4-4F71-ADA3-389A788CC4D9}" name="Column14795"/>
    <tableColumn id="14801" xr3:uid="{DD549F2F-92FE-46A7-9041-996621C0CB84}" name="Column14796"/>
    <tableColumn id="14802" xr3:uid="{C741461C-5953-4683-88EA-80A940D15FB9}" name="Column14797"/>
    <tableColumn id="14803" xr3:uid="{F12FCF55-A7F8-4FCE-94ED-F393154145DB}" name="Column14798"/>
    <tableColumn id="14804" xr3:uid="{6470D28B-47CF-4B0A-A12C-96FB73E95091}" name="Column14799"/>
    <tableColumn id="14805" xr3:uid="{E90724B7-F874-4C76-98AC-06E26CB9A2B2}" name="Column14800"/>
    <tableColumn id="14806" xr3:uid="{2E134E26-2847-4258-ABC9-94B812115082}" name="Column14801"/>
    <tableColumn id="14807" xr3:uid="{C66D3611-967D-4D68-B248-0A79DD071529}" name="Column14802"/>
    <tableColumn id="14808" xr3:uid="{B58DD190-C39E-4B4C-BF16-660D7ADBB747}" name="Column14803"/>
    <tableColumn id="14809" xr3:uid="{E7F43605-95C3-49D6-AC5A-723669F56E09}" name="Column14804"/>
    <tableColumn id="14810" xr3:uid="{3ED0B460-C26D-4E96-B4AF-140438AC30D6}" name="Column14805"/>
    <tableColumn id="14811" xr3:uid="{BCBAC9C7-F8FB-4F01-9DB9-3017654BA90E}" name="Column14806"/>
    <tableColumn id="14812" xr3:uid="{6BEC7404-3E8C-405B-AD89-B975C32475AF}" name="Column14807"/>
    <tableColumn id="14813" xr3:uid="{4278297A-4A58-4528-A546-2AE13117D9F8}" name="Column14808"/>
    <tableColumn id="14814" xr3:uid="{EFDED873-107F-4712-8869-308C27A2B8B7}" name="Column14809"/>
    <tableColumn id="14815" xr3:uid="{9BBFDF98-B671-4AA4-A231-7EB5FFB3BE80}" name="Column14810"/>
    <tableColumn id="14816" xr3:uid="{3664F292-909A-4D2C-847E-DBE73AEFA248}" name="Column14811"/>
    <tableColumn id="14817" xr3:uid="{C604AF33-35D4-4F23-BEAA-BC88FED58568}" name="Column14812"/>
    <tableColumn id="14818" xr3:uid="{5F6169C1-7485-49F8-9D67-690039A24E6B}" name="Column14813"/>
    <tableColumn id="14819" xr3:uid="{ED82732C-3B22-492D-951B-BD8298D60B32}" name="Column14814"/>
    <tableColumn id="14820" xr3:uid="{EA36717D-2DA9-4565-96ED-37F1825A3DFA}" name="Column14815"/>
    <tableColumn id="14821" xr3:uid="{77F34365-E98C-462D-AA5E-80C51813F4FC}" name="Column14816"/>
    <tableColumn id="14822" xr3:uid="{34CD38EC-3386-402B-97D4-ACC0C5079169}" name="Column14817"/>
    <tableColumn id="14823" xr3:uid="{D4BE3883-F562-4746-AEB1-706F9EE7E89E}" name="Column14818"/>
    <tableColumn id="14824" xr3:uid="{F9ABBE37-8C52-401B-B30B-F4DEEFCDB699}" name="Column14819"/>
    <tableColumn id="14825" xr3:uid="{3D2C370B-EB6F-4319-9C3A-264A87B068D9}" name="Column14820"/>
    <tableColumn id="14826" xr3:uid="{1E5C43DA-3E55-48B9-AB36-5E06E52D7E73}" name="Column14821"/>
    <tableColumn id="14827" xr3:uid="{8A6D7D5B-5856-467F-9BF0-490647FCA257}" name="Column14822"/>
    <tableColumn id="14828" xr3:uid="{5039B44C-AFA9-4501-A1C7-253D41D60B68}" name="Column14823"/>
    <tableColumn id="14829" xr3:uid="{5BDE9863-04AF-4AAF-A0BD-88AC47708B8B}" name="Column14824"/>
    <tableColumn id="14830" xr3:uid="{1BCC885A-99F0-44B9-9177-DF27407DDA58}" name="Column14825"/>
    <tableColumn id="14831" xr3:uid="{4F2209F0-C901-482A-9468-05D14E48AF5B}" name="Column14826"/>
    <tableColumn id="14832" xr3:uid="{052E830F-1737-43ED-BC85-82406AF2DFCF}" name="Column14827"/>
    <tableColumn id="14833" xr3:uid="{1E955430-A412-4DCA-8F88-E8059A89A6DA}" name="Column14828"/>
    <tableColumn id="14834" xr3:uid="{D7C5A814-3609-4D39-ADA4-DDDE1AFFA6C9}" name="Column14829"/>
    <tableColumn id="14835" xr3:uid="{A87604AC-599E-4099-8331-EC7C3735AEA0}" name="Column14830"/>
    <tableColumn id="14836" xr3:uid="{F16D91A0-C459-4450-8CAC-4280498E30D9}" name="Column14831"/>
    <tableColumn id="14837" xr3:uid="{4FF8F849-87AA-4C48-960E-1C31EC222596}" name="Column14832"/>
    <tableColumn id="14838" xr3:uid="{744EDB1C-3444-43E2-BC9E-275124F371C4}" name="Column14833"/>
    <tableColumn id="14839" xr3:uid="{1CBDEB39-8ED0-420D-AA5B-85CD825D1B71}" name="Column14834"/>
    <tableColumn id="14840" xr3:uid="{4434EECA-3B34-4120-8A12-9A4FFDBF41FF}" name="Column14835"/>
    <tableColumn id="14841" xr3:uid="{9ADD46E2-C1C3-449C-B96C-B43612B87CFE}" name="Column14836"/>
    <tableColumn id="14842" xr3:uid="{4D05018E-D400-4377-B014-FB61B446ED19}" name="Column14837"/>
    <tableColumn id="14843" xr3:uid="{CD0EA7BA-212D-456D-A8F1-49CE19E989A0}" name="Column14838"/>
    <tableColumn id="14844" xr3:uid="{96DF7082-B645-4B07-B395-AE4DCCC52106}" name="Column14839"/>
    <tableColumn id="14845" xr3:uid="{60DE8AFF-2A6B-4DD0-ABE3-1137CC369F4A}" name="Column14840"/>
    <tableColumn id="14846" xr3:uid="{488C1A6E-E816-451D-A089-B013570AF939}" name="Column14841"/>
    <tableColumn id="14847" xr3:uid="{7BF5AFFB-E62E-4050-9D37-FEBD54147636}" name="Column14842"/>
    <tableColumn id="14848" xr3:uid="{A4051611-2EE9-4946-A769-0D244C3EEF10}" name="Column14843"/>
    <tableColumn id="14849" xr3:uid="{EB3ED3F6-235E-4373-9539-5F8FCEBF94CA}" name="Column14844"/>
    <tableColumn id="14850" xr3:uid="{2DFEC01F-D788-4131-926C-821C38FFB6C8}" name="Column14845"/>
    <tableColumn id="14851" xr3:uid="{C2852B78-A466-4E66-AD87-EC2B787E7586}" name="Column14846"/>
    <tableColumn id="14852" xr3:uid="{58AE890D-F7EF-4FDA-8453-079A480D881B}" name="Column14847"/>
    <tableColumn id="14853" xr3:uid="{5349F389-2D5D-4899-9BE0-C75DE0F2215F}" name="Column14848"/>
    <tableColumn id="14854" xr3:uid="{03F60232-AE57-4928-888B-B3793E0A9739}" name="Column14849"/>
    <tableColumn id="14855" xr3:uid="{54A357B1-5127-4F00-8E95-B335F46931CC}" name="Column14850"/>
    <tableColumn id="14856" xr3:uid="{92E28A93-A3E5-491D-8821-93069C2C1351}" name="Column14851"/>
    <tableColumn id="14857" xr3:uid="{8E90AE49-A171-4EC8-9D3C-48B3B46D5F5F}" name="Column14852"/>
    <tableColumn id="14858" xr3:uid="{EF2641B2-CBB2-48F6-AC64-67532A0FF401}" name="Column14853"/>
    <tableColumn id="14859" xr3:uid="{6A470300-D97B-4A2A-A255-E7854682B5FB}" name="Column14854"/>
    <tableColumn id="14860" xr3:uid="{7F4B51A8-250E-4EF9-80D1-27E7553F98DC}" name="Column14855"/>
    <tableColumn id="14861" xr3:uid="{6A2FD49E-2517-4167-B319-EB43578473B3}" name="Column14856"/>
    <tableColumn id="14862" xr3:uid="{60355A2F-B6CB-4B3B-B57F-0B5DF41250D7}" name="Column14857"/>
    <tableColumn id="14863" xr3:uid="{3C98F833-A3F3-4CD3-8CA6-59A9C4F74BCD}" name="Column14858"/>
    <tableColumn id="14864" xr3:uid="{9EC572A6-0158-40FF-AAD2-13F49C6EECAA}" name="Column14859"/>
    <tableColumn id="14865" xr3:uid="{B24E802A-A1BC-470A-A8E3-3DEE0CCD0CD0}" name="Column14860"/>
    <tableColumn id="14866" xr3:uid="{082557F1-5593-4CEF-B4A7-D91A5E0DFA70}" name="Column14861"/>
    <tableColumn id="14867" xr3:uid="{21B3AE3E-BA5F-42DB-A3B4-6780A01D10F3}" name="Column14862"/>
    <tableColumn id="14868" xr3:uid="{5AF8EADC-969D-4755-9ED1-FC6DE2184DFD}" name="Column14863"/>
    <tableColumn id="14869" xr3:uid="{D054A430-0BE3-42BC-8600-FCA351355DDE}" name="Column14864"/>
    <tableColumn id="14870" xr3:uid="{26598C9E-BC40-44C6-9863-E70C0B16BCFD}" name="Column14865"/>
    <tableColumn id="14871" xr3:uid="{7B2177DC-A16C-4A3D-8F6D-9B0A93B09188}" name="Column14866"/>
    <tableColumn id="14872" xr3:uid="{12A1ADB0-099D-4CF5-9D97-82116CF6B3F6}" name="Column14867"/>
    <tableColumn id="14873" xr3:uid="{1B23CE67-BA04-483C-9F40-ED2099E8C6AD}" name="Column14868"/>
    <tableColumn id="14874" xr3:uid="{C93635F6-C6F0-43F0-BA04-C87C82A012F8}" name="Column14869"/>
    <tableColumn id="14875" xr3:uid="{2C91EF77-FDFF-4498-9F3D-35BA2FBB526D}" name="Column14870"/>
    <tableColumn id="14876" xr3:uid="{CBA0BA66-28FD-4ABD-86D3-934679F4810C}" name="Column14871"/>
    <tableColumn id="14877" xr3:uid="{DB6A9E22-9E68-47F8-9318-19B2F57A364B}" name="Column14872"/>
    <tableColumn id="14878" xr3:uid="{1352F5FE-C85B-4B4E-A740-2FB5B75E204A}" name="Column14873"/>
    <tableColumn id="14879" xr3:uid="{E7765AAB-0772-4DE9-9F9E-6E19EB0BE631}" name="Column14874"/>
    <tableColumn id="14880" xr3:uid="{0A1D2B04-920C-46EA-8CA4-D853CDAD7761}" name="Column14875"/>
    <tableColumn id="14881" xr3:uid="{F1310C59-DF69-46EA-823A-44F327EAD6ED}" name="Column14876"/>
    <tableColumn id="14882" xr3:uid="{E90DE452-0266-43B6-A577-A364920A5AD5}" name="Column14877"/>
    <tableColumn id="14883" xr3:uid="{B95484AA-3364-4A9E-8D1D-78C5073526C8}" name="Column14878"/>
    <tableColumn id="14884" xr3:uid="{4A42F0F5-AB9E-49F4-A639-5FD9FD02CAD3}" name="Column14879"/>
    <tableColumn id="14885" xr3:uid="{879F107D-F3CF-490F-B64C-6388C0BA6D73}" name="Column14880"/>
    <tableColumn id="14886" xr3:uid="{5A9CD066-2733-46F0-A782-91EF0A816E71}" name="Column14881"/>
    <tableColumn id="14887" xr3:uid="{5C885E8C-3C83-4A70-8AA5-DCD6BBE53A15}" name="Column14882"/>
    <tableColumn id="14888" xr3:uid="{500CD300-A32E-4C1B-A85F-CC45E19E6DD8}" name="Column14883"/>
    <tableColumn id="14889" xr3:uid="{3F905C3C-354A-45BF-9B39-2710E9EC0E59}" name="Column14884"/>
    <tableColumn id="14890" xr3:uid="{4160E0B8-9FAC-4EFA-A1A8-8AD424D78CCF}" name="Column14885"/>
    <tableColumn id="14891" xr3:uid="{80593F99-F1F0-4A1C-9273-21FBBA892250}" name="Column14886"/>
    <tableColumn id="14892" xr3:uid="{13285A81-CE8A-472D-9628-42C5CFD6184D}" name="Column14887"/>
    <tableColumn id="14893" xr3:uid="{5B02A670-F889-4C07-9C8C-DD5A7A403A40}" name="Column14888"/>
    <tableColumn id="14894" xr3:uid="{0BCC1474-478D-4F65-BB56-0FFA7322DB3E}" name="Column14889"/>
    <tableColumn id="14895" xr3:uid="{ACCBE082-2DB8-4383-AA68-1B287890B3AE}" name="Column14890"/>
    <tableColumn id="14896" xr3:uid="{F15AE261-9DB5-41F6-B51C-FBA7C2227BC5}" name="Column14891"/>
    <tableColumn id="14897" xr3:uid="{A3EC11E9-8E3E-4C81-B919-40C007D15C62}" name="Column14892"/>
    <tableColumn id="14898" xr3:uid="{A4CA17AB-12E3-4FF8-96C5-36786E70CEDC}" name="Column14893"/>
    <tableColumn id="14899" xr3:uid="{5E2D551A-18FE-4C8F-A2EE-DF8408BDA01E}" name="Column14894"/>
    <tableColumn id="14900" xr3:uid="{22D9D5D2-9F85-420A-AAD0-7570A4C869C4}" name="Column14895"/>
    <tableColumn id="14901" xr3:uid="{1E44A9F3-BD1E-4F52-8564-AB5F24E4EF9F}" name="Column14896"/>
    <tableColumn id="14902" xr3:uid="{736F7448-801C-4C72-ACB6-C14CC3CD8844}" name="Column14897"/>
    <tableColumn id="14903" xr3:uid="{C61187F8-0C1D-4B5B-8C8C-7FEB902E95BB}" name="Column14898"/>
    <tableColumn id="14904" xr3:uid="{4161C2E5-B178-4819-BD35-12985F8CEBE8}" name="Column14899"/>
    <tableColumn id="14905" xr3:uid="{F0A289C7-08E0-4920-825F-68E49EF24790}" name="Column14900"/>
    <tableColumn id="14906" xr3:uid="{5526D58B-AECB-4621-8570-C55D71F02526}" name="Column14901"/>
    <tableColumn id="14907" xr3:uid="{F84FC0B4-31AE-45B7-9788-BE1D23FCF35C}" name="Column14902"/>
    <tableColumn id="14908" xr3:uid="{A246A802-51E7-4D45-AECA-54EF73CA9BCF}" name="Column14903"/>
    <tableColumn id="14909" xr3:uid="{C43C88D9-CD08-47E0-8805-B9C6BC39CB98}" name="Column14904"/>
    <tableColumn id="14910" xr3:uid="{3892DCAA-9356-40A7-A731-2E72DB32452A}" name="Column14905"/>
    <tableColumn id="14911" xr3:uid="{052E5E04-C2C7-4A9B-AA31-204A5BFA779F}" name="Column14906"/>
    <tableColumn id="14912" xr3:uid="{9E6CDFC6-3010-44A7-BFAD-6A6594F0B315}" name="Column14907"/>
    <tableColumn id="14913" xr3:uid="{BB1354E4-BBC2-4427-98EC-9DCD2B0D6287}" name="Column14908"/>
    <tableColumn id="14914" xr3:uid="{579F1710-3EAA-44F9-A067-92CFC0BB1AE9}" name="Column14909"/>
    <tableColumn id="14915" xr3:uid="{85D0234F-BBEE-4FE6-8C83-202B3903D996}" name="Column14910"/>
    <tableColumn id="14916" xr3:uid="{C34B006A-D267-4967-A5C5-DAD2FA543A71}" name="Column14911"/>
    <tableColumn id="14917" xr3:uid="{FBFFAAA9-6E9C-4F04-ADCA-AB44B4D421E1}" name="Column14912"/>
    <tableColumn id="14918" xr3:uid="{2EA42F24-9E31-4F25-8519-F43F640D26BC}" name="Column14913"/>
    <tableColumn id="14919" xr3:uid="{83569EA2-3139-4955-863F-8A36A90CDEEC}" name="Column14914"/>
    <tableColumn id="14920" xr3:uid="{BA76BF55-D7F9-415F-8A1E-71857DDA2835}" name="Column14915"/>
    <tableColumn id="14921" xr3:uid="{F7625357-C207-4820-9BDE-AA98BA6327DD}" name="Column14916"/>
    <tableColumn id="14922" xr3:uid="{D0C48831-889F-4EB0-BDAA-60674FDF6A7B}" name="Column14917"/>
    <tableColumn id="14923" xr3:uid="{FC771803-D5AF-47BB-9F89-EFAB81BD5592}" name="Column14918"/>
    <tableColumn id="14924" xr3:uid="{A9FAA3EF-CB96-425C-A198-CC45B52328F8}" name="Column14919"/>
    <tableColumn id="14925" xr3:uid="{19D8C9E2-350C-42CC-B669-93DAEA957513}" name="Column14920"/>
    <tableColumn id="14926" xr3:uid="{7CA5969B-7804-4071-9FC7-BCC127636B35}" name="Column14921"/>
    <tableColumn id="14927" xr3:uid="{9D24B95F-1A5B-46A1-8486-C990FAAA65F8}" name="Column14922"/>
    <tableColumn id="14928" xr3:uid="{10B083F2-C41A-4F6B-AA0A-5C85621A19FD}" name="Column14923"/>
    <tableColumn id="14929" xr3:uid="{BC8830D5-8DF3-40F7-9D85-4EAEDEA6C2D7}" name="Column14924"/>
    <tableColumn id="14930" xr3:uid="{36055EA9-6902-4CC0-BFCD-B7B233FB4A5B}" name="Column14925"/>
    <tableColumn id="14931" xr3:uid="{1D42D83F-A6EA-48FA-883E-CC12283CD386}" name="Column14926"/>
    <tableColumn id="14932" xr3:uid="{4C8C8FDC-D7E0-4831-98B3-8CBB99C80953}" name="Column14927"/>
    <tableColumn id="14933" xr3:uid="{C9436CBD-9FE6-4270-AC90-B8CED72DACF6}" name="Column14928"/>
    <tableColumn id="14934" xr3:uid="{E6370044-81F1-40B4-97A6-4F5A2D4710B0}" name="Column14929"/>
    <tableColumn id="14935" xr3:uid="{97BBDA4B-82D8-4759-A3D2-242931049A08}" name="Column14930"/>
    <tableColumn id="14936" xr3:uid="{F70BDB48-075F-4A81-8BD0-9DC78FF26C22}" name="Column14931"/>
    <tableColumn id="14937" xr3:uid="{54C6F715-18D4-4F05-B6B7-E5FF6D8172A9}" name="Column14932"/>
    <tableColumn id="14938" xr3:uid="{E822885E-7043-473B-BBB4-D387CD8E131C}" name="Column14933"/>
    <tableColumn id="14939" xr3:uid="{59767D66-F282-488E-9DD2-ACA27DC9AD4D}" name="Column14934"/>
    <tableColumn id="14940" xr3:uid="{1E59202A-6FEE-47A2-893E-01AFBA3DE695}" name="Column14935"/>
    <tableColumn id="14941" xr3:uid="{25271D9F-D00D-46E5-B83A-214CE6D4F93D}" name="Column14936"/>
    <tableColumn id="14942" xr3:uid="{1ECA6586-6FF6-4F19-9E46-3E9CFC5DA3A9}" name="Column14937"/>
    <tableColumn id="14943" xr3:uid="{5A293101-A0AB-4B51-93B4-4993CC7EE933}" name="Column14938"/>
    <tableColumn id="14944" xr3:uid="{260736DB-205F-4873-8019-6235D682B622}" name="Column14939"/>
    <tableColumn id="14945" xr3:uid="{CC270742-16E1-4477-AE44-B6FAB24CA0C5}" name="Column14940"/>
    <tableColumn id="14946" xr3:uid="{08B28450-1BD1-4400-AEBD-F975A494E784}" name="Column14941"/>
    <tableColumn id="14947" xr3:uid="{DB56F69B-36D2-41B3-BB53-4D78E759BFED}" name="Column14942"/>
    <tableColumn id="14948" xr3:uid="{39494219-9550-490F-BD54-F49BFEDD3AF7}" name="Column14943"/>
    <tableColumn id="14949" xr3:uid="{78086255-B570-40F7-83E5-DFE804E3DC46}" name="Column14944"/>
    <tableColumn id="14950" xr3:uid="{3AC9EA30-B1FE-46C9-A653-B1A8800B9975}" name="Column14945"/>
    <tableColumn id="14951" xr3:uid="{46FABFD4-B2CB-468D-87D9-7394FED70757}" name="Column14946"/>
    <tableColumn id="14952" xr3:uid="{244491F4-56DD-4757-9FF1-93FC02856842}" name="Column14947"/>
    <tableColumn id="14953" xr3:uid="{BF83CD8E-CC45-4779-B4DA-C9B56DD43E88}" name="Column14948"/>
    <tableColumn id="14954" xr3:uid="{DDD6B68F-DC6F-4A55-8ECB-ACF873069272}" name="Column14949"/>
    <tableColumn id="14955" xr3:uid="{E39F034E-0B38-443C-A93B-27A794183BF6}" name="Column14950"/>
    <tableColumn id="14956" xr3:uid="{E816FAC4-B6D7-40DD-862B-8CAD03DF5354}" name="Column14951"/>
    <tableColumn id="14957" xr3:uid="{29D80A18-8948-4305-9BB5-CD1271F70140}" name="Column14952"/>
    <tableColumn id="14958" xr3:uid="{2EEF1362-05EE-4F13-A03E-BBE23C1C53F7}" name="Column14953"/>
    <tableColumn id="14959" xr3:uid="{A967EF32-143C-49D6-B8C4-070A4F0F95BE}" name="Column14954"/>
    <tableColumn id="14960" xr3:uid="{6E5C2231-AA7E-4637-95C6-876DF9A17BC6}" name="Column14955"/>
    <tableColumn id="14961" xr3:uid="{A9C59226-D02C-496D-99A4-834613CF588F}" name="Column14956"/>
    <tableColumn id="14962" xr3:uid="{6388753A-E1E6-4693-A71C-30CB74958EEF}" name="Column14957"/>
    <tableColumn id="14963" xr3:uid="{A1F35FA0-EDD8-4DBF-BE93-C74B9F04CC01}" name="Column14958"/>
    <tableColumn id="14964" xr3:uid="{0686BDFD-B204-4AA3-BE12-AC6CF1630217}" name="Column14959"/>
    <tableColumn id="14965" xr3:uid="{90289533-85C5-4C4F-9CD8-FAB15077A3B2}" name="Column14960"/>
    <tableColumn id="14966" xr3:uid="{3B754DBA-F07F-432A-910D-8B8915357DF1}" name="Column14961"/>
    <tableColumn id="14967" xr3:uid="{DE462B96-5FE9-42CA-A524-635E13FEC63F}" name="Column14962"/>
    <tableColumn id="14968" xr3:uid="{CBF563AA-75D0-4577-AD2E-109A1D9CCAE8}" name="Column14963"/>
    <tableColumn id="14969" xr3:uid="{07FA52A3-8B35-4BC2-B35B-7EFC9BDF3395}" name="Column14964"/>
    <tableColumn id="14970" xr3:uid="{15379FEC-8D44-494B-AFBF-2C28AF64234F}" name="Column14965"/>
    <tableColumn id="14971" xr3:uid="{5BC3C4A6-75BE-4A1F-8CFD-A330FB543AB7}" name="Column14966"/>
    <tableColumn id="14972" xr3:uid="{008EFB78-E9D2-4749-BE6D-2ED668ADE9D6}" name="Column14967"/>
    <tableColumn id="14973" xr3:uid="{987E866C-3607-4E9B-91EC-D521EEB23D45}" name="Column14968"/>
    <tableColumn id="14974" xr3:uid="{D081BF17-BA37-4705-8EBB-22B91EE1ECD2}" name="Column14969"/>
    <tableColumn id="14975" xr3:uid="{8544EAEA-2966-4B45-A94D-42450F121875}" name="Column14970"/>
    <tableColumn id="14976" xr3:uid="{AF397782-291D-489D-B12B-957019B326D5}" name="Column14971"/>
    <tableColumn id="14977" xr3:uid="{87CB34DA-C9BE-4857-9EAC-28223091430D}" name="Column14972"/>
    <tableColumn id="14978" xr3:uid="{2C2F034D-85DA-4B4B-87D1-EB951617AE62}" name="Column14973"/>
    <tableColumn id="14979" xr3:uid="{25E8B2F7-E78B-4398-A9DD-A840D6FF71B6}" name="Column14974"/>
    <tableColumn id="14980" xr3:uid="{B46320A7-DEB6-4004-A06B-17AC9BD5E4D9}" name="Column14975"/>
    <tableColumn id="14981" xr3:uid="{D769EC5D-50E5-47A3-8207-3FE80921F865}" name="Column14976"/>
    <tableColumn id="14982" xr3:uid="{4795CBBE-3AE1-47F9-BDCB-1D01CE182EEA}" name="Column14977"/>
    <tableColumn id="14983" xr3:uid="{9FB8AAD1-66DF-4C8C-89BD-E9627238BDB6}" name="Column14978"/>
    <tableColumn id="14984" xr3:uid="{7D8ED8A6-EE32-4548-812A-09EE9EBB32C7}" name="Column14979"/>
    <tableColumn id="14985" xr3:uid="{5D35A656-827E-4062-8140-A91A82884997}" name="Column14980"/>
    <tableColumn id="14986" xr3:uid="{A3DD7D76-E1D2-4F4D-B335-4F08770DEEEB}" name="Column14981"/>
    <tableColumn id="14987" xr3:uid="{D80AD122-89CA-4489-AE68-54499CC6D939}" name="Column14982"/>
    <tableColumn id="14988" xr3:uid="{EA26F950-6367-44E0-BBE1-669B6DDCCF5E}" name="Column14983"/>
    <tableColumn id="14989" xr3:uid="{405AE106-9AE4-4830-A0F4-8EA4E7103648}" name="Column14984"/>
    <tableColumn id="14990" xr3:uid="{C5E708FE-DDF6-42BC-AD7F-ACE5C508B151}" name="Column14985"/>
    <tableColumn id="14991" xr3:uid="{549955FB-FE73-45ED-8774-A980E0DA70CD}" name="Column14986"/>
    <tableColumn id="14992" xr3:uid="{98165A5F-3BB9-414B-A9C3-B185BFEA15E4}" name="Column14987"/>
    <tableColumn id="14993" xr3:uid="{826E753C-5E3C-48EE-9FD0-3A55FCBCE014}" name="Column14988"/>
    <tableColumn id="14994" xr3:uid="{905CE6B9-955C-469A-B91D-57E0852B6F0D}" name="Column14989"/>
    <tableColumn id="14995" xr3:uid="{75FC4C08-FDB4-4FA6-B904-80B6E15B2AA3}" name="Column14990"/>
    <tableColumn id="14996" xr3:uid="{AD12ECE5-59BB-44ED-97D8-7B410E36775F}" name="Column14991"/>
    <tableColumn id="14997" xr3:uid="{D38F74F3-337D-42D5-B0D8-27D1F598706C}" name="Column14992"/>
    <tableColumn id="14998" xr3:uid="{AE11046C-D99E-45D3-A114-F496817C3585}" name="Column14993"/>
    <tableColumn id="14999" xr3:uid="{0EEA13D2-D255-4C2B-ABE0-6AEF7C832C15}" name="Column14994"/>
    <tableColumn id="15000" xr3:uid="{332CE379-A4E2-4536-BA99-8904DAECD050}" name="Column14995"/>
    <tableColumn id="15001" xr3:uid="{91741292-C0A4-4E90-BEB8-7926334FC0B0}" name="Column14996"/>
    <tableColumn id="15002" xr3:uid="{F11A598F-56BE-4EE2-9A54-CED58AF8594B}" name="Column14997"/>
    <tableColumn id="15003" xr3:uid="{0C6C89FE-1F98-4220-BB72-457171BCEABD}" name="Column14998"/>
    <tableColumn id="15004" xr3:uid="{191AFDAF-5A6C-450B-A186-4DB29361A52E}" name="Column14999"/>
    <tableColumn id="15005" xr3:uid="{0296D17E-8189-472A-A055-E8A8AD48A9AF}" name="Column15000"/>
    <tableColumn id="15006" xr3:uid="{EE21EFB6-98D5-4210-8650-8C9ED1AE4DB9}" name="Column15001"/>
    <tableColumn id="15007" xr3:uid="{A314617E-8E37-45E1-B253-E7311F36DB13}" name="Column15002"/>
    <tableColumn id="15008" xr3:uid="{EDDD5713-5DE9-4A32-BDAF-049C75EF23EA}" name="Column15003"/>
    <tableColumn id="15009" xr3:uid="{59084AA4-88A0-4E98-807E-EBF85D767AD2}" name="Column15004"/>
    <tableColumn id="15010" xr3:uid="{CE6B2554-E775-4C98-BB81-C957CD205E81}" name="Column15005"/>
    <tableColumn id="15011" xr3:uid="{337B1E52-1880-4D39-98BC-45D6DDECBA83}" name="Column15006"/>
    <tableColumn id="15012" xr3:uid="{32A363EC-671B-4AA9-8771-D7C050E63E01}" name="Column15007"/>
    <tableColumn id="15013" xr3:uid="{77E8628F-3072-4B05-9C69-19DE0E342173}" name="Column15008"/>
    <tableColumn id="15014" xr3:uid="{1B82D792-9538-4E8B-8E06-8F39A892E2B4}" name="Column15009"/>
    <tableColumn id="15015" xr3:uid="{FC1B54CE-CC26-414C-87F9-04130B28E900}" name="Column15010"/>
    <tableColumn id="15016" xr3:uid="{237A724A-84E1-4DD3-8E2C-E5D2FF6E4CFF}" name="Column15011"/>
    <tableColumn id="15017" xr3:uid="{451D4780-88F7-47DB-845A-9D0B3817367C}" name="Column15012"/>
    <tableColumn id="15018" xr3:uid="{AE3B6CD8-4163-4612-A026-822741EC393C}" name="Column15013"/>
    <tableColumn id="15019" xr3:uid="{31414F8F-BF6A-4003-AD7F-E6E658BCB197}" name="Column15014"/>
    <tableColumn id="15020" xr3:uid="{8A7DB396-422C-4404-932B-9DEE22418863}" name="Column15015"/>
    <tableColumn id="15021" xr3:uid="{1A152AE1-535D-498B-84F9-1AC9DBDB9B82}" name="Column15016"/>
    <tableColumn id="15022" xr3:uid="{5CC52E22-01FD-47F1-8C39-0BB53DAB3E62}" name="Column15017"/>
    <tableColumn id="15023" xr3:uid="{B77750CF-F4E6-4C92-BCF1-5661CD55A7FF}" name="Column15018"/>
    <tableColumn id="15024" xr3:uid="{4F3FFA12-E3E0-4C97-B67D-0B3E27DC3AF4}" name="Column15019"/>
    <tableColumn id="15025" xr3:uid="{C726E2F1-6FC5-4B32-9478-CC35789A8877}" name="Column15020"/>
    <tableColumn id="15026" xr3:uid="{F3320FE2-83B2-4C47-9929-B0D61BB560F8}" name="Column15021"/>
    <tableColumn id="15027" xr3:uid="{3C4F240D-0B06-4C29-AF58-EF41376B11C4}" name="Column15022"/>
    <tableColumn id="15028" xr3:uid="{663858AC-0C5D-463C-ADD6-B861E502B107}" name="Column15023"/>
    <tableColumn id="15029" xr3:uid="{3D44B6BC-46FE-4C25-AE71-20C523375C5A}" name="Column15024"/>
    <tableColumn id="15030" xr3:uid="{9B38AE02-08F9-4C99-97F1-43C1EBF4FD1B}" name="Column15025"/>
    <tableColumn id="15031" xr3:uid="{F3025E65-52DE-4408-BA9D-24FE2681A547}" name="Column15026"/>
    <tableColumn id="15032" xr3:uid="{EAAC369E-3867-4FC8-A047-6D9267AF714B}" name="Column15027"/>
    <tableColumn id="15033" xr3:uid="{F5D4B05A-E862-403D-AFAA-FEBA9F533A2A}" name="Column15028"/>
    <tableColumn id="15034" xr3:uid="{749E02BF-DF4D-419F-BDF4-E3C362423652}" name="Column15029"/>
    <tableColumn id="15035" xr3:uid="{23718B65-5AD1-4BCC-836A-022FB4994F44}" name="Column15030"/>
    <tableColumn id="15036" xr3:uid="{1B85D2CE-E1EA-4BE1-8480-EBC3AD5A1E7E}" name="Column15031"/>
    <tableColumn id="15037" xr3:uid="{6F558577-087E-476E-8634-C7462B0C7999}" name="Column15032"/>
    <tableColumn id="15038" xr3:uid="{7973CD93-421A-462E-93AD-EA76B5196198}" name="Column15033"/>
    <tableColumn id="15039" xr3:uid="{33E279C7-16CF-47B4-8DDE-305E29EB5EE2}" name="Column15034"/>
    <tableColumn id="15040" xr3:uid="{FD4897E7-66C5-44B6-8DDB-FFC15030B2FC}" name="Column15035"/>
    <tableColumn id="15041" xr3:uid="{ECD607D2-4938-4830-BD57-82A48AF95EEA}" name="Column15036"/>
    <tableColumn id="15042" xr3:uid="{5A046C07-B013-49A7-8C5E-A8565B5D129A}" name="Column15037"/>
    <tableColumn id="15043" xr3:uid="{B6718F40-7FF6-4D8C-824B-39C424FA644B}" name="Column15038"/>
    <tableColumn id="15044" xr3:uid="{9461C2AD-2A7F-496F-8666-5640015F4C4D}" name="Column15039"/>
    <tableColumn id="15045" xr3:uid="{1265D036-AE4E-46D7-A872-16C531E6118F}" name="Column15040"/>
    <tableColumn id="15046" xr3:uid="{EE1C2D3E-8D2B-4B1B-9578-12E02209964D}" name="Column15041"/>
    <tableColumn id="15047" xr3:uid="{3E34E02B-8347-4B3E-9DBA-A91F862A8E0D}" name="Column15042"/>
    <tableColumn id="15048" xr3:uid="{52540F9A-09C2-449B-BC74-DE2DE09032CB}" name="Column15043"/>
    <tableColumn id="15049" xr3:uid="{A56D0AF0-69AA-49A4-97AF-F007F7D75297}" name="Column15044"/>
    <tableColumn id="15050" xr3:uid="{E4EA0C08-BC34-473D-983E-142F2F58218A}" name="Column15045"/>
    <tableColumn id="15051" xr3:uid="{BF2A9842-92ED-430F-8722-EE0FEC09C463}" name="Column15046"/>
    <tableColumn id="15052" xr3:uid="{E3B8509B-526E-4A33-85C9-B8CBAD0AA443}" name="Column15047"/>
    <tableColumn id="15053" xr3:uid="{313784CC-04FB-410A-86E9-277713F7852F}" name="Column15048"/>
    <tableColumn id="15054" xr3:uid="{5C1A4F7B-EEA4-4A66-BB05-0C25DE33D7F9}" name="Column15049"/>
    <tableColumn id="15055" xr3:uid="{59F12838-2EBE-4C32-A546-539BDE3B05AF}" name="Column15050"/>
    <tableColumn id="15056" xr3:uid="{6FB351BA-4702-41D8-906C-740F9DC5AF63}" name="Column15051"/>
    <tableColumn id="15057" xr3:uid="{9DC6ED04-DF0D-4B5E-8698-FAB632F255A4}" name="Column15052"/>
    <tableColumn id="15058" xr3:uid="{7822D15D-6DF3-4B2A-8C98-63C414DAECD2}" name="Column15053"/>
    <tableColumn id="15059" xr3:uid="{19F320D4-3B3D-46A7-9E06-D094422E82AB}" name="Column15054"/>
    <tableColumn id="15060" xr3:uid="{AC94EB66-27D9-428D-AC13-C32974BE6469}" name="Column15055"/>
    <tableColumn id="15061" xr3:uid="{0EFB4754-D6F7-4894-A870-5CD15395B8A8}" name="Column15056"/>
    <tableColumn id="15062" xr3:uid="{0301D377-1425-4D20-92FA-DDE26136B2DB}" name="Column15057"/>
    <tableColumn id="15063" xr3:uid="{D56E6145-C11A-4648-88B6-104125DFEDB7}" name="Column15058"/>
    <tableColumn id="15064" xr3:uid="{922EF362-072E-442A-885F-C36257435C84}" name="Column15059"/>
    <tableColumn id="15065" xr3:uid="{EA061B33-55A0-4BEC-839A-DF68516F3809}" name="Column15060"/>
    <tableColumn id="15066" xr3:uid="{705A65F8-9FAF-4B3B-98B5-01F5A0592B53}" name="Column15061"/>
    <tableColumn id="15067" xr3:uid="{FBE12FE5-4662-45D5-807D-64D4739224DD}" name="Column15062"/>
    <tableColumn id="15068" xr3:uid="{29285AA3-0D0E-48BE-82DB-4CACE183CB05}" name="Column15063"/>
    <tableColumn id="15069" xr3:uid="{9899FDC8-63C2-44F9-B3B3-17D61982C00C}" name="Column15064"/>
    <tableColumn id="15070" xr3:uid="{0513B38C-AB6D-480C-98F4-B0BEA29A2386}" name="Column15065"/>
    <tableColumn id="15071" xr3:uid="{CA9C831F-3F63-442C-8A95-563BF67AC83A}" name="Column15066"/>
    <tableColumn id="15072" xr3:uid="{533D2919-7138-40E3-A8F8-11B8CC5D8B87}" name="Column15067"/>
    <tableColumn id="15073" xr3:uid="{F4ECC708-D108-490C-B54A-ED10DE50C742}" name="Column15068"/>
    <tableColumn id="15074" xr3:uid="{A775ECEB-638D-433C-8AD2-B4D8A5B452C0}" name="Column15069"/>
    <tableColumn id="15075" xr3:uid="{FC4A5F7A-A7D2-4582-AA1E-9BA1AF5E1E76}" name="Column15070"/>
    <tableColumn id="15076" xr3:uid="{A1469102-64DE-4EE3-B7F2-9CC900980D59}" name="Column15071"/>
    <tableColumn id="15077" xr3:uid="{011026EA-A7A3-4975-8DE6-55E1ADEB82FF}" name="Column15072"/>
    <tableColumn id="15078" xr3:uid="{FFA2F996-DFAE-4AA6-858F-50E1AD633EAB}" name="Column15073"/>
    <tableColumn id="15079" xr3:uid="{763FF75C-4DBC-46C1-8E61-22B2E4239602}" name="Column15074"/>
    <tableColumn id="15080" xr3:uid="{111DA4F8-B521-4723-BAB2-B2E8F6B8D64C}" name="Column15075"/>
    <tableColumn id="15081" xr3:uid="{C72C28F8-D654-4894-9D21-6EF970B28D9F}" name="Column15076"/>
    <tableColumn id="15082" xr3:uid="{AEF3FC83-39E3-49E5-B960-1559F1B78557}" name="Column15077"/>
    <tableColumn id="15083" xr3:uid="{865EBCAD-B718-42EC-B2B8-7FAA05306F35}" name="Column15078"/>
    <tableColumn id="15084" xr3:uid="{0C0C8612-9F1C-4D29-A605-96DA3EBAEA5A}" name="Column15079"/>
    <tableColumn id="15085" xr3:uid="{7D0E9310-6637-4CFA-AA42-056F67482E9D}" name="Column15080"/>
    <tableColumn id="15086" xr3:uid="{08135980-87F4-41A4-8B2A-77A5ACF73450}" name="Column15081"/>
    <tableColumn id="15087" xr3:uid="{8C7888B8-EDF4-43F5-A8FD-DC9F779ED290}" name="Column15082"/>
    <tableColumn id="15088" xr3:uid="{6DC66B68-1208-48E4-BE54-B1852723FAD9}" name="Column15083"/>
    <tableColumn id="15089" xr3:uid="{28B41A82-29D0-42D2-8609-98C24ED85D99}" name="Column15084"/>
    <tableColumn id="15090" xr3:uid="{F0F9F252-0B79-40C0-A7FF-3C83DCA3DC87}" name="Column15085"/>
    <tableColumn id="15091" xr3:uid="{74221B54-B877-444D-8114-AD3FF39C2562}" name="Column15086"/>
    <tableColumn id="15092" xr3:uid="{C005BC4B-3E8C-46B9-934A-2EA79130A07D}" name="Column15087"/>
    <tableColumn id="15093" xr3:uid="{6B1E8DD5-F7E1-4A66-9B61-E63708A413EC}" name="Column15088"/>
    <tableColumn id="15094" xr3:uid="{47567DE6-FCE1-4968-883B-7B8C63B8196B}" name="Column15089"/>
    <tableColumn id="15095" xr3:uid="{82DE3299-B24B-429C-A288-C0AD11ABEA9E}" name="Column15090"/>
    <tableColumn id="15096" xr3:uid="{7C672242-FC64-4549-B7E0-27623ADC3FD3}" name="Column15091"/>
    <tableColumn id="15097" xr3:uid="{3C7EE4DC-D078-4EE9-B4FF-1503E04DC943}" name="Column15092"/>
    <tableColumn id="15098" xr3:uid="{15B7C740-0801-4A6E-AD40-754068C5145F}" name="Column15093"/>
    <tableColumn id="15099" xr3:uid="{BDC7116B-09AC-4B92-9364-91C9F88513DD}" name="Column15094"/>
    <tableColumn id="15100" xr3:uid="{91BBE67C-9E2B-430B-A542-031E41EDD9FF}" name="Column15095"/>
    <tableColumn id="15101" xr3:uid="{1A3C2D42-C97F-4DF9-9851-1D5C4B837A05}" name="Column15096"/>
    <tableColumn id="15102" xr3:uid="{321AD0B9-062A-48DF-958F-C8C3463DA89F}" name="Column15097"/>
    <tableColumn id="15103" xr3:uid="{29CF6C89-36E1-4B4C-9E98-B8C1F8C1D83D}" name="Column15098"/>
    <tableColumn id="15104" xr3:uid="{8DBDF9D0-C710-4BFE-9504-9F9D5CEB5685}" name="Column15099"/>
    <tableColumn id="15105" xr3:uid="{958533E6-07B3-4727-8E61-E9E96B587947}" name="Column15100"/>
    <tableColumn id="15106" xr3:uid="{2ED8861F-2D6C-4FEC-AB69-5025D1627C6F}" name="Column15101"/>
    <tableColumn id="15107" xr3:uid="{2407F4BC-48BA-4079-A8A6-492DD4B9C2FC}" name="Column15102"/>
    <tableColumn id="15108" xr3:uid="{0B9204AB-39C8-4B64-A5FC-774EAAC311BB}" name="Column15103"/>
    <tableColumn id="15109" xr3:uid="{31B5B633-16E2-4590-94F8-CA9E59774FBD}" name="Column15104"/>
    <tableColumn id="15110" xr3:uid="{16D9DCA5-0228-4054-B85E-6C05873952D3}" name="Column15105"/>
    <tableColumn id="15111" xr3:uid="{55D18B9E-4E1C-49C6-A4C3-6B75C6470B14}" name="Column15106"/>
    <tableColumn id="15112" xr3:uid="{BE094E1A-90F7-41D4-9A65-5CBAF6220BD3}" name="Column15107"/>
    <tableColumn id="15113" xr3:uid="{4ED0BB57-A839-48F9-BE90-5737ACD65575}" name="Column15108"/>
    <tableColumn id="15114" xr3:uid="{DB06F2FF-14F7-42FD-AE6F-D8E80257C32D}" name="Column15109"/>
    <tableColumn id="15115" xr3:uid="{28085172-AE48-411D-B6C0-05BE6E6CA224}" name="Column15110"/>
    <tableColumn id="15116" xr3:uid="{0663F63A-947A-4E8B-8460-ADDFD22D528B}" name="Column15111"/>
    <tableColumn id="15117" xr3:uid="{D46F6165-C171-4211-9168-8238BB10096B}" name="Column15112"/>
    <tableColumn id="15118" xr3:uid="{AEA80B86-78C9-4CDC-89E8-7E5D12EA1C48}" name="Column15113"/>
    <tableColumn id="15119" xr3:uid="{EB1FEBA5-202E-4C74-A0BD-57F088F1E3CB}" name="Column15114"/>
    <tableColumn id="15120" xr3:uid="{88D12317-66A6-48D3-A52B-0840C085CA2E}" name="Column15115"/>
    <tableColumn id="15121" xr3:uid="{F2EEFAF0-B4C9-4773-A4CE-DDFBF322F2A0}" name="Column15116"/>
    <tableColumn id="15122" xr3:uid="{4932C4D9-9C8F-4C0F-9291-E1F5E7EA4DA5}" name="Column15117"/>
    <tableColumn id="15123" xr3:uid="{21100D35-D51A-4292-A3A7-0AE6303EAEF9}" name="Column15118"/>
    <tableColumn id="15124" xr3:uid="{F66FE23E-A96D-4CF7-A922-6D4135A31B7E}" name="Column15119"/>
    <tableColumn id="15125" xr3:uid="{C7F1A32C-D6F0-4906-87E2-2626B32E29B4}" name="Column15120"/>
    <tableColumn id="15126" xr3:uid="{767B3443-87C2-40D5-BA99-7B5C875CF56D}" name="Column15121"/>
    <tableColumn id="15127" xr3:uid="{06C7D5E4-6E4E-4ED9-BBBD-B2386793BC39}" name="Column15122"/>
    <tableColumn id="15128" xr3:uid="{44454D55-40A5-4856-B94A-56FAB6DDC47A}" name="Column15123"/>
    <tableColumn id="15129" xr3:uid="{DCD5CA38-0702-4BF5-A460-3542900C848B}" name="Column15124"/>
    <tableColumn id="15130" xr3:uid="{5A69CC1A-A7C0-4A97-886D-0B976F9A30D3}" name="Column15125"/>
    <tableColumn id="15131" xr3:uid="{EE1EF240-83BC-4BA4-9433-47E52C4D4E17}" name="Column15126"/>
    <tableColumn id="15132" xr3:uid="{3A092C69-ECC3-4AEA-AF6F-AEF7A4FA3221}" name="Column15127"/>
    <tableColumn id="15133" xr3:uid="{07FC87AE-2613-4FA9-BF44-44888C98BF18}" name="Column15128"/>
    <tableColumn id="15134" xr3:uid="{8D69A51C-4398-421E-B0C0-4F7C824E1F84}" name="Column15129"/>
    <tableColumn id="15135" xr3:uid="{5C585059-C853-42EC-A22B-309A8B6D23D2}" name="Column15130"/>
    <tableColumn id="15136" xr3:uid="{D4DA1ED6-A8FD-4196-B7AE-2E55B503393F}" name="Column15131"/>
    <tableColumn id="15137" xr3:uid="{43428AAB-5C03-4ECA-8598-2EB822821337}" name="Column15132"/>
    <tableColumn id="15138" xr3:uid="{256438E4-2FBE-4AE6-B2DA-6DC3C4BE6102}" name="Column15133"/>
    <tableColumn id="15139" xr3:uid="{23EF6752-A41E-4324-B5B0-56C34BBC5E28}" name="Column15134"/>
    <tableColumn id="15140" xr3:uid="{7C3DEB4C-4CFE-4E36-A153-DF710F2F3C7C}" name="Column15135"/>
    <tableColumn id="15141" xr3:uid="{46D86AF2-8750-49DB-8824-377FB047D0D8}" name="Column15136"/>
    <tableColumn id="15142" xr3:uid="{B7D190AD-6DCB-4733-A66A-5FE7F5B9E634}" name="Column15137"/>
    <tableColumn id="15143" xr3:uid="{1E066D4B-66E4-48E4-8092-364F7DEF1DD2}" name="Column15138"/>
    <tableColumn id="15144" xr3:uid="{CBC47DD1-3AB0-44ED-B4E5-C7000D0B70C8}" name="Column15139"/>
    <tableColumn id="15145" xr3:uid="{8A91DD98-AB0F-494C-911A-A0052EFC6A73}" name="Column15140"/>
    <tableColumn id="15146" xr3:uid="{2FC1D229-617E-4135-9AB8-EBA92E5EFED5}" name="Column15141"/>
    <tableColumn id="15147" xr3:uid="{253DF189-C7EA-4CA6-85B2-B2EF6E61F92F}" name="Column15142"/>
    <tableColumn id="15148" xr3:uid="{07EF9557-06FB-4434-AB58-87111C960F30}" name="Column15143"/>
    <tableColumn id="15149" xr3:uid="{91680051-9886-41BE-A89C-A912FF734328}" name="Column15144"/>
    <tableColumn id="15150" xr3:uid="{E8F69E8C-A0E9-4FAD-8D3E-FE148229B075}" name="Column15145"/>
    <tableColumn id="15151" xr3:uid="{C86E1F42-ACD3-4F52-BFDE-F724880ED6F3}" name="Column15146"/>
    <tableColumn id="15152" xr3:uid="{DCBAE807-7F31-4844-9CE3-E02530AB3735}" name="Column15147"/>
    <tableColumn id="15153" xr3:uid="{9BB53D60-3326-4C9B-908F-D4C64A831CE3}" name="Column15148"/>
    <tableColumn id="15154" xr3:uid="{49EA96B9-C07C-4B60-AAE3-837A033C01D1}" name="Column15149"/>
    <tableColumn id="15155" xr3:uid="{3FB9339B-8EB0-4790-9295-AA7E12D7B13C}" name="Column15150"/>
    <tableColumn id="15156" xr3:uid="{099B77FA-7D76-4AD3-88B4-726355A1DBD7}" name="Column15151"/>
    <tableColumn id="15157" xr3:uid="{3CEC7839-D940-44B4-9122-33B155671787}" name="Column15152"/>
    <tableColumn id="15158" xr3:uid="{D3A0C50D-8F14-45D6-BAF8-CB6521B20528}" name="Column15153"/>
    <tableColumn id="15159" xr3:uid="{A24A9739-1B5A-4B3B-8065-5658FC8E7C36}" name="Column15154"/>
    <tableColumn id="15160" xr3:uid="{BABA928F-8A80-447B-9F81-B451C469F097}" name="Column15155"/>
    <tableColumn id="15161" xr3:uid="{9F50C7D7-13EC-46B4-B52B-B84345C1D831}" name="Column15156"/>
    <tableColumn id="15162" xr3:uid="{3BE13B28-72F1-4034-A853-1414E3DEF90C}" name="Column15157"/>
    <tableColumn id="15163" xr3:uid="{57901AA8-AD56-4294-96EA-4D7EC960E790}" name="Column15158"/>
    <tableColumn id="15164" xr3:uid="{D4FE2D59-0B58-4075-B4F8-ED685F800750}" name="Column15159"/>
    <tableColumn id="15165" xr3:uid="{CE283265-8607-4EEE-81CB-6FE624C504EB}" name="Column15160"/>
    <tableColumn id="15166" xr3:uid="{372EB693-4324-4330-8766-1D23D7B012A1}" name="Column15161"/>
    <tableColumn id="15167" xr3:uid="{0E61CC4A-2050-462C-B1B4-C590E4D2F906}" name="Column15162"/>
    <tableColumn id="15168" xr3:uid="{CF3AF5DF-6C02-4F4D-9A52-37BA698946DA}" name="Column15163"/>
    <tableColumn id="15169" xr3:uid="{53CB6A32-D3F4-4C12-A0E5-53CA413FA8C0}" name="Column15164"/>
    <tableColumn id="15170" xr3:uid="{7844B275-DC79-419A-9ACA-7F70A229FF20}" name="Column15165"/>
    <tableColumn id="15171" xr3:uid="{C6E23319-185E-4241-B31D-C63D5CEEC871}" name="Column15166"/>
    <tableColumn id="15172" xr3:uid="{3E76E81E-3E13-48F3-8C09-273494C1B4C2}" name="Column15167"/>
    <tableColumn id="15173" xr3:uid="{7473F895-B47A-4AE7-A106-ADC989EF41B5}" name="Column15168"/>
    <tableColumn id="15174" xr3:uid="{B13C8271-1AD4-4211-80ED-C2892D1F68DA}" name="Column15169"/>
    <tableColumn id="15175" xr3:uid="{84A46E8E-B5E0-47D3-BC01-3B03B3BC3E6D}" name="Column15170"/>
    <tableColumn id="15176" xr3:uid="{4E0EBC43-F724-42E1-973A-99869122F241}" name="Column15171"/>
    <tableColumn id="15177" xr3:uid="{7DA1DA54-8BAF-457D-885D-D2EEAEC27B4D}" name="Column15172"/>
    <tableColumn id="15178" xr3:uid="{960524B2-D703-4F1E-A5C0-207AF7E02067}" name="Column15173"/>
    <tableColumn id="15179" xr3:uid="{ADFCF8D7-0B26-40A7-8F9F-236FF21F418A}" name="Column15174"/>
    <tableColumn id="15180" xr3:uid="{5A31CD48-2888-4DC7-B3FE-8EDE2634DBD7}" name="Column15175"/>
    <tableColumn id="15181" xr3:uid="{3BDE7D22-27B5-4182-B247-1DFDA89BBBA1}" name="Column15176"/>
    <tableColumn id="15182" xr3:uid="{60A2E28C-1A8E-4A05-A2FF-9AA084C57B71}" name="Column15177"/>
    <tableColumn id="15183" xr3:uid="{8549D9EF-4D58-4114-869D-F1183653D28A}" name="Column15178"/>
    <tableColumn id="15184" xr3:uid="{5E769513-B147-401F-91A3-F402EFCA3DD9}" name="Column15179"/>
    <tableColumn id="15185" xr3:uid="{EBF0D6BD-F7F1-449D-80A1-3F5738B2F3DB}" name="Column15180"/>
    <tableColumn id="15186" xr3:uid="{81DC1E1A-B2FA-4E26-BF68-7D1ADBC53929}" name="Column15181"/>
    <tableColumn id="15187" xr3:uid="{4AD6D1F4-3FBD-4DC5-8C49-61048E92DAC1}" name="Column15182"/>
    <tableColumn id="15188" xr3:uid="{F6580901-9A21-4A75-B397-6A39B7953BBA}" name="Column15183"/>
    <tableColumn id="15189" xr3:uid="{76A777B8-5E40-461C-84D7-49F5E3BD749F}" name="Column15184"/>
    <tableColumn id="15190" xr3:uid="{A5E77DF6-5CE6-4533-86B2-53F2D7A52E07}" name="Column15185"/>
    <tableColumn id="15191" xr3:uid="{96FC2EF3-C067-4C3A-9DA4-2E2DFD60990E}" name="Column15186"/>
    <tableColumn id="15192" xr3:uid="{647E51AB-4ADA-4692-9F6C-00A1460567D5}" name="Column15187"/>
    <tableColumn id="15193" xr3:uid="{191DF2BE-B211-46A6-AE33-CDBCFE71AA2E}" name="Column15188"/>
    <tableColumn id="15194" xr3:uid="{47FE9ED0-9111-4C24-B05F-E77B7BD8B17D}" name="Column15189"/>
    <tableColumn id="15195" xr3:uid="{EEEFEFA7-7191-4D40-96FD-FE5EE74AC3DE}" name="Column15190"/>
    <tableColumn id="15196" xr3:uid="{9B715FB3-B180-4EFB-A6D7-3B1C63777904}" name="Column15191"/>
    <tableColumn id="15197" xr3:uid="{BE2AB04F-31CA-4222-9723-2A009EC329AA}" name="Column15192"/>
    <tableColumn id="15198" xr3:uid="{421E477F-08D7-48BF-A4DF-9B3613CB0D0E}" name="Column15193"/>
    <tableColumn id="15199" xr3:uid="{F2A7DE7B-551F-4F53-B441-79233ACDD25C}" name="Column15194"/>
    <tableColumn id="15200" xr3:uid="{85FE4074-936A-41DF-8B76-2A8B069C917D}" name="Column15195"/>
    <tableColumn id="15201" xr3:uid="{96A4D48D-6AAF-4022-8B65-6FB0BD3E8391}" name="Column15196"/>
    <tableColumn id="15202" xr3:uid="{C1A4F448-B156-450C-AB45-EAAC280C65A1}" name="Column15197"/>
    <tableColumn id="15203" xr3:uid="{E55E11D9-78EB-41E6-9610-1A5355E564D4}" name="Column15198"/>
    <tableColumn id="15204" xr3:uid="{A2743674-0C0E-4801-BDD2-05E0E49C4B27}" name="Column15199"/>
    <tableColumn id="15205" xr3:uid="{2FA13F11-FC7C-483C-B8A8-C0263BCA24A8}" name="Column15200"/>
    <tableColumn id="15206" xr3:uid="{4666625F-F81E-427A-BA2A-F2B60713EAFB}" name="Column15201"/>
    <tableColumn id="15207" xr3:uid="{E29F7DFA-530E-420F-8CA8-7F378BD3FAB5}" name="Column15202"/>
    <tableColumn id="15208" xr3:uid="{D6B3CB26-C63F-4F46-81F9-D55B82732A13}" name="Column15203"/>
    <tableColumn id="15209" xr3:uid="{C426EE5F-BCEB-4A4D-A289-1D3D387C2D99}" name="Column15204"/>
    <tableColumn id="15210" xr3:uid="{4D76B7EA-BFB6-4EFD-8625-70D09AE31A58}" name="Column15205"/>
    <tableColumn id="15211" xr3:uid="{D1D92743-55A9-44BC-9FF0-897ACDAB09C1}" name="Column15206"/>
    <tableColumn id="15212" xr3:uid="{838D99B6-EBA2-4561-ACDC-1C8483A28F77}" name="Column15207"/>
    <tableColumn id="15213" xr3:uid="{DF124CBE-88C2-4C2B-B8AD-ECDE8E5DCE5D}" name="Column15208"/>
    <tableColumn id="15214" xr3:uid="{1A1B4437-8D38-419F-89AA-1F4F9216F6D9}" name="Column15209"/>
    <tableColumn id="15215" xr3:uid="{88199355-CFB4-4B7F-8ACB-8F25867492E1}" name="Column15210"/>
    <tableColumn id="15216" xr3:uid="{DFC2548C-61F2-4D57-867F-A52B70B253EE}" name="Column15211"/>
    <tableColumn id="15217" xr3:uid="{5FB27164-4B23-4692-9493-4B6865275F3D}" name="Column15212"/>
    <tableColumn id="15218" xr3:uid="{C4E09014-C0B6-44EE-9F65-16D49FB1903F}" name="Column15213"/>
    <tableColumn id="15219" xr3:uid="{6CE49453-EC9D-482B-A21B-FB3E63B1C075}" name="Column15214"/>
    <tableColumn id="15220" xr3:uid="{CC6766BA-E087-4333-B0D9-C740501569FD}" name="Column15215"/>
    <tableColumn id="15221" xr3:uid="{96D45834-86A7-4FD0-9B31-376FDA451545}" name="Column15216"/>
    <tableColumn id="15222" xr3:uid="{A262571A-A39B-439F-B930-E7BFB0235562}" name="Column15217"/>
    <tableColumn id="15223" xr3:uid="{255F960E-08A0-4D7C-BBAE-F8BE1D0204C9}" name="Column15218"/>
    <tableColumn id="15224" xr3:uid="{ECF21ACC-C2D0-4CD3-9C3D-628DE75D5F25}" name="Column15219"/>
    <tableColumn id="15225" xr3:uid="{CB7DB49A-EAB3-452F-A97C-2F83E0A99526}" name="Column15220"/>
    <tableColumn id="15226" xr3:uid="{4561D4E1-3C18-4160-85A0-54B45F689D21}" name="Column15221"/>
    <tableColumn id="15227" xr3:uid="{540C9AE5-16C5-4E68-A14B-D5823263D3B8}" name="Column15222"/>
    <tableColumn id="15228" xr3:uid="{E8142837-F9E6-43CD-A422-17E80B2EBA55}" name="Column15223"/>
    <tableColumn id="15229" xr3:uid="{5A52EB50-E8CF-4B97-B046-293C176C268F}" name="Column15224"/>
    <tableColumn id="15230" xr3:uid="{BABF13D6-2DE8-480B-B2E1-EC33A1AFDFB7}" name="Column15225"/>
    <tableColumn id="15231" xr3:uid="{30FE7B06-541F-4CA3-846C-8BB90A0FA17B}" name="Column15226"/>
    <tableColumn id="15232" xr3:uid="{28437AB7-72B7-4E16-B376-058277234E67}" name="Column15227"/>
    <tableColumn id="15233" xr3:uid="{761E88EF-B1B2-4467-99CC-65541611BD22}" name="Column15228"/>
    <tableColumn id="15234" xr3:uid="{E9BF5258-3839-4573-BF3B-9F7DF7F3C8C7}" name="Column15229"/>
    <tableColumn id="15235" xr3:uid="{AF03E089-96A2-4268-B421-0B68C3B9DBC5}" name="Column15230"/>
    <tableColumn id="15236" xr3:uid="{549A002A-F4B3-49EE-9E59-A7A857212AA0}" name="Column15231"/>
    <tableColumn id="15237" xr3:uid="{F69E2509-D161-4ABC-821E-167F7C0121F3}" name="Column15232"/>
    <tableColumn id="15238" xr3:uid="{052F04A0-E172-42A4-BEAF-716D2666F169}" name="Column15233"/>
    <tableColumn id="15239" xr3:uid="{8CBF535C-551D-476F-8FDC-64E9DA68A45E}" name="Column15234"/>
    <tableColumn id="15240" xr3:uid="{ED365FFF-1F06-456B-865F-587213D4F45E}" name="Column15235"/>
    <tableColumn id="15241" xr3:uid="{F9E94A7C-F0AA-425B-9DBE-1BE14DF36238}" name="Column15236"/>
    <tableColumn id="15242" xr3:uid="{7B4588A1-98AC-4EDB-BFFD-59D829BBD4D6}" name="Column15237"/>
    <tableColumn id="15243" xr3:uid="{F0653893-83EC-448D-ADDE-01CF6FBC6FB3}" name="Column15238"/>
    <tableColumn id="15244" xr3:uid="{3A18FCA0-D58D-422A-A56A-3F2A82EE7E3F}" name="Column15239"/>
    <tableColumn id="15245" xr3:uid="{53AC4130-A01C-48DB-B221-CCE7823649BB}" name="Column15240"/>
    <tableColumn id="15246" xr3:uid="{C2246CD5-1097-48AC-BAC1-0113DD9EC766}" name="Column15241"/>
    <tableColumn id="15247" xr3:uid="{9E50AF34-6693-46EB-A52D-B49287D7F648}" name="Column15242"/>
    <tableColumn id="15248" xr3:uid="{449D05CF-B222-4411-8AB1-ECDDA214E2DF}" name="Column15243"/>
    <tableColumn id="15249" xr3:uid="{33047B9E-9F7B-4E33-9085-0C5B542701AE}" name="Column15244"/>
    <tableColumn id="15250" xr3:uid="{2BC4ACF5-B58B-46A1-9ABB-56127F552A7A}" name="Column15245"/>
    <tableColumn id="15251" xr3:uid="{7A71DD44-4F65-41A2-A65C-EE493684D5C5}" name="Column15246"/>
    <tableColumn id="15252" xr3:uid="{100991B0-A9D4-4BB0-B8E4-C8A79259484B}" name="Column15247"/>
    <tableColumn id="15253" xr3:uid="{16207160-B504-4391-998C-DD8E985F3524}" name="Column15248"/>
    <tableColumn id="15254" xr3:uid="{DEF30DC3-D856-4EC7-9DF8-56017B542368}" name="Column15249"/>
    <tableColumn id="15255" xr3:uid="{91B77104-D3FE-4AFF-B105-0C75791C01C0}" name="Column15250"/>
    <tableColumn id="15256" xr3:uid="{832DE466-9FC7-4C1A-90B8-A25D838153E6}" name="Column15251"/>
    <tableColumn id="15257" xr3:uid="{906FAFA5-1163-4A4B-A8AE-2AAF6DB9C249}" name="Column15252"/>
    <tableColumn id="15258" xr3:uid="{A3B6D3F1-A07C-4AB5-91D2-3E96386007C5}" name="Column15253"/>
    <tableColumn id="15259" xr3:uid="{17D35DD2-E7C6-4D65-AA28-56704932C517}" name="Column15254"/>
    <tableColumn id="15260" xr3:uid="{28AE5038-9164-423E-825A-B6068CFC54E0}" name="Column15255"/>
    <tableColumn id="15261" xr3:uid="{9362E5DD-E867-4E3D-B43D-6AA7BDBD9B3E}" name="Column15256"/>
    <tableColumn id="15262" xr3:uid="{3BAC5980-51BD-47A5-BADE-1555020D128E}" name="Column15257"/>
    <tableColumn id="15263" xr3:uid="{4D95C63E-C5A9-4C06-996C-1E0DF3D6F870}" name="Column15258"/>
    <tableColumn id="15264" xr3:uid="{0AC6A290-4C3D-4989-9FA3-C68870D4F2BE}" name="Column15259"/>
    <tableColumn id="15265" xr3:uid="{A53EC30F-58CC-44E1-A121-A6AE7FC7CEB9}" name="Column15260"/>
    <tableColumn id="15266" xr3:uid="{7F923E7B-4528-4986-9790-89AE8BF03AF2}" name="Column15261"/>
    <tableColumn id="15267" xr3:uid="{873A9621-0EB8-4035-A3FE-1B040A55D40F}" name="Column15262"/>
    <tableColumn id="15268" xr3:uid="{9690D8FB-D0EB-4481-A0FD-98E796565289}" name="Column15263"/>
    <tableColumn id="15269" xr3:uid="{089A272A-3B7D-40AE-8373-9E6988BD54CE}" name="Column15264"/>
    <tableColumn id="15270" xr3:uid="{F8E65053-B512-47BE-B946-AC820149B8BF}" name="Column15265"/>
    <tableColumn id="15271" xr3:uid="{73B8CC01-38F0-4B77-BA7F-A4801121BEB3}" name="Column15266"/>
    <tableColumn id="15272" xr3:uid="{B838DE84-49D4-48D5-AAD4-0ED740E79EEB}" name="Column15267"/>
    <tableColumn id="15273" xr3:uid="{87DFB5C8-2E18-490E-B2FC-525FC592DE23}" name="Column15268"/>
    <tableColumn id="15274" xr3:uid="{08D85BB4-289B-4867-8538-63ED28696418}" name="Column15269"/>
    <tableColumn id="15275" xr3:uid="{23448441-F617-4F75-A712-B663389D5243}" name="Column15270"/>
    <tableColumn id="15276" xr3:uid="{13F854D9-7DD1-47CF-BB99-0B060610BC40}" name="Column15271"/>
    <tableColumn id="15277" xr3:uid="{F702C864-C34F-4B08-B2EB-D71D7E773EDC}" name="Column15272"/>
    <tableColumn id="15278" xr3:uid="{54E0CB35-BA76-44B1-BB5D-8E7FDF71F311}" name="Column15273"/>
    <tableColumn id="15279" xr3:uid="{91A72CFA-7676-4F88-A305-F18554EE9825}" name="Column15274"/>
    <tableColumn id="15280" xr3:uid="{1AAC2C28-3541-4604-BC31-192CAB716EEF}" name="Column15275"/>
    <tableColumn id="15281" xr3:uid="{84425ACB-ED7B-495E-A0F5-E9398B9E015D}" name="Column15276"/>
    <tableColumn id="15282" xr3:uid="{2BEBB2EE-8DFC-4341-BCA6-DE5D315A9F89}" name="Column15277"/>
    <tableColumn id="15283" xr3:uid="{F72D1708-7F80-4AD1-844C-20767BD6D9EE}" name="Column15278"/>
    <tableColumn id="15284" xr3:uid="{BA584B36-374F-450E-ACAC-E20E973404D3}" name="Column15279"/>
    <tableColumn id="15285" xr3:uid="{1C7AEA85-9E53-49EB-8EA9-C4030D92E236}" name="Column15280"/>
    <tableColumn id="15286" xr3:uid="{55D60AC6-BA1A-49B0-AB1B-F6B804F9C097}" name="Column15281"/>
    <tableColumn id="15287" xr3:uid="{910C2D8C-EF55-431F-A36A-FD7B9E74347D}" name="Column15282"/>
    <tableColumn id="15288" xr3:uid="{E9DF3D99-C1CF-40BE-AEEE-4C643FD74F1D}" name="Column15283"/>
    <tableColumn id="15289" xr3:uid="{EC41518F-680A-4A6E-ACD3-28715CCB7469}" name="Column15284"/>
    <tableColumn id="15290" xr3:uid="{6E04A5D2-EF7A-4019-AFD0-0FD928E688CC}" name="Column15285"/>
    <tableColumn id="15291" xr3:uid="{963ED9D0-52D9-4A0F-83B9-C78D2720D145}" name="Column15286"/>
    <tableColumn id="15292" xr3:uid="{7EA9321E-07D9-454D-8920-989FF7971C42}" name="Column15287"/>
    <tableColumn id="15293" xr3:uid="{EE2CB0FE-6E5E-4A95-8FF6-E2AE26AC467F}" name="Column15288"/>
    <tableColumn id="15294" xr3:uid="{D3E1F2BF-63A1-403F-AE47-DED62544B548}" name="Column15289"/>
    <tableColumn id="15295" xr3:uid="{C4A7773F-FA4E-4D86-8F9B-4E9899923CC1}" name="Column15290"/>
    <tableColumn id="15296" xr3:uid="{33645697-E4BE-469D-82E0-F2CDC84DE3BF}" name="Column15291"/>
    <tableColumn id="15297" xr3:uid="{EBC0E2CE-1A39-4B3C-B948-6CD6E8F9B0DC}" name="Column15292"/>
    <tableColumn id="15298" xr3:uid="{95977FD6-BAF5-4750-8BEE-40C8A2645F96}" name="Column15293"/>
    <tableColumn id="15299" xr3:uid="{635E2788-4FA4-4321-881F-9A754AA127B0}" name="Column15294"/>
    <tableColumn id="15300" xr3:uid="{D2B5F901-47B2-4400-91B8-C7EA661CBD4B}" name="Column15295"/>
    <tableColumn id="15301" xr3:uid="{6AACABF7-4697-406E-94BD-4A7D71B6DD5E}" name="Column15296"/>
    <tableColumn id="15302" xr3:uid="{3C137F56-869E-4BD8-85BD-5BA390BD0B1F}" name="Column15297"/>
    <tableColumn id="15303" xr3:uid="{F624D542-7029-4B68-8B6C-F2EDE416AF77}" name="Column15298"/>
    <tableColumn id="15304" xr3:uid="{08BA6055-8863-43BD-B623-15F981AA286F}" name="Column15299"/>
    <tableColumn id="15305" xr3:uid="{929C8EF6-9C01-4E85-9DA8-CDB4C020ACA9}" name="Column15300"/>
    <tableColumn id="15306" xr3:uid="{384018B3-AFF2-43B7-B8BD-2F2F96F61AA7}" name="Column15301"/>
    <tableColumn id="15307" xr3:uid="{62BCEBAA-DE24-402F-99C4-FDA45C9EB9A3}" name="Column15302"/>
    <tableColumn id="15308" xr3:uid="{8332B068-3A21-4F68-BC40-F71646686AC0}" name="Column15303"/>
    <tableColumn id="15309" xr3:uid="{930C68DE-B012-4420-BD67-94255CFE496A}" name="Column15304"/>
    <tableColumn id="15310" xr3:uid="{594BAD61-90AA-486B-8947-C013DF4A27C3}" name="Column15305"/>
    <tableColumn id="15311" xr3:uid="{BF1785A1-D91F-4F13-89E9-8E6FF46CB8AA}" name="Column15306"/>
    <tableColumn id="15312" xr3:uid="{5B854475-483B-4869-96F0-97ABCEEB156B}" name="Column15307"/>
    <tableColumn id="15313" xr3:uid="{708FA441-E030-4998-AB85-EE2B19E564D8}" name="Column15308"/>
    <tableColumn id="15314" xr3:uid="{D0975753-AD1A-4E07-8042-3E4EA0CC5CE5}" name="Column15309"/>
    <tableColumn id="15315" xr3:uid="{D5677D07-D504-4116-91F1-2302D6F89BA4}" name="Column15310"/>
    <tableColumn id="15316" xr3:uid="{A550E20A-E1FB-45A8-8DCA-CD04BACAB16F}" name="Column15311"/>
    <tableColumn id="15317" xr3:uid="{751DEAF7-C56C-44C4-971A-06A2EC4C922F}" name="Column15312"/>
    <tableColumn id="15318" xr3:uid="{6A19041B-8236-4FA1-B4B5-39BC4A5D3F3A}" name="Column15313"/>
    <tableColumn id="15319" xr3:uid="{6DC7C819-0EF9-4A2C-8741-C962B62887AA}" name="Column15314"/>
    <tableColumn id="15320" xr3:uid="{82AA5E39-40FC-436D-8DBF-1DE35DB1738F}" name="Column15315"/>
    <tableColumn id="15321" xr3:uid="{F5FF1C31-8E43-4BC0-939D-1AFA08D21BC9}" name="Column15316"/>
    <tableColumn id="15322" xr3:uid="{B82DE2DE-3863-4B5B-BA54-83CC5FD64146}" name="Column15317"/>
    <tableColumn id="15323" xr3:uid="{EF497ABB-7903-4C4A-8BD1-E2EB07E15C53}" name="Column15318"/>
    <tableColumn id="15324" xr3:uid="{B913524A-1324-40AE-85B9-C19566B2297F}" name="Column15319"/>
    <tableColumn id="15325" xr3:uid="{3D8FA9B6-6F99-4C19-B6C5-C6584161F246}" name="Column15320"/>
    <tableColumn id="15326" xr3:uid="{A37D1FE1-E305-4CFB-87AD-7FD0C61DD9EE}" name="Column15321"/>
    <tableColumn id="15327" xr3:uid="{8D04BFCE-5595-4991-B36A-229222F8EAA7}" name="Column15322"/>
    <tableColumn id="15328" xr3:uid="{4A77A78F-9E51-4A9F-81A2-F78648CD1D2C}" name="Column15323"/>
    <tableColumn id="15329" xr3:uid="{F352BFC3-376C-4418-9EFB-2D1E79FCBC5B}" name="Column15324"/>
    <tableColumn id="15330" xr3:uid="{74253043-1873-4E4C-A501-7EE7EAC31F67}" name="Column15325"/>
    <tableColumn id="15331" xr3:uid="{9B7F76D8-A652-482D-8291-1C80EEA5591B}" name="Column15326"/>
    <tableColumn id="15332" xr3:uid="{7657CE98-A28F-4C0D-A924-4044CB1B4804}" name="Column15327"/>
    <tableColumn id="15333" xr3:uid="{E31BD3DE-2060-455E-B373-1BFCA7A05C8E}" name="Column15328"/>
    <tableColumn id="15334" xr3:uid="{BB0820D1-996E-4216-99F2-C29E91C7E9BF}" name="Column15329"/>
    <tableColumn id="15335" xr3:uid="{F7662AD0-CDE6-4D2C-98FA-8817FEE602B6}" name="Column15330"/>
    <tableColumn id="15336" xr3:uid="{5362D73E-A557-4B07-A698-7C7C1B6CAD4F}" name="Column15331"/>
    <tableColumn id="15337" xr3:uid="{8BBA2656-7769-42BA-9959-F5D3C24FAAB2}" name="Column15332"/>
    <tableColumn id="15338" xr3:uid="{91C6DA17-63CB-45E7-9AAB-F453F04C7997}" name="Column15333"/>
    <tableColumn id="15339" xr3:uid="{0F844D16-F63C-48BE-A36B-079B98DECE83}" name="Column15334"/>
    <tableColumn id="15340" xr3:uid="{AC4A2890-2341-4335-A308-BF2136146484}" name="Column15335"/>
    <tableColumn id="15341" xr3:uid="{77922674-7209-4979-9453-728175289EE6}" name="Column15336"/>
    <tableColumn id="15342" xr3:uid="{106707D6-E781-4CCD-BF66-0DD5FAC39EEB}" name="Column15337"/>
    <tableColumn id="15343" xr3:uid="{1A83A9FA-128A-4C42-8DF9-0DF9992AB661}" name="Column15338"/>
    <tableColumn id="15344" xr3:uid="{A27336EB-AACE-4E57-B9B1-D524D53DB67F}" name="Column15339"/>
    <tableColumn id="15345" xr3:uid="{3B07A7DD-65B5-43D5-863A-B568E1D87F9B}" name="Column15340"/>
    <tableColumn id="15346" xr3:uid="{23F5169A-3DA1-4BF6-97F7-9EFBFC6A8DD0}" name="Column15341"/>
    <tableColumn id="15347" xr3:uid="{ECD7379F-2210-461C-BFC0-285385DB1D3F}" name="Column15342"/>
    <tableColumn id="15348" xr3:uid="{BCD068CF-F067-4506-8F71-7FB75311F919}" name="Column15343"/>
    <tableColumn id="15349" xr3:uid="{9097DAD7-C111-4BBE-A59F-1A8C829860F7}" name="Column15344"/>
    <tableColumn id="15350" xr3:uid="{EB45832C-DA48-47B9-94DD-EA5AC56A714A}" name="Column15345"/>
    <tableColumn id="15351" xr3:uid="{213CCCCF-F432-47B7-807F-6E34AC2E3F72}" name="Column15346"/>
    <tableColumn id="15352" xr3:uid="{B3D46C94-44E4-4D3F-BABB-D23CCB3EF5E4}" name="Column15347"/>
    <tableColumn id="15353" xr3:uid="{5AC4C3DD-1DA9-4C0D-9094-8EAA87E39330}" name="Column15348"/>
    <tableColumn id="15354" xr3:uid="{1605949C-3C30-44C3-A994-53CE8A6C9842}" name="Column15349"/>
    <tableColumn id="15355" xr3:uid="{242C5940-8C76-4F0E-B77D-C811D53AA36F}" name="Column15350"/>
    <tableColumn id="15356" xr3:uid="{41A45191-C872-4597-9823-EE5218F52D35}" name="Column15351"/>
    <tableColumn id="15357" xr3:uid="{6DB7E8F1-A453-4355-BE72-E7FFD6DA74FD}" name="Column15352"/>
    <tableColumn id="15358" xr3:uid="{836E359B-85AD-4B6C-AD21-87248463C318}" name="Column15353"/>
    <tableColumn id="15359" xr3:uid="{AB14C305-3732-48E1-BCAC-D0F9F322AC8E}" name="Column15354"/>
    <tableColumn id="15360" xr3:uid="{49FF90F2-AAF3-425D-B3FB-8FF6AF332B54}" name="Column15355"/>
    <tableColumn id="15361" xr3:uid="{F0B7B99F-D890-48C2-8E8E-51AFBFFA4CD9}" name="Column15356"/>
    <tableColumn id="15362" xr3:uid="{750DCA86-CFEE-42B5-A461-913EDC916B11}" name="Column15357"/>
    <tableColumn id="15363" xr3:uid="{939A3F9A-1E0C-4B01-8A46-79FAFD9BE0E6}" name="Column15358"/>
    <tableColumn id="15364" xr3:uid="{4B175590-4977-403E-A5D1-ABC3C101B198}" name="Column15359"/>
    <tableColumn id="15365" xr3:uid="{85B781F9-92E7-494F-867C-459CD1ABE74B}" name="Column15360"/>
    <tableColumn id="15366" xr3:uid="{C8C37453-9602-4EC5-8B16-E4D8E9D1C6ED}" name="Column15361"/>
    <tableColumn id="15367" xr3:uid="{C7D97F60-D749-4A36-AD6A-80FFC7835EF0}" name="Column15362"/>
    <tableColumn id="15368" xr3:uid="{B96A622B-8648-422D-BB7B-8883437A57AA}" name="Column15363"/>
    <tableColumn id="15369" xr3:uid="{76935E61-1537-4A01-9927-61EC398B812B}" name="Column15364"/>
    <tableColumn id="15370" xr3:uid="{CC094620-C9A8-40A8-94BF-E0C651917D71}" name="Column15365"/>
    <tableColumn id="15371" xr3:uid="{854D438A-1225-4B69-AD61-CB7EE9B0A16C}" name="Column15366"/>
    <tableColumn id="15372" xr3:uid="{AC27635F-04B2-46EF-8852-7C08A37D4C8E}" name="Column15367"/>
    <tableColumn id="15373" xr3:uid="{22A833B0-AA90-4F1F-A632-6474C07F0BA0}" name="Column15368"/>
    <tableColumn id="15374" xr3:uid="{B263AE08-071D-472F-9723-F7D34AB94CB6}" name="Column15369"/>
    <tableColumn id="15375" xr3:uid="{E28E2739-FB5C-4A53-9A4C-206A316C5640}" name="Column15370"/>
    <tableColumn id="15376" xr3:uid="{009417C4-C889-4E49-A1C3-095198861844}" name="Column15371"/>
    <tableColumn id="15377" xr3:uid="{F8BBC128-05D8-4E30-9B6D-983EDCC126E7}" name="Column15372"/>
    <tableColumn id="15378" xr3:uid="{EB93C60B-39C8-4CFC-AD13-F704AA59CE25}" name="Column15373"/>
    <tableColumn id="15379" xr3:uid="{EA1B86C4-9B08-4803-8C83-F97AD7831EEC}" name="Column15374"/>
    <tableColumn id="15380" xr3:uid="{68562E67-B666-4D44-8475-1C53178BB1DF}" name="Column15375"/>
    <tableColumn id="15381" xr3:uid="{7162B2BF-3946-4599-B115-E46406EC6B6B}" name="Column15376"/>
    <tableColumn id="15382" xr3:uid="{5C179D18-DC0D-4E65-A23F-93062AC5E726}" name="Column15377"/>
    <tableColumn id="15383" xr3:uid="{B481A51E-41D3-4DA0-A491-6A8EFA683E73}" name="Column15378"/>
    <tableColumn id="15384" xr3:uid="{DA8246B8-F72E-42EE-81EF-E2124C34935A}" name="Column15379"/>
    <tableColumn id="15385" xr3:uid="{B7030FAA-0BF8-47F7-B81A-9339D7755702}" name="Column15380"/>
    <tableColumn id="15386" xr3:uid="{4AC31C32-4774-41BD-A4B6-68180ECE3367}" name="Column15381"/>
    <tableColumn id="15387" xr3:uid="{54AC6DC6-E453-4DD6-BF31-5586067F479F}" name="Column15382"/>
    <tableColumn id="15388" xr3:uid="{FC2192DF-C5DC-4196-B14F-E5625611A601}" name="Column15383"/>
    <tableColumn id="15389" xr3:uid="{6615C9F5-27AD-477A-9B6A-1E0818C3C6D3}" name="Column15384"/>
    <tableColumn id="15390" xr3:uid="{7AF6AF3E-B98E-4ADD-B59F-161500E2012E}" name="Column15385"/>
    <tableColumn id="15391" xr3:uid="{EC2D73B8-088C-4F75-92E4-7D2CFA0F3119}" name="Column15386"/>
    <tableColumn id="15392" xr3:uid="{CABF6E83-9D6D-40F8-BDBC-2A14E4D0CED4}" name="Column15387"/>
    <tableColumn id="15393" xr3:uid="{4E5CB13E-0A96-4739-B4DB-85D7DF195BF8}" name="Column15388"/>
    <tableColumn id="15394" xr3:uid="{B52F863D-7201-433E-873E-73E0EDB53BCE}" name="Column15389"/>
    <tableColumn id="15395" xr3:uid="{623E805D-9B93-43F1-9A81-1F8161330729}" name="Column15390"/>
    <tableColumn id="15396" xr3:uid="{4DE0F0A9-F60E-4AC2-A915-22A3D7821303}" name="Column15391"/>
    <tableColumn id="15397" xr3:uid="{23E17E5A-44DF-427E-971D-1F3FE320019C}" name="Column15392"/>
    <tableColumn id="15398" xr3:uid="{BD0C9BF6-2170-4F7F-94B8-B36AEE05728B}" name="Column15393"/>
    <tableColumn id="15399" xr3:uid="{350DEECE-59BF-40BE-8D51-DE795D896D19}" name="Column15394"/>
    <tableColumn id="15400" xr3:uid="{FD45D5BE-5F19-4DFC-8D0D-9406EF6050F3}" name="Column15395"/>
    <tableColumn id="15401" xr3:uid="{FD3709B0-B6B3-4F79-9182-2D3B3E065C02}" name="Column15396"/>
    <tableColumn id="15402" xr3:uid="{963364D8-8BE7-41CE-B466-E79784B396F3}" name="Column15397"/>
    <tableColumn id="15403" xr3:uid="{BFCE9C2A-2B68-4706-8679-DE77FDCB9CC1}" name="Column15398"/>
    <tableColumn id="15404" xr3:uid="{528B8EC1-35CF-44AB-BC1B-A26D411B72A7}" name="Column15399"/>
    <tableColumn id="15405" xr3:uid="{05F385D7-0FC0-4301-9CAD-346897243924}" name="Column15400"/>
    <tableColumn id="15406" xr3:uid="{0E3485F4-FEDD-4B6B-BCB9-101238A38E85}" name="Column15401"/>
    <tableColumn id="15407" xr3:uid="{FBD8AB7A-A85B-4A39-BAA1-A48A17E356B1}" name="Column15402"/>
    <tableColumn id="15408" xr3:uid="{CEDD06A7-E8C7-4709-955D-9437AA2A4859}" name="Column15403"/>
    <tableColumn id="15409" xr3:uid="{783C1B60-C657-4C89-9090-EE8D329B99DF}" name="Column15404"/>
    <tableColumn id="15410" xr3:uid="{B95620B0-9E46-4C43-AAD4-ED18D3D382A2}" name="Column15405"/>
    <tableColumn id="15411" xr3:uid="{A20371A1-1F92-452D-9936-C903DA33D15A}" name="Column15406"/>
    <tableColumn id="15412" xr3:uid="{77C461FD-41A8-4896-83F6-AA4288E16792}" name="Column15407"/>
    <tableColumn id="15413" xr3:uid="{5ABCB197-E645-4F37-93B3-916BD6DA7F17}" name="Column15408"/>
    <tableColumn id="15414" xr3:uid="{C9991F10-C0F1-45CC-816B-A9EB98557222}" name="Column15409"/>
    <tableColumn id="15415" xr3:uid="{9B7A2720-A47F-4270-BADD-74171775D595}" name="Column15410"/>
    <tableColumn id="15416" xr3:uid="{2108EF1E-5106-41F9-9EB5-DC72EDFF0719}" name="Column15411"/>
    <tableColumn id="15417" xr3:uid="{6C391347-A12F-4802-BFBB-CCE581B917A6}" name="Column15412"/>
    <tableColumn id="15418" xr3:uid="{E21A3753-8E30-41BC-B831-8887A41E43BC}" name="Column15413"/>
    <tableColumn id="15419" xr3:uid="{67206F65-A10D-4ACE-887C-20DD18F9B574}" name="Column15414"/>
    <tableColumn id="15420" xr3:uid="{BF4403D6-8275-41B1-8465-0DA030C3AD65}" name="Column15415"/>
    <tableColumn id="15421" xr3:uid="{13767552-53AF-4DE3-AE13-777B00380C49}" name="Column15416"/>
    <tableColumn id="15422" xr3:uid="{F6152783-EEBE-4ECC-8E6B-C559D979669D}" name="Column15417"/>
    <tableColumn id="15423" xr3:uid="{65EC10D3-684A-443E-9695-ABB43640F516}" name="Column15418"/>
    <tableColumn id="15424" xr3:uid="{C8FA5FE2-F690-44F9-90F0-74A9365EDE8C}" name="Column15419"/>
    <tableColumn id="15425" xr3:uid="{3F970EB8-1A8F-4C65-B3E8-EF11BA223325}" name="Column15420"/>
    <tableColumn id="15426" xr3:uid="{F42E88F5-0AE6-4BBB-ACC8-9AA71762B503}" name="Column15421"/>
    <tableColumn id="15427" xr3:uid="{6D5089C4-87BF-41A8-9FE2-DA07D3048F48}" name="Column15422"/>
    <tableColumn id="15428" xr3:uid="{04C5616C-169B-44F0-BCF6-D437CDE6D641}" name="Column15423"/>
    <tableColumn id="15429" xr3:uid="{ABCC4572-513F-4BAA-BA05-F47B1726B754}" name="Column15424"/>
    <tableColumn id="15430" xr3:uid="{7645140F-C579-4654-927A-CEC3AD5FCED8}" name="Column15425"/>
    <tableColumn id="15431" xr3:uid="{3C614A11-18FB-4718-90DE-0EBEC6B3A5E7}" name="Column15426"/>
    <tableColumn id="15432" xr3:uid="{DAAB3F5A-D753-4331-96C5-94778BBBA9BD}" name="Column15427"/>
    <tableColumn id="15433" xr3:uid="{DDA0913C-2CA4-4044-8073-620478CC3579}" name="Column15428"/>
    <tableColumn id="15434" xr3:uid="{AF2E1451-D812-46C0-94A6-2A512C7C892E}" name="Column15429"/>
    <tableColumn id="15435" xr3:uid="{ED59C408-A508-4A84-AD5D-30C7A4BFFBBF}" name="Column15430"/>
    <tableColumn id="15436" xr3:uid="{26D8D2FF-65AE-4E49-A5AC-09D445C11DA1}" name="Column15431"/>
    <tableColumn id="15437" xr3:uid="{FB955FCC-6D9B-4593-B159-CC5DE91946BC}" name="Column15432"/>
    <tableColumn id="15438" xr3:uid="{E4F07DB9-B86B-4774-BE1D-A5EB1FFDD48A}" name="Column15433"/>
    <tableColumn id="15439" xr3:uid="{85E11504-010A-4F81-A3DA-F4F388E54CB2}" name="Column15434"/>
    <tableColumn id="15440" xr3:uid="{E2FF3F3D-6D79-4493-BD8B-BAA34282481D}" name="Column15435"/>
    <tableColumn id="15441" xr3:uid="{5BF0C5A0-A9CB-48C8-94B4-E0A7CE67B863}" name="Column15436"/>
    <tableColumn id="15442" xr3:uid="{1944B05F-67C2-4A67-AE25-B4B3D789D638}" name="Column15437"/>
    <tableColumn id="15443" xr3:uid="{8F36948D-7E97-4E97-BB25-CD47B709CC42}" name="Column15438"/>
    <tableColumn id="15444" xr3:uid="{55E23256-C9C9-43C4-99A9-59637B42AA6E}" name="Column15439"/>
    <tableColumn id="15445" xr3:uid="{EDB96733-7C9C-4AD6-AC7E-E41FDD35614E}" name="Column15440"/>
    <tableColumn id="15446" xr3:uid="{3F13B052-5E5D-4E64-807F-34F981A755A3}" name="Column15441"/>
    <tableColumn id="15447" xr3:uid="{6C735526-9433-4D30-B0F6-C646DA610273}" name="Column15442"/>
    <tableColumn id="15448" xr3:uid="{DD9CA488-CD31-4FE6-98CE-5F08FC25380A}" name="Column15443"/>
    <tableColumn id="15449" xr3:uid="{275BED48-3F78-4E67-A5DA-BD8D13D23963}" name="Column15444"/>
    <tableColumn id="15450" xr3:uid="{0B125B9F-D58D-49C3-9F86-ECF37DD62466}" name="Column15445"/>
    <tableColumn id="15451" xr3:uid="{E3E2B4F0-2286-4284-B1EB-98A34A59CE7D}" name="Column15446"/>
    <tableColumn id="15452" xr3:uid="{93308D63-51DA-40BD-ACF8-B18E63E25DDA}" name="Column15447"/>
    <tableColumn id="15453" xr3:uid="{D463F99E-9A33-458C-A5F7-4FB776144C87}" name="Column15448"/>
    <tableColumn id="15454" xr3:uid="{C27E88C7-8585-4912-B4CD-010E6AC325C0}" name="Column15449"/>
    <tableColumn id="15455" xr3:uid="{51F27E2E-DD91-495C-8774-EA96852C0D3E}" name="Column15450"/>
    <tableColumn id="15456" xr3:uid="{0C005FA6-3A62-4EA2-BA84-C58579AF4688}" name="Column15451"/>
    <tableColumn id="15457" xr3:uid="{C810ADCC-9391-4E49-AA11-B55FE0E78A9F}" name="Column15452"/>
    <tableColumn id="15458" xr3:uid="{F4126086-D2DD-4C08-BFA6-3931FA49A23C}" name="Column15453"/>
    <tableColumn id="15459" xr3:uid="{CF971438-3E02-4EC2-89C8-D5270044B34A}" name="Column15454"/>
    <tableColumn id="15460" xr3:uid="{0940C738-6748-4B9C-93CA-28263DE89EAB}" name="Column15455"/>
    <tableColumn id="15461" xr3:uid="{B7455A17-CFAF-4D58-A9FB-27C0880AB9C7}" name="Column15456"/>
    <tableColumn id="15462" xr3:uid="{0BEA0BEA-BE98-4387-97BF-B88E0B9C17B6}" name="Column15457"/>
    <tableColumn id="15463" xr3:uid="{FDC39894-DFF5-4D05-8841-0D10559B5B52}" name="Column15458"/>
    <tableColumn id="15464" xr3:uid="{FDA95117-7BBB-4CAB-86E4-D164DCF784FE}" name="Column15459"/>
    <tableColumn id="15465" xr3:uid="{1E064353-8507-45CC-AC10-AC17DEDC1E9A}" name="Column15460"/>
    <tableColumn id="15466" xr3:uid="{7D8E67DC-8DA5-45CB-B184-E90F7F0A3C52}" name="Column15461"/>
    <tableColumn id="15467" xr3:uid="{B6CC5A5D-5602-4074-85C9-6B73EF4F24AD}" name="Column15462"/>
    <tableColumn id="15468" xr3:uid="{63DC0099-3B61-4DB5-A083-E0BA634A7A9F}" name="Column15463"/>
    <tableColumn id="15469" xr3:uid="{F07D6403-8E08-49C6-88B1-82E278869BA7}" name="Column15464"/>
    <tableColumn id="15470" xr3:uid="{4E08C699-02EC-4B65-A07E-4F8EB548EDF3}" name="Column15465"/>
    <tableColumn id="15471" xr3:uid="{6EC872C6-9668-4470-98E3-986B44809201}" name="Column15466"/>
    <tableColumn id="15472" xr3:uid="{719B9387-036D-4B04-B800-19497E374507}" name="Column15467"/>
    <tableColumn id="15473" xr3:uid="{9605D1A0-10F0-4586-BCA9-7DDD13E4D1D4}" name="Column15468"/>
    <tableColumn id="15474" xr3:uid="{3CE62C7E-5EFC-4BA7-93BA-27A0B5AE7F33}" name="Column15469"/>
    <tableColumn id="15475" xr3:uid="{EAC85446-6692-44FA-9260-27D3858BC990}" name="Column15470"/>
    <tableColumn id="15476" xr3:uid="{448A8A2E-DE22-45FE-8F45-89B18038C6D7}" name="Column15471"/>
    <tableColumn id="15477" xr3:uid="{BD342502-A635-4506-9E0B-6E9CBB557C96}" name="Column15472"/>
    <tableColumn id="15478" xr3:uid="{B8529558-F23F-45C6-B635-D9BD3850FFD5}" name="Column15473"/>
    <tableColumn id="15479" xr3:uid="{2A16FB2E-D6A9-419B-A071-99F0AFF77EA0}" name="Column15474"/>
    <tableColumn id="15480" xr3:uid="{17659D2A-11D5-4035-9816-3BD3FC7FB6EA}" name="Column15475"/>
    <tableColumn id="15481" xr3:uid="{890E9F97-21CE-4617-9EE5-53D7E8094968}" name="Column15476"/>
    <tableColumn id="15482" xr3:uid="{8CB556D6-9F91-42BB-B450-904DE1CFEC10}" name="Column15477"/>
    <tableColumn id="15483" xr3:uid="{4DDB0DC7-90D8-40B3-B77E-5ED0B27DD187}" name="Column15478"/>
    <tableColumn id="15484" xr3:uid="{E2E74525-1493-4B39-9503-988C24B210FD}" name="Column15479"/>
    <tableColumn id="15485" xr3:uid="{0A1B0FF0-4FC0-41F1-8C7D-06D4C1B83032}" name="Column15480"/>
    <tableColumn id="15486" xr3:uid="{230DEAB9-C8F4-4F91-BE20-9FAB90665C36}" name="Column15481"/>
    <tableColumn id="15487" xr3:uid="{0BA75BA5-C2BC-476A-9FEA-8F0949F5BC24}" name="Column15482"/>
    <tableColumn id="15488" xr3:uid="{9674B4FA-9421-4C74-B9DE-B496A1AF5C8C}" name="Column15483"/>
    <tableColumn id="15489" xr3:uid="{73807C34-8EE2-49D0-BE81-9EA2D5D5D0C0}" name="Column15484"/>
    <tableColumn id="15490" xr3:uid="{73D8BC68-1F61-4C17-BB41-1553E3EFC14A}" name="Column15485"/>
    <tableColumn id="15491" xr3:uid="{6F238D62-1864-47A9-8304-6DF59B899471}" name="Column15486"/>
    <tableColumn id="15492" xr3:uid="{C32CF607-0C1B-4658-867E-B8929CC9A25F}" name="Column15487"/>
    <tableColumn id="15493" xr3:uid="{14336163-0205-4545-86E3-8DED73BEB0E5}" name="Column15488"/>
    <tableColumn id="15494" xr3:uid="{A5018079-518C-4540-99B2-03192B7677BF}" name="Column15489"/>
    <tableColumn id="15495" xr3:uid="{111F4875-AE01-40D8-A1B2-F74A13FB0153}" name="Column15490"/>
    <tableColumn id="15496" xr3:uid="{528235C6-E022-47C2-9D0C-83AE6C6C4A30}" name="Column15491"/>
    <tableColumn id="15497" xr3:uid="{BFD59EF0-43A8-433E-BD73-7AAD668F36D3}" name="Column15492"/>
    <tableColumn id="15498" xr3:uid="{89FB3525-7A16-4716-A6A4-1BFA33433BAB}" name="Column15493"/>
    <tableColumn id="15499" xr3:uid="{E4773659-4F23-4CCC-AB8B-5E5A10EF4985}" name="Column15494"/>
    <tableColumn id="15500" xr3:uid="{9A23273A-851E-497D-B3F4-01B55887836D}" name="Column15495"/>
    <tableColumn id="15501" xr3:uid="{6E8664FC-814A-44B5-B0A5-F16DEEDAF65F}" name="Column15496"/>
    <tableColumn id="15502" xr3:uid="{D7E5B2BA-E310-4C38-9BBF-6127504B6A0C}" name="Column15497"/>
    <tableColumn id="15503" xr3:uid="{570EE1E6-D952-479F-B07E-139A95AE16FF}" name="Column15498"/>
    <tableColumn id="15504" xr3:uid="{569FD055-66AA-4A4F-8469-8F9D009BEC4E}" name="Column15499"/>
    <tableColumn id="15505" xr3:uid="{846AAC4E-A0E8-4B0C-ACA1-7C390457B7C6}" name="Column15500"/>
    <tableColumn id="15506" xr3:uid="{9BFD9805-9B38-4042-A87E-B26D09BC8D1D}" name="Column15501"/>
    <tableColumn id="15507" xr3:uid="{627BED65-B9BC-455D-BFD9-3D14A35C4478}" name="Column15502"/>
    <tableColumn id="15508" xr3:uid="{6ACA8E9C-6A48-459D-9F56-951E4A58C9AB}" name="Column15503"/>
    <tableColumn id="15509" xr3:uid="{7B5151F5-8147-415E-AEA4-8A535FF8A378}" name="Column15504"/>
    <tableColumn id="15510" xr3:uid="{8483A106-C939-43B7-97B2-CF07FD6C44B5}" name="Column15505"/>
    <tableColumn id="15511" xr3:uid="{03EE779C-4ABF-480E-83B6-641BF9A4E42C}" name="Column15506"/>
    <tableColumn id="15512" xr3:uid="{D38FE677-1DF6-4BB8-862C-1B5C681DD39B}" name="Column15507"/>
    <tableColumn id="15513" xr3:uid="{22DD7942-35B1-4477-98E1-FBF01D7572F4}" name="Column15508"/>
    <tableColumn id="15514" xr3:uid="{E8A0D014-C955-4245-BF19-5B306F848A6D}" name="Column15509"/>
    <tableColumn id="15515" xr3:uid="{5B823B6B-3850-429B-8F07-E3C28A951DEB}" name="Column15510"/>
    <tableColumn id="15516" xr3:uid="{1F80BEA1-8899-461E-86CD-A2997CAE8FF7}" name="Column15511"/>
    <tableColumn id="15517" xr3:uid="{B70D080E-8827-4E3C-A46F-6B0462E9DB29}" name="Column15512"/>
    <tableColumn id="15518" xr3:uid="{2CB5B6F8-4333-4642-862E-A57E68D117AF}" name="Column15513"/>
    <tableColumn id="15519" xr3:uid="{276F15CD-FA09-445A-A8EE-ACC873D82AC8}" name="Column15514"/>
    <tableColumn id="15520" xr3:uid="{0E199B0C-6948-4D1A-99CB-0458E9381E16}" name="Column15515"/>
    <tableColumn id="15521" xr3:uid="{CE6C2E4C-8CD6-4C00-99C4-6743AD8C3522}" name="Column15516"/>
    <tableColumn id="15522" xr3:uid="{7720A640-A78A-4700-AFE2-1435604A6B89}" name="Column15517"/>
    <tableColumn id="15523" xr3:uid="{96B3AA62-8D7E-4E8F-87D7-2EC4438FB655}" name="Column15518"/>
    <tableColumn id="15524" xr3:uid="{7BBB6F80-B122-4026-8BD7-947E18A31722}" name="Column15519"/>
    <tableColumn id="15525" xr3:uid="{A0246EB9-9420-4C5F-BDEB-EF82D7454C83}" name="Column15520"/>
    <tableColumn id="15526" xr3:uid="{9EA1196F-B584-4BB6-8ABC-D17387C4C1D8}" name="Column15521"/>
    <tableColumn id="15527" xr3:uid="{047A41EE-B6F5-4617-AC2A-B39E62358C87}" name="Column15522"/>
    <tableColumn id="15528" xr3:uid="{128E4E33-09B5-4B5B-BB0D-2C3C30F09494}" name="Column15523"/>
    <tableColumn id="15529" xr3:uid="{A405F12E-F5B4-4888-8E79-04E9DD9EB354}" name="Column15524"/>
    <tableColumn id="15530" xr3:uid="{186978CF-D437-426D-B7CE-2E328D05F612}" name="Column15525"/>
    <tableColumn id="15531" xr3:uid="{3447F7C1-B447-47A7-9965-7AD44AC4F7B0}" name="Column15526"/>
    <tableColumn id="15532" xr3:uid="{EC619A1B-DE21-4F41-AC5B-C8456DF1368A}" name="Column15527"/>
    <tableColumn id="15533" xr3:uid="{7DD41365-3E3B-4517-8BCD-B84EF921D498}" name="Column15528"/>
    <tableColumn id="15534" xr3:uid="{6E6F3EAD-41F3-4961-AD13-73D0691ED25F}" name="Column15529"/>
    <tableColumn id="15535" xr3:uid="{220C3104-1E3E-4876-8FA4-049F5A73926D}" name="Column15530"/>
    <tableColumn id="15536" xr3:uid="{9465C447-E034-419C-AE6C-303D1D1C4FF2}" name="Column15531"/>
    <tableColumn id="15537" xr3:uid="{450B2974-B02C-498B-8FD9-ECA755B1C518}" name="Column15532"/>
    <tableColumn id="15538" xr3:uid="{B80382DF-E5B2-4CEB-B827-E63E6130B176}" name="Column15533"/>
    <tableColumn id="15539" xr3:uid="{0102BA04-E36C-4113-9E46-4E6B33D6A472}" name="Column15534"/>
    <tableColumn id="15540" xr3:uid="{C25AD09B-11D8-4BCC-910E-B184F3AB9C9E}" name="Column15535"/>
    <tableColumn id="15541" xr3:uid="{314CDA1A-3345-4AAE-8DD4-20F7A8FD7B2E}" name="Column15536"/>
    <tableColumn id="15542" xr3:uid="{ACC97C63-191E-4249-9153-E63044513164}" name="Column15537"/>
    <tableColumn id="15543" xr3:uid="{0B242348-C25E-45E8-A927-D488C8A1E814}" name="Column15538"/>
    <tableColumn id="15544" xr3:uid="{94D3418D-88DC-4125-B505-9145FFAFD251}" name="Column15539"/>
    <tableColumn id="15545" xr3:uid="{4A377815-9D84-4905-A55F-12EAF83C45BB}" name="Column15540"/>
    <tableColumn id="15546" xr3:uid="{83F17029-3082-441A-A853-E670B03EB370}" name="Column15541"/>
    <tableColumn id="15547" xr3:uid="{1DA3347B-4972-47F4-9128-0FE564313D74}" name="Column15542"/>
    <tableColumn id="15548" xr3:uid="{EFE38775-789A-480A-91AD-10F8F7A22E3B}" name="Column15543"/>
    <tableColumn id="15549" xr3:uid="{D41F2056-5CF0-4527-BFB7-FC78A3E2EAE1}" name="Column15544"/>
    <tableColumn id="15550" xr3:uid="{B09307B3-DA34-41D3-B3E1-B59A46B6F65E}" name="Column15545"/>
    <tableColumn id="15551" xr3:uid="{33DEF612-C299-4305-BB98-3BA224B9ED1B}" name="Column15546"/>
    <tableColumn id="15552" xr3:uid="{083D477B-E629-43AC-AADA-C0CD93EA35E7}" name="Column15547"/>
    <tableColumn id="15553" xr3:uid="{A0EBBF1E-1ED6-426B-A64E-CB0EBE57158A}" name="Column15548"/>
    <tableColumn id="15554" xr3:uid="{2C2F4C48-A408-4F23-9B66-7380B6D81276}" name="Column15549"/>
    <tableColumn id="15555" xr3:uid="{C85C8AD5-C1DA-4E24-93E3-C653A7B2D16D}" name="Column15550"/>
    <tableColumn id="15556" xr3:uid="{25705060-0713-4FA6-9E49-C49A001314FC}" name="Column15551"/>
    <tableColumn id="15557" xr3:uid="{65356B60-D246-49DD-A5C0-8480C462004B}" name="Column15552"/>
    <tableColumn id="15558" xr3:uid="{715CCF56-A677-4937-9865-230AA6084DF9}" name="Column15553"/>
    <tableColumn id="15559" xr3:uid="{7241C38B-282C-4A2A-9DFC-23C8B8F28A28}" name="Column15554"/>
    <tableColumn id="15560" xr3:uid="{1C29E3E9-8DA4-4FA5-B473-8672AF0288CE}" name="Column15555"/>
    <tableColumn id="15561" xr3:uid="{FFCDB419-D4C6-4EF5-9661-6DED56767223}" name="Column15556"/>
    <tableColumn id="15562" xr3:uid="{5F33E26F-5E5F-4406-88E8-7BE6CCF4E56E}" name="Column15557"/>
    <tableColumn id="15563" xr3:uid="{8FAF7ADA-EB71-4B8D-97AF-33B794C62910}" name="Column15558"/>
    <tableColumn id="15564" xr3:uid="{62DF52FC-44C3-44A3-8EDD-7DFDB90C05C3}" name="Column15559"/>
    <tableColumn id="15565" xr3:uid="{3A36F354-0DF0-4BA2-8EAC-B117F807DD9E}" name="Column15560"/>
    <tableColumn id="15566" xr3:uid="{D79A5796-6697-488B-9C27-E5E563476265}" name="Column15561"/>
    <tableColumn id="15567" xr3:uid="{5B992065-1303-46D9-9E5C-E427702650B5}" name="Column15562"/>
    <tableColumn id="15568" xr3:uid="{6929C9F1-91DF-4630-985D-80E8664F6329}" name="Column15563"/>
    <tableColumn id="15569" xr3:uid="{2EAFB7B9-719E-497B-ACC1-07FDAC2A31F2}" name="Column15564"/>
    <tableColumn id="15570" xr3:uid="{B3DC4B26-719C-47EA-A009-8DE5A899DF08}" name="Column15565"/>
    <tableColumn id="15571" xr3:uid="{5977D316-25B0-4CDF-8F1D-71373E6D2F8A}" name="Column15566"/>
    <tableColumn id="15572" xr3:uid="{75DD18F6-0202-4108-BB5E-CA1106B79B66}" name="Column15567"/>
    <tableColumn id="15573" xr3:uid="{0C4FD140-60A3-4931-AACD-D742E2E96A7D}" name="Column15568"/>
    <tableColumn id="15574" xr3:uid="{D7ABF4BA-A546-4D97-BD0A-0C2496944589}" name="Column15569"/>
    <tableColumn id="15575" xr3:uid="{35629CD5-8DFA-4D51-9188-037D16B45100}" name="Column15570"/>
    <tableColumn id="15576" xr3:uid="{78140311-4384-4244-820F-B58092224725}" name="Column15571"/>
    <tableColumn id="15577" xr3:uid="{C8BB4801-F45D-4A9D-8547-47FACD37C9DF}" name="Column15572"/>
    <tableColumn id="15578" xr3:uid="{102C12D6-26B8-41B6-B73B-E438FE30D532}" name="Column15573"/>
    <tableColumn id="15579" xr3:uid="{F8F45246-840D-4FEF-A91C-1C04E0A2DBE4}" name="Column15574"/>
    <tableColumn id="15580" xr3:uid="{0531342C-CE3D-444C-826F-05E50CC5BAD3}" name="Column15575"/>
    <tableColumn id="15581" xr3:uid="{D2DFFB23-9569-4388-BAC0-A459E5BDD79F}" name="Column15576"/>
    <tableColumn id="15582" xr3:uid="{E698F276-705E-437F-959C-F84F8B445274}" name="Column15577"/>
    <tableColumn id="15583" xr3:uid="{B086439A-E072-450A-8392-48DB78B91E80}" name="Column15578"/>
    <tableColumn id="15584" xr3:uid="{267B28C9-E3C5-4EF7-87A8-7D00887CEC26}" name="Column15579"/>
    <tableColumn id="15585" xr3:uid="{F53AEEFF-3E12-44CA-B5D7-D59356A8BB25}" name="Column15580"/>
    <tableColumn id="15586" xr3:uid="{1B02AE54-D16A-46E5-AEDE-804C1B879D2A}" name="Column15581"/>
    <tableColumn id="15587" xr3:uid="{F651251A-55A5-4D27-9D87-C2C1FD76ADB9}" name="Column15582"/>
    <tableColumn id="15588" xr3:uid="{B9088076-C112-46F8-BC9C-27F0A1359917}" name="Column15583"/>
    <tableColumn id="15589" xr3:uid="{8BB692E5-BA30-46CB-B831-4FDD0D7533C6}" name="Column15584"/>
    <tableColumn id="15590" xr3:uid="{17660184-5B1F-4EF0-831B-29B8F64DFBE8}" name="Column15585"/>
    <tableColumn id="15591" xr3:uid="{4B6DC340-2DA4-418B-92FD-DCA843754DC4}" name="Column15586"/>
    <tableColumn id="15592" xr3:uid="{D9A85947-92AD-4E7F-A08A-3E5A902E8A90}" name="Column15587"/>
    <tableColumn id="15593" xr3:uid="{8462D096-68BC-4890-A4EC-BC416653F778}" name="Column15588"/>
    <tableColumn id="15594" xr3:uid="{F45B8948-D385-4094-B039-F41DBCBA70DF}" name="Column15589"/>
    <tableColumn id="15595" xr3:uid="{BE03B85F-F4FA-4EDC-9B0C-64CAF05A6E31}" name="Column15590"/>
    <tableColumn id="15596" xr3:uid="{D88B4A6E-F3C8-4733-B4D7-D69AA50AE1F2}" name="Column15591"/>
    <tableColumn id="15597" xr3:uid="{5DC4B146-E98C-4F52-85E1-D7D857A6EC8C}" name="Column15592"/>
    <tableColumn id="15598" xr3:uid="{418B90CC-4096-4D4B-9D47-23B3EEDD37CD}" name="Column15593"/>
    <tableColumn id="15599" xr3:uid="{28120C31-1A66-4AAD-9649-6FB371F8B533}" name="Column15594"/>
    <tableColumn id="15600" xr3:uid="{7622ABF9-A0C4-4083-A8B0-338AF8C958AB}" name="Column15595"/>
    <tableColumn id="15601" xr3:uid="{B174CC0E-1D39-45CB-A857-D8F848E458D6}" name="Column15596"/>
    <tableColumn id="15602" xr3:uid="{AAAB76EE-0930-4E51-8C9A-208A34FD0961}" name="Column15597"/>
    <tableColumn id="15603" xr3:uid="{DB6986B7-58AD-4DF6-BED4-FB19440C6282}" name="Column15598"/>
    <tableColumn id="15604" xr3:uid="{C0C983B3-572E-4885-9C1E-E4672903C11B}" name="Column15599"/>
    <tableColumn id="15605" xr3:uid="{64C79EFB-FE0A-487D-8E66-56D95807DC6A}" name="Column15600"/>
    <tableColumn id="15606" xr3:uid="{605E24C5-9395-460E-AEAD-00C63B9EB4D0}" name="Column15601"/>
    <tableColumn id="15607" xr3:uid="{FCCA4406-6A89-4787-9046-23A25F9B03E6}" name="Column15602"/>
    <tableColumn id="15608" xr3:uid="{98C470D9-C236-4AC1-8D3E-ABE86C73BC29}" name="Column15603"/>
    <tableColumn id="15609" xr3:uid="{D1E40198-25B3-431D-836E-9F5D264766B8}" name="Column15604"/>
    <tableColumn id="15610" xr3:uid="{281481ED-06F7-43FE-9DA7-27D1B602E523}" name="Column15605"/>
    <tableColumn id="15611" xr3:uid="{4733D75B-7ED3-4876-84B7-39EDCC949390}" name="Column15606"/>
    <tableColumn id="15612" xr3:uid="{2A4DEE90-7629-4093-B7EF-A7027DDE083F}" name="Column15607"/>
    <tableColumn id="15613" xr3:uid="{F6D92401-EF6E-49D8-B6FF-B6F3D3665AF7}" name="Column15608"/>
    <tableColumn id="15614" xr3:uid="{F139B9FC-6797-4A54-918C-EE85C3CAA688}" name="Column15609"/>
    <tableColumn id="15615" xr3:uid="{5506B109-BD85-471A-ADE8-517D111B9477}" name="Column15610"/>
    <tableColumn id="15616" xr3:uid="{2B07A5B3-1F9F-4473-99FF-FFBA828BBBF2}" name="Column15611"/>
    <tableColumn id="15617" xr3:uid="{A8715201-8B67-4314-B51E-ED9A5B67F8C5}" name="Column15612"/>
    <tableColumn id="15618" xr3:uid="{E2A21793-2395-4302-ACDE-1A91DEB54480}" name="Column15613"/>
    <tableColumn id="15619" xr3:uid="{CC74252B-F8BC-4B6E-BB32-5A305F101995}" name="Column15614"/>
    <tableColumn id="15620" xr3:uid="{AF399AEE-E160-45FB-A3D2-9D99905F0580}" name="Column15615"/>
    <tableColumn id="15621" xr3:uid="{06FBB8D4-8730-4029-8A07-452698FAA80F}" name="Column15616"/>
    <tableColumn id="15622" xr3:uid="{0DC879BA-E1B1-4BF9-8AEA-5C2CC79815D3}" name="Column15617"/>
    <tableColumn id="15623" xr3:uid="{F2913743-7EC5-4762-A6D3-BB9FD9ABCFB5}" name="Column15618"/>
    <tableColumn id="15624" xr3:uid="{2495397F-5C66-4F96-B754-7CE6F4726868}" name="Column15619"/>
    <tableColumn id="15625" xr3:uid="{F774DDAA-33D2-4474-B794-9BA4067CA561}" name="Column15620"/>
    <tableColumn id="15626" xr3:uid="{8E15091F-D670-4EAA-992A-AEFEC75D4D01}" name="Column15621"/>
    <tableColumn id="15627" xr3:uid="{A5416AB6-F22C-4ED1-9310-DA075C8D2055}" name="Column15622"/>
    <tableColumn id="15628" xr3:uid="{9397D7EB-307B-442D-AB56-BD8C31775C92}" name="Column15623"/>
    <tableColumn id="15629" xr3:uid="{7AAB6B8A-B1F9-4E2D-B401-8FA7A286946C}" name="Column15624"/>
    <tableColumn id="15630" xr3:uid="{233E6EF3-878D-4654-82FE-3DD8F44B8D19}" name="Column15625"/>
    <tableColumn id="15631" xr3:uid="{4FA7D1FD-E4BD-4FDC-A061-F2625693B07E}" name="Column15626"/>
    <tableColumn id="15632" xr3:uid="{626CA53C-48F5-4605-9D66-DBC8CCD33986}" name="Column15627"/>
    <tableColumn id="15633" xr3:uid="{016262ED-0737-4047-81D9-67BAA5D3AC64}" name="Column15628"/>
    <tableColumn id="15634" xr3:uid="{901C9656-F232-46E1-AFD6-CAFA2D487EE0}" name="Column15629"/>
    <tableColumn id="15635" xr3:uid="{121801EF-0438-4ACF-A104-6087477063FE}" name="Column15630"/>
    <tableColumn id="15636" xr3:uid="{42EF97F9-218E-4E14-8B7C-7F261DBA2820}" name="Column15631"/>
    <tableColumn id="15637" xr3:uid="{FA946963-B364-4501-88EB-793467D8D700}" name="Column15632"/>
    <tableColumn id="15638" xr3:uid="{8B9D6DE6-0BFE-485B-9F9B-77EBBEBAA9DE}" name="Column15633"/>
    <tableColumn id="15639" xr3:uid="{795F3289-4566-4E9C-8777-30D77D758556}" name="Column15634"/>
    <tableColumn id="15640" xr3:uid="{662B0141-9D28-42DF-A217-84E3A57F1A7A}" name="Column15635"/>
    <tableColumn id="15641" xr3:uid="{C74C1292-7C83-4D25-A10A-AD1ACBB0D481}" name="Column15636"/>
    <tableColumn id="15642" xr3:uid="{9C10FF73-33C3-49E0-8F67-56091B324E51}" name="Column15637"/>
    <tableColumn id="15643" xr3:uid="{D865B56E-4966-4F65-ACF3-BE472D203CA5}" name="Column15638"/>
    <tableColumn id="15644" xr3:uid="{DE71AA02-C214-4626-AAB3-372CAD233AFC}" name="Column15639"/>
    <tableColumn id="15645" xr3:uid="{70B200E2-EDDA-4797-BEDA-08CB1AD3953F}" name="Column15640"/>
    <tableColumn id="15646" xr3:uid="{DA3FE4B9-A537-4F2F-82F2-385A079CA0EF}" name="Column15641"/>
    <tableColumn id="15647" xr3:uid="{79F3CEBC-D724-4752-AC27-2A90A1B426AE}" name="Column15642"/>
    <tableColumn id="15648" xr3:uid="{7BE4ED58-2174-453F-BC80-2B5889945F2C}" name="Column15643"/>
    <tableColumn id="15649" xr3:uid="{BEDA1D13-821A-4E2A-A44D-45FEFB22DF46}" name="Column15644"/>
    <tableColumn id="15650" xr3:uid="{FB92735D-C215-42D1-9EF4-1C1654069662}" name="Column15645"/>
    <tableColumn id="15651" xr3:uid="{DFADCBE0-7EB4-4569-BACE-8F2126AE323E}" name="Column15646"/>
    <tableColumn id="15652" xr3:uid="{701BD1B0-C0BC-4F00-9D8A-781EB01928F9}" name="Column15647"/>
    <tableColumn id="15653" xr3:uid="{0F7A4B2D-FE2B-4E33-ACE7-1E61B373E7AE}" name="Column15648"/>
    <tableColumn id="15654" xr3:uid="{D0A2AB2A-F156-461D-8871-732EBE04D97A}" name="Column15649"/>
    <tableColumn id="15655" xr3:uid="{CA80028A-F8D5-4725-916D-DA0F409B4A0B}" name="Column15650"/>
    <tableColumn id="15656" xr3:uid="{892E16FC-030B-46C4-94CE-C471DF8D24B3}" name="Column15651"/>
    <tableColumn id="15657" xr3:uid="{D45BF7DF-067F-409F-B0B1-A0F2B84306BA}" name="Column15652"/>
    <tableColumn id="15658" xr3:uid="{4245511E-8FA6-415E-82C6-34E7C7A92C5B}" name="Column15653"/>
    <tableColumn id="15659" xr3:uid="{371591A6-2510-4105-9FB0-6E34B42E8A18}" name="Column15654"/>
    <tableColumn id="15660" xr3:uid="{2D226CDF-DCBD-4D03-9B4D-ABAF8477CCC3}" name="Column15655"/>
    <tableColumn id="15661" xr3:uid="{A582EFA5-B24D-427A-8081-8AC77162A719}" name="Column15656"/>
    <tableColumn id="15662" xr3:uid="{F6A6DD9A-F3D8-495F-8410-8EDAEEB7DBF8}" name="Column15657"/>
    <tableColumn id="15663" xr3:uid="{447E480F-E8A6-409F-8A43-F9A5B7F826B9}" name="Column15658"/>
    <tableColumn id="15664" xr3:uid="{A3E057B7-910E-41C1-83B4-F33CB11B4F15}" name="Column15659"/>
    <tableColumn id="15665" xr3:uid="{D0A020A6-2823-40FF-B506-4A6CB4D4016F}" name="Column15660"/>
    <tableColumn id="15666" xr3:uid="{22D094FA-46C3-4415-B5F4-E5EBA4B7AC27}" name="Column15661"/>
    <tableColumn id="15667" xr3:uid="{0B4CD912-02AD-4492-A787-AA8ABEE43190}" name="Column15662"/>
    <tableColumn id="15668" xr3:uid="{7133B9D9-324C-4ACE-8748-B71931191620}" name="Column15663"/>
    <tableColumn id="15669" xr3:uid="{F9C46D5F-B1CA-401C-BCDE-1DA6AD65AAA9}" name="Column15664"/>
    <tableColumn id="15670" xr3:uid="{33CE0B19-CF92-4DAA-92B7-EDDDF8BDAA26}" name="Column15665"/>
    <tableColumn id="15671" xr3:uid="{8909666C-316A-4EB5-8A07-19BC7C147D39}" name="Column15666"/>
    <tableColumn id="15672" xr3:uid="{B7E3FD93-8EE2-4161-A7B1-BBA1E4F1E891}" name="Column15667"/>
    <tableColumn id="15673" xr3:uid="{383C7C83-4224-4AC5-B50B-D8C066F45466}" name="Column15668"/>
    <tableColumn id="15674" xr3:uid="{78097E37-9A23-4BD0-A5EF-EE9801D9424F}" name="Column15669"/>
    <tableColumn id="15675" xr3:uid="{C9A6AA29-8750-4F58-94E4-20B1663D6296}" name="Column15670"/>
    <tableColumn id="15676" xr3:uid="{F3F903D9-B744-409A-8440-5E775CC20DC2}" name="Column15671"/>
    <tableColumn id="15677" xr3:uid="{C57629EB-A94A-4E06-9553-ECA00DAC7589}" name="Column15672"/>
    <tableColumn id="15678" xr3:uid="{8C583F02-FE68-4E64-B645-955AC15F2713}" name="Column15673"/>
    <tableColumn id="15679" xr3:uid="{98ACD29E-3DEB-4E9C-A4E8-149DC4D147C7}" name="Column15674"/>
    <tableColumn id="15680" xr3:uid="{2148FC58-D566-4DDB-917C-15D9A0869A03}" name="Column15675"/>
    <tableColumn id="15681" xr3:uid="{2B04C1DA-1C71-4F59-A5B7-313DBF21C209}" name="Column15676"/>
    <tableColumn id="15682" xr3:uid="{53387A6F-A6FC-43F5-A46A-50F11C98D9A1}" name="Column15677"/>
    <tableColumn id="15683" xr3:uid="{39CF221D-BA41-440E-A4B6-7DA86E5BDF23}" name="Column15678"/>
    <tableColumn id="15684" xr3:uid="{CEE1BD90-265E-4F51-A2AE-9F5B284D19A4}" name="Column15679"/>
    <tableColumn id="15685" xr3:uid="{9E895382-4A1D-43B1-BC25-2EE8EB60E19A}" name="Column15680"/>
    <tableColumn id="15686" xr3:uid="{77886A09-4624-468E-B2DC-990884470458}" name="Column15681"/>
    <tableColumn id="15687" xr3:uid="{82538C28-BA1E-4BE8-BC5A-061C9779F895}" name="Column15682"/>
    <tableColumn id="15688" xr3:uid="{53DE0685-1D89-4AA6-A38A-535F4E7DD608}" name="Column15683"/>
    <tableColumn id="15689" xr3:uid="{E75411B0-3F56-49DC-B071-A2F867822D09}" name="Column15684"/>
    <tableColumn id="15690" xr3:uid="{E1D40169-E7CC-4751-B56B-96D236836DBF}" name="Column15685"/>
    <tableColumn id="15691" xr3:uid="{F3E9FD7B-244A-4736-821C-56E4F50EBB71}" name="Column15686"/>
    <tableColumn id="15692" xr3:uid="{52FC4DCA-CFD0-4FF8-8206-1F3DF3329DE2}" name="Column15687"/>
    <tableColumn id="15693" xr3:uid="{53A8AAE5-402E-4437-BC23-B2BFB111B672}" name="Column15688"/>
    <tableColumn id="15694" xr3:uid="{6721CE6A-27CC-441B-B72A-928AB87B68D9}" name="Column15689"/>
    <tableColumn id="15695" xr3:uid="{D1B91C2E-6837-4C87-ABBE-2F5F36C48C12}" name="Column15690"/>
    <tableColumn id="15696" xr3:uid="{384E8FFF-950D-4FBE-9D7B-5D8CCCE0D97E}" name="Column15691"/>
    <tableColumn id="15697" xr3:uid="{5C9AF818-A1C1-4A7C-B944-133C0A5420A9}" name="Column15692"/>
    <tableColumn id="15698" xr3:uid="{55482CAC-B0F3-4BB5-8A55-F7F779733011}" name="Column15693"/>
    <tableColumn id="15699" xr3:uid="{B3614C0E-1B8D-40AD-9AD9-5F5CC68FBE2B}" name="Column15694"/>
    <tableColumn id="15700" xr3:uid="{F72DB07D-6379-4795-A689-3455BAD7DB6A}" name="Column15695"/>
    <tableColumn id="15701" xr3:uid="{53165AF9-94F9-45CE-B5A6-0CE5FC894A5C}" name="Column15696"/>
    <tableColumn id="15702" xr3:uid="{535252FF-BF5F-495D-AF35-F935A22C14E8}" name="Column15697"/>
    <tableColumn id="15703" xr3:uid="{BCCD05A0-DD3A-430E-9912-BF69BB909C61}" name="Column15698"/>
    <tableColumn id="15704" xr3:uid="{25A94F8A-3AB2-462D-8485-1C608B56EFC1}" name="Column15699"/>
    <tableColumn id="15705" xr3:uid="{B9FE5523-E84B-4CCE-8E1D-97705A9EAAA9}" name="Column15700"/>
    <tableColumn id="15706" xr3:uid="{6EFCACBD-D1F0-47E8-A6D9-9AF6BB4A27D3}" name="Column15701"/>
    <tableColumn id="15707" xr3:uid="{488EDAB4-44CF-4801-A57A-1B19204D6232}" name="Column15702"/>
    <tableColumn id="15708" xr3:uid="{7FF28876-54D7-4F3F-93E0-B74E8884DB68}" name="Column15703"/>
    <tableColumn id="15709" xr3:uid="{5905120E-086A-4991-991F-C2122525F589}" name="Column15704"/>
    <tableColumn id="15710" xr3:uid="{C24F1449-1DC6-444D-B264-B1874A15F6F3}" name="Column15705"/>
    <tableColumn id="15711" xr3:uid="{CF219A6E-B2FF-4228-89AD-1E7D3E19337D}" name="Column15706"/>
    <tableColumn id="15712" xr3:uid="{9D61AC70-05D7-4AD5-8B31-E50E617313C8}" name="Column15707"/>
    <tableColumn id="15713" xr3:uid="{D88EA0A7-1046-4C9A-8242-C50BC07C5FBD}" name="Column15708"/>
    <tableColumn id="15714" xr3:uid="{E09CC87A-5216-4CC4-82BB-5D492DD902BE}" name="Column15709"/>
    <tableColumn id="15715" xr3:uid="{B700D68B-80F3-48EB-B259-40907D295FCE}" name="Column15710"/>
    <tableColumn id="15716" xr3:uid="{25154F6D-4744-4EF2-A585-9462A7F1FD56}" name="Column15711"/>
    <tableColumn id="15717" xr3:uid="{8E32236A-6EA1-4665-BB75-C7ED76DAA538}" name="Column15712"/>
    <tableColumn id="15718" xr3:uid="{BB7599E0-2826-4AF6-9A21-C8B95ADA3C7C}" name="Column15713"/>
    <tableColumn id="15719" xr3:uid="{9A86F7ED-989C-4DC2-9E09-9A0334295DAF}" name="Column15714"/>
    <tableColumn id="15720" xr3:uid="{DA767B05-418E-4C2F-96F6-8B7D79DB0C18}" name="Column15715"/>
    <tableColumn id="15721" xr3:uid="{97AC5943-0A62-4EE2-A8F8-5A4EB0B4FE10}" name="Column15716"/>
    <tableColumn id="15722" xr3:uid="{94C3AEAF-2F89-4F64-BC6F-A52A59BBC6C3}" name="Column15717"/>
    <tableColumn id="15723" xr3:uid="{66BB01B8-2492-4E0F-9352-A90AB179D403}" name="Column15718"/>
    <tableColumn id="15724" xr3:uid="{0F7539C9-767B-4D37-9464-F1BC70936462}" name="Column15719"/>
    <tableColumn id="15725" xr3:uid="{461EE273-6492-4DE7-9416-BDCA4734463B}" name="Column15720"/>
    <tableColumn id="15726" xr3:uid="{CC446E13-E6F7-4804-8E37-F12EB392D209}" name="Column15721"/>
    <tableColumn id="15727" xr3:uid="{9C71D271-A34B-4AFD-85A1-D957CC8A3454}" name="Column15722"/>
    <tableColumn id="15728" xr3:uid="{81541197-FA3F-4612-BD12-9593E95A0FD7}" name="Column15723"/>
    <tableColumn id="15729" xr3:uid="{4CA7BDA9-B415-4CE0-8D7D-0C7CEDB85FAA}" name="Column15724"/>
    <tableColumn id="15730" xr3:uid="{B52A24E6-18A8-4178-A367-8B34C81F8979}" name="Column15725"/>
    <tableColumn id="15731" xr3:uid="{C7282CA4-59EE-4AC4-978A-9226B6AB5D4F}" name="Column15726"/>
    <tableColumn id="15732" xr3:uid="{E4AE5931-6308-4286-849B-E07BEBC39035}" name="Column15727"/>
    <tableColumn id="15733" xr3:uid="{B8541D1A-EFD5-4E2D-A9B1-A6458EBB810E}" name="Column15728"/>
    <tableColumn id="15734" xr3:uid="{04CF9B5E-BD2B-479E-9599-5D5430DFB8BB}" name="Column15729"/>
    <tableColumn id="15735" xr3:uid="{006A5752-E5DD-4431-8F9B-1200F67A82E4}" name="Column15730"/>
    <tableColumn id="15736" xr3:uid="{759A50D3-882A-4277-ADE6-317C82ECA8CA}" name="Column15731"/>
    <tableColumn id="15737" xr3:uid="{DE180C8A-2C5F-4932-9EF9-84A935EAFC30}" name="Column15732"/>
    <tableColumn id="15738" xr3:uid="{015BC2B3-E365-4F48-A8DA-5288583F1644}" name="Column15733"/>
    <tableColumn id="15739" xr3:uid="{51F4DDD1-C478-4683-A1D4-73B834542280}" name="Column15734"/>
    <tableColumn id="15740" xr3:uid="{2ED3B4CE-9042-40BA-B250-F8742FC3BD11}" name="Column15735"/>
    <tableColumn id="15741" xr3:uid="{280A708F-592D-43FD-98CE-615DBFF933D5}" name="Column15736"/>
    <tableColumn id="15742" xr3:uid="{C5148F22-582B-4554-9506-82CE6900ECED}" name="Column15737"/>
    <tableColumn id="15743" xr3:uid="{0E5478EF-75E4-447A-BEF4-4CAB411C7EB0}" name="Column15738"/>
    <tableColumn id="15744" xr3:uid="{7CA9C4B9-B059-4B40-9789-05ACD4A826DD}" name="Column15739"/>
    <tableColumn id="15745" xr3:uid="{16E6F45B-5F23-424B-9298-F4489E70F9F9}" name="Column15740"/>
    <tableColumn id="15746" xr3:uid="{791496EE-3B42-48F4-847F-7AD119EE7252}" name="Column15741"/>
    <tableColumn id="15747" xr3:uid="{CAD963A8-4EA3-43F5-A11D-9724F7D1F64A}" name="Column15742"/>
    <tableColumn id="15748" xr3:uid="{A1AF9135-67A0-4566-8CB5-55E09AF877F5}" name="Column15743"/>
    <tableColumn id="15749" xr3:uid="{4436D0C1-1430-4F2C-A3FB-76F8914E6919}" name="Column15744"/>
    <tableColumn id="15750" xr3:uid="{E8CD4476-D852-49A7-9A17-FE11CC98F8CB}" name="Column15745"/>
    <tableColumn id="15751" xr3:uid="{80CD4335-63D3-4AC0-8951-1510CDF453D6}" name="Column15746"/>
    <tableColumn id="15752" xr3:uid="{B9F71F96-12CB-4F43-8C2F-064677ECF65F}" name="Column15747"/>
    <tableColumn id="15753" xr3:uid="{DDEA1A05-523C-4EB7-9F8F-01AB53042A8D}" name="Column15748"/>
    <tableColumn id="15754" xr3:uid="{00F294DC-8E92-4ED8-9A06-756E216B3871}" name="Column15749"/>
    <tableColumn id="15755" xr3:uid="{A11273A4-95C6-4EC9-9FF4-39A5FDF3231D}" name="Column15750"/>
    <tableColumn id="15756" xr3:uid="{023220AA-5943-4012-999E-CD227CBF6C77}" name="Column15751"/>
    <tableColumn id="15757" xr3:uid="{5D7AAC0E-6268-4BBC-A271-8CA27A8ECD8F}" name="Column15752"/>
    <tableColumn id="15758" xr3:uid="{1BC01B2C-D2E8-4BAC-87E3-AFE2C3D2FEC0}" name="Column15753"/>
    <tableColumn id="15759" xr3:uid="{4C842890-4F08-4F3E-B57F-EAB03CADAC42}" name="Column15754"/>
    <tableColumn id="15760" xr3:uid="{FC9569B8-8A34-4AD2-AC18-E1143E3C64D2}" name="Column15755"/>
    <tableColumn id="15761" xr3:uid="{BF3768B0-F380-40CC-B86A-DE134BB9CC59}" name="Column15756"/>
    <tableColumn id="15762" xr3:uid="{A6258D83-E7B2-47BF-8451-E29E432F81AB}" name="Column15757"/>
    <tableColumn id="15763" xr3:uid="{852F86A4-974C-4C0E-A2BC-BECF2696DDB4}" name="Column15758"/>
    <tableColumn id="15764" xr3:uid="{EB9B95FA-DD15-4669-BBD6-42E12FECAF2D}" name="Column15759"/>
    <tableColumn id="15765" xr3:uid="{B53BD96A-EBD7-4268-BDCC-49A9E09F6414}" name="Column15760"/>
    <tableColumn id="15766" xr3:uid="{B0C0DCBA-783C-43A1-842C-5144EE579BEA}" name="Column15761"/>
    <tableColumn id="15767" xr3:uid="{376935B8-3DB7-486C-AE47-C5E0DB5D51EE}" name="Column15762"/>
    <tableColumn id="15768" xr3:uid="{7B1013EA-98C2-4777-8417-2A2574187B5F}" name="Column15763"/>
    <tableColumn id="15769" xr3:uid="{1CDA80D9-4237-4DF1-BF64-4695C3EEBF33}" name="Column15764"/>
    <tableColumn id="15770" xr3:uid="{E7A369D6-010F-4FF9-971C-A131A2D667E0}" name="Column15765"/>
    <tableColumn id="15771" xr3:uid="{CC0F888F-5FA4-4FE5-9224-0FCF5B13AA7F}" name="Column15766"/>
    <tableColumn id="15772" xr3:uid="{6CCB77C8-D94C-41DE-BE64-C03E1928CF2F}" name="Column15767"/>
    <tableColumn id="15773" xr3:uid="{C12F3718-4D99-4B99-95AC-DA0B93937143}" name="Column15768"/>
    <tableColumn id="15774" xr3:uid="{ABE22861-2885-48D5-8EFB-7B8DEF5D9686}" name="Column15769"/>
    <tableColumn id="15775" xr3:uid="{5516D93E-A205-4113-8AA3-0C5959D051DB}" name="Column15770"/>
    <tableColumn id="15776" xr3:uid="{E221EE52-BB56-4C83-BF03-9AED5D49FAA9}" name="Column15771"/>
    <tableColumn id="15777" xr3:uid="{D771AA98-670B-455B-A267-253A3A042BAD}" name="Column15772"/>
    <tableColumn id="15778" xr3:uid="{510FA59C-2955-4A81-B38F-9C1AEB56B459}" name="Column15773"/>
    <tableColumn id="15779" xr3:uid="{C17A0980-608E-4E9F-A70B-BBFF8D61393A}" name="Column15774"/>
    <tableColumn id="15780" xr3:uid="{4979FAA3-7850-4A05-92A6-58F28FB209EA}" name="Column15775"/>
    <tableColumn id="15781" xr3:uid="{F331F5CE-453E-46F5-BCF6-1EA809361C2D}" name="Column15776"/>
    <tableColumn id="15782" xr3:uid="{7425DD7A-72E5-4154-B199-FBBDF80B659A}" name="Column15777"/>
    <tableColumn id="15783" xr3:uid="{DB6039B8-C1A3-42A0-8F5D-B13BAB9C95D8}" name="Column15778"/>
    <tableColumn id="15784" xr3:uid="{8AFB2DCD-2585-48DA-BBAD-A2A7956CC9B8}" name="Column15779"/>
    <tableColumn id="15785" xr3:uid="{41758521-F63B-4F53-B013-FC4F3602569B}" name="Column15780"/>
    <tableColumn id="15786" xr3:uid="{F242907C-F77A-45ED-8DB2-27DBB4197215}" name="Column15781"/>
    <tableColumn id="15787" xr3:uid="{92491928-342B-4B63-B6FF-A4EEF41A07FB}" name="Column15782"/>
    <tableColumn id="15788" xr3:uid="{3F2C1905-3AEC-4935-9F3D-9FC5F38E805C}" name="Column15783"/>
    <tableColumn id="15789" xr3:uid="{50349ED9-0649-4C4E-AD2F-8CD056C6F4CB}" name="Column15784"/>
    <tableColumn id="15790" xr3:uid="{485A4088-520D-4F47-B2A4-300FFCBC46B2}" name="Column15785"/>
    <tableColumn id="15791" xr3:uid="{9B406FD4-AA73-4FEC-B51C-975E46C8E95F}" name="Column15786"/>
    <tableColumn id="15792" xr3:uid="{23E6465D-DC3C-49DC-AD6B-E26C927E45CF}" name="Column15787"/>
    <tableColumn id="15793" xr3:uid="{60555861-0F4A-4C6C-8CE7-B1B613E46E11}" name="Column15788"/>
    <tableColumn id="15794" xr3:uid="{9C8C081D-FE84-4174-9F1A-CB736D20C3B7}" name="Column15789"/>
    <tableColumn id="15795" xr3:uid="{C1AC15E0-F62F-4337-9DBF-6E6C515CA824}" name="Column15790"/>
    <tableColumn id="15796" xr3:uid="{C1DC9483-A3EA-445F-87DD-CF8D4D17E6F7}" name="Column15791"/>
    <tableColumn id="15797" xr3:uid="{99F3DDC0-3136-409B-A8C4-B295C2C616BC}" name="Column15792"/>
    <tableColumn id="15798" xr3:uid="{FA05F0C2-325F-4F0F-A739-BA3692F4BB5D}" name="Column15793"/>
    <tableColumn id="15799" xr3:uid="{61DC12E9-367C-4470-A4C5-89ED3CFFDD67}" name="Column15794"/>
    <tableColumn id="15800" xr3:uid="{5FD1C1DF-DCB2-436D-B970-932F52DD6BBB}" name="Column15795"/>
    <tableColumn id="15801" xr3:uid="{2B7958E4-153A-4F24-B364-EE66297930C9}" name="Column15796"/>
    <tableColumn id="15802" xr3:uid="{6762AE38-423F-4ED2-A7D8-94222CFA0C20}" name="Column15797"/>
    <tableColumn id="15803" xr3:uid="{E0CF1A2C-3566-40E7-A8F5-91EB19E9606D}" name="Column15798"/>
    <tableColumn id="15804" xr3:uid="{28434EC2-9FF1-475F-B541-41B2027A4C20}" name="Column15799"/>
    <tableColumn id="15805" xr3:uid="{9B66D96A-FB4F-4799-AE4D-EDDA78364A94}" name="Column15800"/>
    <tableColumn id="15806" xr3:uid="{703D4B1A-3FA5-4887-9A72-0DC5D1CD3779}" name="Column15801"/>
    <tableColumn id="15807" xr3:uid="{CC83890F-6FA1-483F-9586-3367F69053AA}" name="Column15802"/>
    <tableColumn id="15808" xr3:uid="{39660408-169F-418B-9347-ACDD1A1C27FD}" name="Column15803"/>
    <tableColumn id="15809" xr3:uid="{CF4DE90E-D49D-42C0-A154-E733FF1057B8}" name="Column15804"/>
    <tableColumn id="15810" xr3:uid="{52783EC4-5927-4B93-B120-484E2B6B7A0E}" name="Column15805"/>
    <tableColumn id="15811" xr3:uid="{4B902C72-632B-47B9-9E5E-2E0147146BB1}" name="Column15806"/>
    <tableColumn id="15812" xr3:uid="{97646E66-E20D-4908-AC24-BA7BB8423AFB}" name="Column15807"/>
    <tableColumn id="15813" xr3:uid="{BF4AC74B-4F44-49D9-9B03-E9B506547481}" name="Column15808"/>
    <tableColumn id="15814" xr3:uid="{347FBF76-B344-416F-B412-68AD143F6B09}" name="Column15809"/>
    <tableColumn id="15815" xr3:uid="{1D61B570-E473-4591-B309-AEBBB7B9063C}" name="Column15810"/>
    <tableColumn id="15816" xr3:uid="{FFFFF74F-B4FB-4021-9758-9DF0ED5977F3}" name="Column15811"/>
    <tableColumn id="15817" xr3:uid="{36B04806-4D95-4BCB-B133-BD1A2BD348B4}" name="Column15812"/>
    <tableColumn id="15818" xr3:uid="{5EE02072-7EFC-4EBF-AE1B-5AC98E8FA547}" name="Column15813"/>
    <tableColumn id="15819" xr3:uid="{5EFBA60B-9047-4681-9554-DA9146CB3774}" name="Column15814"/>
    <tableColumn id="15820" xr3:uid="{B1F64357-5990-46A0-9D2E-F094F1F2BFFC}" name="Column15815"/>
    <tableColumn id="15821" xr3:uid="{48EAE847-B6F6-4B92-AA98-38DFEC66A202}" name="Column15816"/>
    <tableColumn id="15822" xr3:uid="{461CAA7D-AA0A-4E9E-B5D3-4413A761C1DB}" name="Column15817"/>
    <tableColumn id="15823" xr3:uid="{4C945862-5BE6-4959-83D8-64BB5E4EF00B}" name="Column15818"/>
    <tableColumn id="15824" xr3:uid="{9C3C115B-8828-4A4B-BA2C-4FDD027538E2}" name="Column15819"/>
    <tableColumn id="15825" xr3:uid="{13EAAC29-EE8E-4E75-9E55-BADB847F7CED}" name="Column15820"/>
    <tableColumn id="15826" xr3:uid="{51E081C5-AC29-4F7B-9892-72453A01F3BB}" name="Column15821"/>
    <tableColumn id="15827" xr3:uid="{53D5BA33-B29B-4DC2-BEC0-C6A244D968F5}" name="Column15822"/>
    <tableColumn id="15828" xr3:uid="{2B30D421-D926-487B-AD3C-A8364BD13684}" name="Column15823"/>
    <tableColumn id="15829" xr3:uid="{090DEC05-1189-4FC7-A24E-8F1BE590CD05}" name="Column15824"/>
    <tableColumn id="15830" xr3:uid="{6E7E3C92-DD9C-4766-BC0B-39599CF1A7C7}" name="Column15825"/>
    <tableColumn id="15831" xr3:uid="{FF5F0634-310D-45D8-BD6D-51B0E98EC813}" name="Column15826"/>
    <tableColumn id="15832" xr3:uid="{4D6DBCF9-E5F9-4CD2-A722-A9B057C74AB9}" name="Column15827"/>
    <tableColumn id="15833" xr3:uid="{28CF3509-0AFF-45D9-B8AB-D3EBB32F03D8}" name="Column15828"/>
    <tableColumn id="15834" xr3:uid="{60D9A0B9-A373-4E61-8CF5-EEE07617CE7D}" name="Column15829"/>
    <tableColumn id="15835" xr3:uid="{744B1263-2E95-4EBD-8C07-F3597A967E16}" name="Column15830"/>
    <tableColumn id="15836" xr3:uid="{38FAB420-ED02-4106-A0D5-6BB99EF09485}" name="Column15831"/>
    <tableColumn id="15837" xr3:uid="{A790A490-D24F-4D17-8EB9-0A6F6F7E905E}" name="Column15832"/>
    <tableColumn id="15838" xr3:uid="{6A6996A7-2D41-41DD-A864-1750078C55C6}" name="Column15833"/>
    <tableColumn id="15839" xr3:uid="{9B77AB83-C5D2-43AD-B03E-47048B3129E5}" name="Column15834"/>
    <tableColumn id="15840" xr3:uid="{D4C295C3-3AAF-4AB7-8760-41DA5A7C4908}" name="Column15835"/>
    <tableColumn id="15841" xr3:uid="{FDAF358D-A57B-4AAE-87BE-25B4CC765792}" name="Column15836"/>
    <tableColumn id="15842" xr3:uid="{432BCB5E-1EFC-4DFF-A4C7-DC0648B6B3A0}" name="Column15837"/>
    <tableColumn id="15843" xr3:uid="{DFE0F405-9C3A-4B0B-AC88-3EFC515620BA}" name="Column15838"/>
    <tableColumn id="15844" xr3:uid="{068D2B19-6C0B-4613-B856-8390B9A0264A}" name="Column15839"/>
    <tableColumn id="15845" xr3:uid="{7B268880-5F76-4E69-AD07-4DA7EFB33AF0}" name="Column15840"/>
    <tableColumn id="15846" xr3:uid="{D753BC77-E891-4A12-A8E9-7E9397E72B08}" name="Column15841"/>
    <tableColumn id="15847" xr3:uid="{C7ACA6E9-841B-40B4-9C51-A600BD3292FC}" name="Column15842"/>
    <tableColumn id="15848" xr3:uid="{57AF7402-B8BE-4637-8646-BDF09F37360B}" name="Column15843"/>
    <tableColumn id="15849" xr3:uid="{E16E31C1-98D4-44D0-8365-56C0177D1686}" name="Column15844"/>
    <tableColumn id="15850" xr3:uid="{1CA0ADC9-7C12-4B5C-A3CE-2C2145B219BE}" name="Column15845"/>
    <tableColumn id="15851" xr3:uid="{A611210B-E1FB-4D18-8338-E48E24C9BA63}" name="Column15846"/>
    <tableColumn id="15852" xr3:uid="{90A4C00A-CB1E-46CE-BD1F-5ADB3066F7E6}" name="Column15847"/>
    <tableColumn id="15853" xr3:uid="{FDEE1B14-589E-4A4B-870D-8AFD307A4B37}" name="Column15848"/>
    <tableColumn id="15854" xr3:uid="{E04D0F6E-925C-4B1C-A96D-63F1FA402D15}" name="Column15849"/>
    <tableColumn id="15855" xr3:uid="{742FDAEF-46E9-45B6-8E70-4BF7ACA81866}" name="Column15850"/>
    <tableColumn id="15856" xr3:uid="{98EBDD3D-99A2-4AC3-A7B0-F326F66ED3F5}" name="Column15851"/>
    <tableColumn id="15857" xr3:uid="{E6C2AC20-23E5-4360-A460-9AF58D0950DB}" name="Column15852"/>
    <tableColumn id="15858" xr3:uid="{A37F9BE4-648F-495E-B152-209226AE4656}" name="Column15853"/>
    <tableColumn id="15859" xr3:uid="{6DB15DF4-06A0-481F-B701-19347BB36B75}" name="Column15854"/>
    <tableColumn id="15860" xr3:uid="{FAC2E4FD-BEA3-4BA2-9E23-A91F1C3E2580}" name="Column15855"/>
    <tableColumn id="15861" xr3:uid="{4D0D37F9-9740-4E3F-93C4-D9A2864A1625}" name="Column15856"/>
    <tableColumn id="15862" xr3:uid="{09F4A86F-91FF-4906-A9C1-B424D70841CB}" name="Column15857"/>
    <tableColumn id="15863" xr3:uid="{F20A0476-B040-4AC6-8499-0360F0467467}" name="Column15858"/>
    <tableColumn id="15864" xr3:uid="{BED671CB-F8CE-4FA9-B6FB-B94D3D2E0C41}" name="Column15859"/>
    <tableColumn id="15865" xr3:uid="{E5EF085D-67E2-4B6E-83D6-8E05DFCE6404}" name="Column15860"/>
    <tableColumn id="15866" xr3:uid="{81151E20-06C8-41A9-80B8-814D16967831}" name="Column15861"/>
    <tableColumn id="15867" xr3:uid="{2BCB70B9-78FC-4B0C-AE51-7721BA33CF2A}" name="Column15862"/>
    <tableColumn id="15868" xr3:uid="{5B221889-DED3-4D8B-8D0D-FEBA1446C41E}" name="Column15863"/>
    <tableColumn id="15869" xr3:uid="{41D35FF6-A49B-41FB-9EC0-958E59695093}" name="Column15864"/>
    <tableColumn id="15870" xr3:uid="{624469CD-AF1B-4F67-9F7C-AC839BFFFE7E}" name="Column15865"/>
    <tableColumn id="15871" xr3:uid="{9B9BDD69-A37A-4CB1-A162-C36092086730}" name="Column15866"/>
    <tableColumn id="15872" xr3:uid="{89AF8B37-06A6-4D7D-AFA1-C277330AA68E}" name="Column15867"/>
    <tableColumn id="15873" xr3:uid="{DC1F39F0-9A89-4D93-ADB8-1ABD3417BBAC}" name="Column15868"/>
    <tableColumn id="15874" xr3:uid="{BFD9F5FB-260F-423F-A710-326C0AD35AAF}" name="Column15869"/>
    <tableColumn id="15875" xr3:uid="{AB4C00CA-B3B2-4D0C-B637-9B8DFB60B00F}" name="Column15870"/>
    <tableColumn id="15876" xr3:uid="{882DFA27-3C9F-4676-8F60-5671D24BE3AF}" name="Column15871"/>
    <tableColumn id="15877" xr3:uid="{E1255966-AD9D-429B-BDFD-73BF6C2F1B9C}" name="Column15872"/>
    <tableColumn id="15878" xr3:uid="{00BF538A-B856-4253-A2D5-5DC75E26C3A3}" name="Column15873"/>
    <tableColumn id="15879" xr3:uid="{7B6CB2BC-DAE2-45D0-B0C9-DB841CE4873A}" name="Column15874"/>
    <tableColumn id="15880" xr3:uid="{80F62281-1048-48E1-951D-D1F85D7401EB}" name="Column15875"/>
    <tableColumn id="15881" xr3:uid="{C52D485E-C8AD-42FF-BBD1-354AC3388036}" name="Column15876"/>
    <tableColumn id="15882" xr3:uid="{497FC4A2-113A-47C3-8D96-2AF71CFF0F75}" name="Column15877"/>
    <tableColumn id="15883" xr3:uid="{BFB71DDD-A823-4C53-BF1B-B0417693D449}" name="Column15878"/>
    <tableColumn id="15884" xr3:uid="{01008A8C-F1B0-457E-BD25-42D0D3915B88}" name="Column15879"/>
    <tableColumn id="15885" xr3:uid="{B07BF7B9-1FBA-4815-806F-878AB6F51343}" name="Column15880"/>
    <tableColumn id="15886" xr3:uid="{1F1CA52C-9786-4F28-A1FF-618B4CC2B027}" name="Column15881"/>
    <tableColumn id="15887" xr3:uid="{26ADD2C5-ABA2-4012-A691-2AAEAC66C0CD}" name="Column15882"/>
    <tableColumn id="15888" xr3:uid="{23DBFED8-0018-4A3D-BE70-1970BA008607}" name="Column15883"/>
    <tableColumn id="15889" xr3:uid="{2399C63C-8F6B-4988-AB0F-1CE2653978F9}" name="Column15884"/>
    <tableColumn id="15890" xr3:uid="{B9E03B8C-8F89-4056-9897-1761B824394F}" name="Column15885"/>
    <tableColumn id="15891" xr3:uid="{38A3AEEA-83BD-4714-AA48-341591D14350}" name="Column15886"/>
    <tableColumn id="15892" xr3:uid="{600F6F9E-D219-4BFF-801C-B5E147F42B56}" name="Column15887"/>
    <tableColumn id="15893" xr3:uid="{8D7C785A-C719-4E4E-98DD-1FA365BA322E}" name="Column15888"/>
    <tableColumn id="15894" xr3:uid="{0F08F083-F4D3-42C1-8FA7-9E454B6545FE}" name="Column15889"/>
    <tableColumn id="15895" xr3:uid="{01390CA1-D107-4F1B-BC9A-CF4FF1EF2954}" name="Column15890"/>
    <tableColumn id="15896" xr3:uid="{1CB99807-4A1E-4BC7-BF9C-6688D516DBEF}" name="Column15891"/>
    <tableColumn id="15897" xr3:uid="{E4230544-8EB0-4170-897D-F12257D380CD}" name="Column15892"/>
    <tableColumn id="15898" xr3:uid="{E549C075-9990-49D1-BE5A-760CDC1B99A4}" name="Column15893"/>
    <tableColumn id="15899" xr3:uid="{D3566B84-393E-4ACE-9DEF-A97F46820243}" name="Column15894"/>
    <tableColumn id="15900" xr3:uid="{9377CFD1-9263-4657-85F3-324758A29732}" name="Column15895"/>
    <tableColumn id="15901" xr3:uid="{193B4991-71AC-4501-BED3-FB01A4A986B9}" name="Column15896"/>
    <tableColumn id="15902" xr3:uid="{26F3A934-7A8F-49BC-BEE2-D52F22056751}" name="Column15897"/>
    <tableColumn id="15903" xr3:uid="{ED75F94F-8BB2-4305-ABD1-18B6B72F34CE}" name="Column15898"/>
    <tableColumn id="15904" xr3:uid="{CB6D81CD-D00B-4994-B44C-D1C044F00209}" name="Column15899"/>
    <tableColumn id="15905" xr3:uid="{66A48786-C528-48B5-9692-0D6BD3122C6E}" name="Column15900"/>
    <tableColumn id="15906" xr3:uid="{83D8E6B9-6494-47A4-82FD-0DB088996C99}" name="Column15901"/>
    <tableColumn id="15907" xr3:uid="{B2EAB829-609D-4764-BB17-4D169686EBD5}" name="Column15902"/>
    <tableColumn id="15908" xr3:uid="{9553AEB6-E123-4D5A-B3D3-C61A9BA9D5C5}" name="Column15903"/>
    <tableColumn id="15909" xr3:uid="{439F1734-CBF5-47D3-8178-289FDCC228AC}" name="Column15904"/>
    <tableColumn id="15910" xr3:uid="{4FAAABDD-435B-479C-9D1E-29AA02839220}" name="Column15905"/>
    <tableColumn id="15911" xr3:uid="{BE397738-9285-4A8F-B49A-D95E26046CAF}" name="Column15906"/>
    <tableColumn id="15912" xr3:uid="{415F913B-5792-400E-AF7C-784C186F6953}" name="Column15907"/>
    <tableColumn id="15913" xr3:uid="{3CFFA053-D938-462B-8EAB-04565F733FDC}" name="Column15908"/>
    <tableColumn id="15914" xr3:uid="{45ACF6D6-87F1-4424-8A7B-9D2465E6A568}" name="Column15909"/>
    <tableColumn id="15915" xr3:uid="{21F298B9-445A-4DF6-A83B-2122FA47D0A1}" name="Column15910"/>
    <tableColumn id="15916" xr3:uid="{F93EA3B2-0035-4B93-A148-7A43D42BD51A}" name="Column15911"/>
    <tableColumn id="15917" xr3:uid="{9BC1B040-A0F3-4C86-975C-FECC29C7DF16}" name="Column15912"/>
    <tableColumn id="15918" xr3:uid="{2B79073F-4DC0-472E-AFAA-2952A6DBF71E}" name="Column15913"/>
    <tableColumn id="15919" xr3:uid="{4DFA2980-D025-428B-83EF-8752B634BF39}" name="Column15914"/>
    <tableColumn id="15920" xr3:uid="{EB9C56D2-56B4-45BD-88D3-94B033F0DE0B}" name="Column15915"/>
    <tableColumn id="15921" xr3:uid="{EDCDF82C-81AF-43A5-959E-0B2DEF48A3AC}" name="Column15916"/>
    <tableColumn id="15922" xr3:uid="{0CF336C2-035C-4C0F-A935-5E82CABD62BD}" name="Column15917"/>
    <tableColumn id="15923" xr3:uid="{51C07B2C-C072-4331-B658-E4C66F01A1ED}" name="Column15918"/>
    <tableColumn id="15924" xr3:uid="{C91E4FF4-E030-42A1-99BF-C7714D6F4715}" name="Column15919"/>
    <tableColumn id="15925" xr3:uid="{91AD292C-2EE8-4258-923F-CDA4CC823E74}" name="Column15920"/>
    <tableColumn id="15926" xr3:uid="{E07E10BB-B663-48B6-AC55-C14C8579BDFE}" name="Column15921"/>
    <tableColumn id="15927" xr3:uid="{324FDAB7-6856-4020-BAE8-1ABAC551A3A6}" name="Column15922"/>
    <tableColumn id="15928" xr3:uid="{13148CF2-C2EA-4171-97AB-FB422F7A91DC}" name="Column15923"/>
    <tableColumn id="15929" xr3:uid="{C6D16845-F077-4BC6-8C08-BA01FECB4BA6}" name="Column15924"/>
    <tableColumn id="15930" xr3:uid="{749EA8CE-E3BE-4697-BC17-E23D00A9AB34}" name="Column15925"/>
    <tableColumn id="15931" xr3:uid="{50C6EE39-5C58-4661-ADA5-9337535EB456}" name="Column15926"/>
    <tableColumn id="15932" xr3:uid="{2B1404CD-1A81-47E2-BC9F-6501D7DAF453}" name="Column15927"/>
    <tableColumn id="15933" xr3:uid="{6C4D2E24-4FA4-4FE1-840B-7994655101EA}" name="Column15928"/>
    <tableColumn id="15934" xr3:uid="{B2B4F95C-5C90-40E0-BAB4-39557E113921}" name="Column15929"/>
    <tableColumn id="15935" xr3:uid="{A441E16F-91A1-4977-B330-753FA9ACEB17}" name="Column15930"/>
    <tableColumn id="15936" xr3:uid="{62DE4DE6-D12A-469E-95CE-4DB1CEC1E90B}" name="Column15931"/>
    <tableColumn id="15937" xr3:uid="{A23BBD41-9FBE-422A-8DB1-63CFC4933DFC}" name="Column15932"/>
    <tableColumn id="15938" xr3:uid="{9FE35B77-EF0C-42E3-90FE-D20E15D2A452}" name="Column15933"/>
    <tableColumn id="15939" xr3:uid="{10167419-B5B2-4486-A1F1-0F1DFB88BD1A}" name="Column15934"/>
    <tableColumn id="15940" xr3:uid="{55DCA3E2-A0C0-48EC-B144-124BF4CFB117}" name="Column15935"/>
    <tableColumn id="15941" xr3:uid="{71329A63-CAA5-4B39-8969-8A7777E37297}" name="Column15936"/>
    <tableColumn id="15942" xr3:uid="{DC7E0B43-7F4F-418C-AAB7-361C4D5D2DC5}" name="Column15937"/>
    <tableColumn id="15943" xr3:uid="{83FB520E-78B9-43CC-B717-978627FA7825}" name="Column15938"/>
    <tableColumn id="15944" xr3:uid="{CDFC93D3-D13E-4056-88EB-CAF5CAD9AC84}" name="Column15939"/>
    <tableColumn id="15945" xr3:uid="{87CB2BDA-324A-49CB-BD85-403FC52EE641}" name="Column15940"/>
    <tableColumn id="15946" xr3:uid="{0D65655F-4ADA-4469-A80A-910A77D4DC96}" name="Column15941"/>
    <tableColumn id="15947" xr3:uid="{7E6F83D1-64DD-468D-9BD2-353F6474AEB6}" name="Column15942"/>
    <tableColumn id="15948" xr3:uid="{8BEF37F4-FED0-4930-B106-6BD9E23B3600}" name="Column15943"/>
    <tableColumn id="15949" xr3:uid="{DCA52284-CDA8-43BB-9F9E-20B1DE7D4C8E}" name="Column15944"/>
    <tableColumn id="15950" xr3:uid="{C921F4C4-C8C1-4DC6-B1D1-88F83F946184}" name="Column15945"/>
    <tableColumn id="15951" xr3:uid="{698CA28B-D382-43D0-85D1-0FE5557E0853}" name="Column15946"/>
    <tableColumn id="15952" xr3:uid="{536AE045-F3BB-4F13-AA82-06DB1D777506}" name="Column15947"/>
    <tableColumn id="15953" xr3:uid="{C5ACD0A6-51A9-47E5-B769-7EE8418B3D97}" name="Column15948"/>
    <tableColumn id="15954" xr3:uid="{60F24E26-EF7A-4B14-9B3D-FB54DD91C195}" name="Column15949"/>
    <tableColumn id="15955" xr3:uid="{85CE9775-16B9-4BF7-8EFB-01F5F850E16E}" name="Column15950"/>
    <tableColumn id="15956" xr3:uid="{5FD36615-451D-4CD2-BE50-69D2C3751FCF}" name="Column15951"/>
    <tableColumn id="15957" xr3:uid="{7D3FE918-327C-4371-9F0C-E0D9869A0813}" name="Column15952"/>
    <tableColumn id="15958" xr3:uid="{E72606A2-54B9-4469-84AA-5D47F80B3F02}" name="Column15953"/>
    <tableColumn id="15959" xr3:uid="{55D982FC-A160-4212-B9D1-B9FCACFB9E16}" name="Column15954"/>
    <tableColumn id="15960" xr3:uid="{8C5C9AD0-3288-45F2-8C7B-F3CFBB0EC7C8}" name="Column15955"/>
    <tableColumn id="15961" xr3:uid="{460364BD-2039-4591-9121-40DFF7056EA8}" name="Column15956"/>
    <tableColumn id="15962" xr3:uid="{85854D67-BA87-4D7C-8316-3B230A256627}" name="Column15957"/>
    <tableColumn id="15963" xr3:uid="{BAF90773-AEB9-493C-954D-7054EFD086C7}" name="Column15958"/>
    <tableColumn id="15964" xr3:uid="{F5EC2F36-79BF-4A3E-BF58-327065E9F46D}" name="Column15959"/>
    <tableColumn id="15965" xr3:uid="{E3AD0266-2A42-4306-B733-52DF94ADBD7A}" name="Column15960"/>
    <tableColumn id="15966" xr3:uid="{8905B23F-00C3-40E6-806B-CA734902B566}" name="Column15961"/>
    <tableColumn id="15967" xr3:uid="{51FC7500-1BC7-461E-95DE-3128690E719D}" name="Column15962"/>
    <tableColumn id="15968" xr3:uid="{8BA44051-1835-4645-A18D-2CC34212E95C}" name="Column15963"/>
    <tableColumn id="15969" xr3:uid="{1FA1244B-2248-4A81-971F-C14ADF9039D9}" name="Column15964"/>
    <tableColumn id="15970" xr3:uid="{A4F61C0B-EAC9-4B54-9331-5D2C1AE8FA30}" name="Column15965"/>
    <tableColumn id="15971" xr3:uid="{1B54FFEF-F5DA-4418-BAE9-045C9F08C131}" name="Column15966"/>
    <tableColumn id="15972" xr3:uid="{0444DC4E-CD5D-443E-90A5-29BBDD0EAAD8}" name="Column15967"/>
    <tableColumn id="15973" xr3:uid="{8316E0AC-DF4A-41A4-A921-A1C57277B17A}" name="Column15968"/>
    <tableColumn id="15974" xr3:uid="{917B8124-2CBF-44D0-AE70-8030D68E9089}" name="Column15969"/>
    <tableColumn id="15975" xr3:uid="{FB339E19-F96E-469F-A54D-499271CF37E5}" name="Column15970"/>
    <tableColumn id="15976" xr3:uid="{2C597FCD-F1C9-4FC1-AD21-3F390E80DC0F}" name="Column15971"/>
    <tableColumn id="15977" xr3:uid="{16044760-AC84-49F0-9BCE-8AF000478FBA}" name="Column15972"/>
    <tableColumn id="15978" xr3:uid="{8EE57D18-815E-41BD-8C7B-4E386853E89D}" name="Column15973"/>
    <tableColumn id="15979" xr3:uid="{D6A2DC3D-60B6-4400-B68D-5E2C97096A2F}" name="Column15974"/>
    <tableColumn id="15980" xr3:uid="{E11C76E9-F188-4659-B02D-93709A7C444E}" name="Column15975"/>
    <tableColumn id="15981" xr3:uid="{5EF1BB9F-96E1-40B2-BE6C-6378ADC96B0A}" name="Column15976"/>
    <tableColumn id="15982" xr3:uid="{C5EA48BD-CC4F-4D1D-B004-3B315BE24298}" name="Column15977"/>
    <tableColumn id="15983" xr3:uid="{45CC6454-29B9-4CFF-9DE9-6F7A2C6B029B}" name="Column15978"/>
    <tableColumn id="15984" xr3:uid="{0756866F-C859-4A06-9E08-8E0B3735ECD4}" name="Column15979"/>
    <tableColumn id="15985" xr3:uid="{24F129F7-1F2F-4ADB-90D3-534057C21DCC}" name="Column15980"/>
    <tableColumn id="15986" xr3:uid="{20A5220F-B69F-4273-A453-9D0434F2129B}" name="Column15981"/>
    <tableColumn id="15987" xr3:uid="{D69EE50F-06CD-404D-8988-421E6394F954}" name="Column15982"/>
    <tableColumn id="15988" xr3:uid="{EEBBD1D0-4DD7-4D8B-92B6-1452E31F3358}" name="Column15983"/>
    <tableColumn id="15989" xr3:uid="{01DC374B-E336-4498-85C2-7DF4911AB6EF}" name="Column15984"/>
    <tableColumn id="15990" xr3:uid="{075849DC-F75D-4CCF-8B7E-4F35DCF99DAC}" name="Column15985"/>
    <tableColumn id="15991" xr3:uid="{44C1601A-5327-406D-A957-378618B92950}" name="Column15986"/>
    <tableColumn id="15992" xr3:uid="{0D595309-721C-4FC3-9AF3-9DA60E0F73F4}" name="Column15987"/>
    <tableColumn id="15993" xr3:uid="{6DA328C9-4597-44F9-AE40-56B1849CF10E}" name="Column15988"/>
    <tableColumn id="15994" xr3:uid="{D2B2903A-7EEA-4E8E-A2C3-12876C7DD45E}" name="Column15989"/>
    <tableColumn id="15995" xr3:uid="{EE88EDE5-E12E-4CF2-B358-A13A28FBD141}" name="Column15990"/>
    <tableColumn id="15996" xr3:uid="{ACCE870B-873F-4F85-AD29-DB30AB349EBC}" name="Column15991"/>
    <tableColumn id="15997" xr3:uid="{8E53C2C3-D9A6-4965-91D3-02A53B8784A2}" name="Column15992"/>
    <tableColumn id="15998" xr3:uid="{0C14975D-F16F-47A6-A0C2-42B140EBF647}" name="Column15993"/>
    <tableColumn id="15999" xr3:uid="{278C949C-8022-4F82-8CB1-EB119CE683F7}" name="Column15994"/>
    <tableColumn id="16000" xr3:uid="{60B0A7A6-11B0-4A65-90E0-E78B0A981CD4}" name="Column15995"/>
    <tableColumn id="16001" xr3:uid="{016BFEBD-0A36-462F-863C-A3411913588A}" name="Column15996"/>
    <tableColumn id="16002" xr3:uid="{D13A07DB-953B-467E-AA87-444B9CD8529F}" name="Column15997"/>
    <tableColumn id="16003" xr3:uid="{1CF66FAA-EE5F-4FF5-A9B4-8DEC78F88173}" name="Column15998"/>
    <tableColumn id="16004" xr3:uid="{F1190FB2-5C2B-4DCD-A5D2-3E073966260D}" name="Column15999"/>
    <tableColumn id="16005" xr3:uid="{650A7305-4433-4D89-8D17-2806DB19BA5D}" name="Column16000"/>
    <tableColumn id="16006" xr3:uid="{7D7A91EE-544B-450E-A255-6C16D1E37217}" name="Column16001"/>
    <tableColumn id="16007" xr3:uid="{BCC5FA87-2C1E-48E2-831E-6AF510040B4A}" name="Column16002"/>
    <tableColumn id="16008" xr3:uid="{1EB39C44-7A32-437A-AE29-C08A356F8755}" name="Column16003"/>
    <tableColumn id="16009" xr3:uid="{9A492245-F5D9-4E79-95D4-258790D60C08}" name="Column16004"/>
    <tableColumn id="16010" xr3:uid="{352047FD-770B-4778-BABC-2EC2D75991D0}" name="Column16005"/>
    <tableColumn id="16011" xr3:uid="{C1396988-8D96-42C2-B6C0-608C1F409ED1}" name="Column16006"/>
    <tableColumn id="16012" xr3:uid="{7F616BD8-AD1D-445D-91B3-8BC5A06FAA12}" name="Column16007"/>
    <tableColumn id="16013" xr3:uid="{DD4A4422-728F-4DE4-A75C-E4DF8905B961}" name="Column16008"/>
    <tableColumn id="16014" xr3:uid="{9A83B57E-0221-4DBE-99D7-C54A30327FCF}" name="Column16009"/>
    <tableColumn id="16015" xr3:uid="{281CDA22-B19C-45FF-A09A-BB619FE242A6}" name="Column16010"/>
    <tableColumn id="16016" xr3:uid="{C715E38D-4E16-48D5-83AB-03E6C119CF69}" name="Column16011"/>
    <tableColumn id="16017" xr3:uid="{065A2F11-B454-4593-BB3C-43B8CB5EE4B0}" name="Column16012"/>
    <tableColumn id="16018" xr3:uid="{55E8D7BB-5764-4383-9D59-857F0C4FDF17}" name="Column16013"/>
    <tableColumn id="16019" xr3:uid="{D4C4902A-88AC-431E-A46A-D1C688618CA6}" name="Column16014"/>
    <tableColumn id="16020" xr3:uid="{21FDB20E-518E-468F-9FFC-879E11F760FD}" name="Column16015"/>
    <tableColumn id="16021" xr3:uid="{118EFB5D-BC26-4B53-BBC8-949D2BCF849B}" name="Column16016"/>
    <tableColumn id="16022" xr3:uid="{BBDB228E-90F0-4C87-8F8A-A77A7557F45D}" name="Column16017"/>
    <tableColumn id="16023" xr3:uid="{FA85287C-DECA-4897-AF7D-3F30084856AF}" name="Column16018"/>
    <tableColumn id="16024" xr3:uid="{FE704112-4C48-46DE-B541-00C06BCDDF7A}" name="Column16019"/>
    <tableColumn id="16025" xr3:uid="{6013EA2B-297D-41B1-8325-79F34F62CB5D}" name="Column16020"/>
    <tableColumn id="16026" xr3:uid="{40CCD732-5E71-485A-9710-2848E22B0617}" name="Column16021"/>
    <tableColumn id="16027" xr3:uid="{D7753D41-69A5-433B-99D6-4B9BD43A9DB1}" name="Column16022"/>
    <tableColumn id="16028" xr3:uid="{53F8D65A-A4D5-457A-AA42-F3F1CAFCAACD}" name="Column16023"/>
    <tableColumn id="16029" xr3:uid="{1B158A94-A197-4375-A221-D275CB232092}" name="Column16024"/>
    <tableColumn id="16030" xr3:uid="{9F9C0C33-C5B8-434C-8937-87DB3F0E9456}" name="Column16025"/>
    <tableColumn id="16031" xr3:uid="{0B59BAC3-5AA0-4B52-B3B2-9D7F1F69712A}" name="Column16026"/>
    <tableColumn id="16032" xr3:uid="{AA234A1A-B3D8-4A89-BC94-F4F4BC31AD6C}" name="Column16027"/>
    <tableColumn id="16033" xr3:uid="{63544D75-6149-47AB-A676-A8469EFA70FE}" name="Column16028"/>
    <tableColumn id="16034" xr3:uid="{CB784B33-5B7F-4C56-828E-671F4AE69CE4}" name="Column16029"/>
    <tableColumn id="16035" xr3:uid="{CF0F7D75-89DE-46BA-966C-6376DA9CF6D4}" name="Column16030"/>
    <tableColumn id="16036" xr3:uid="{00931BAA-6466-4C4A-BD02-091921514ECA}" name="Column16031"/>
    <tableColumn id="16037" xr3:uid="{8743F6BC-BCC6-4579-B390-92DCAB155398}" name="Column16032"/>
    <tableColumn id="16038" xr3:uid="{EC603665-CEE9-4290-A39B-CD3C09DB824C}" name="Column16033"/>
    <tableColumn id="16039" xr3:uid="{E92EAAB8-28F6-4CCC-9720-4FF266222804}" name="Column16034"/>
    <tableColumn id="16040" xr3:uid="{C66C7BE0-8E65-4C72-AF59-7C4D09B0190C}" name="Column16035"/>
    <tableColumn id="16041" xr3:uid="{96905340-AE25-4771-AC5B-F6340179B72E}" name="Column16036"/>
    <tableColumn id="16042" xr3:uid="{52D22B33-342E-49AE-BD5F-E22C99BBFD17}" name="Column16037"/>
    <tableColumn id="16043" xr3:uid="{B472DE68-1639-424D-8BD9-5CBBC00BEBA8}" name="Column16038"/>
    <tableColumn id="16044" xr3:uid="{65495364-7EC3-43FC-A06F-34AB8CE97D5A}" name="Column16039"/>
    <tableColumn id="16045" xr3:uid="{B1C963AF-8E7F-4D85-A811-6A69B547C4E9}" name="Column16040"/>
    <tableColumn id="16046" xr3:uid="{9EC2011D-4052-4FA8-9747-04C71ABB3F65}" name="Column16041"/>
    <tableColumn id="16047" xr3:uid="{82A5DE63-8137-411D-B8E7-9FFBFFCBE759}" name="Column16042"/>
    <tableColumn id="16048" xr3:uid="{1E293298-638B-4C91-BE53-C26092595863}" name="Column16043"/>
    <tableColumn id="16049" xr3:uid="{77E09FB2-F601-4A60-AEF6-F6948B909DD0}" name="Column16044"/>
    <tableColumn id="16050" xr3:uid="{C42DBF37-FD85-476C-BB11-338BCF7645F7}" name="Column16045"/>
    <tableColumn id="16051" xr3:uid="{4E0DB90F-38F6-4A79-9691-41DAC958527B}" name="Column16046"/>
    <tableColumn id="16052" xr3:uid="{00ACE617-5542-48DB-AAE0-A451BD479A85}" name="Column16047"/>
    <tableColumn id="16053" xr3:uid="{19DA0A52-64DC-4F30-89DC-AC026725C19D}" name="Column16048"/>
    <tableColumn id="16054" xr3:uid="{B3BE27EF-C129-4B68-B88D-C60AE109A7FE}" name="Column16049"/>
    <tableColumn id="16055" xr3:uid="{3936AAA6-8D6D-4360-9D7A-8950BCFDC804}" name="Column16050"/>
    <tableColumn id="16056" xr3:uid="{9E60D3B7-0CA0-4BE3-B9B0-04FDD0F8E3EF}" name="Column16051"/>
    <tableColumn id="16057" xr3:uid="{96C0E8BB-1B4C-467B-9B32-011448F49AD1}" name="Column16052"/>
    <tableColumn id="16058" xr3:uid="{C60E9ACD-3E83-487D-93C3-7383D5E932AC}" name="Column16053"/>
    <tableColumn id="16059" xr3:uid="{23BB452D-F5EA-4B71-A0E4-12DCD627A705}" name="Column16054"/>
    <tableColumn id="16060" xr3:uid="{021728D4-F1B4-4016-837E-50E2FB913739}" name="Column16055"/>
    <tableColumn id="16061" xr3:uid="{2B37B32D-C548-4482-9E92-3AA138F1070A}" name="Column16056"/>
    <tableColumn id="16062" xr3:uid="{D51329DA-C0D0-4572-B31C-6B42EBCC4039}" name="Column16057"/>
    <tableColumn id="16063" xr3:uid="{6BB14A28-54A6-42D1-B924-395F7211BCA5}" name="Column16058"/>
    <tableColumn id="16064" xr3:uid="{8368B2BA-1347-41D5-B265-3FD11A86D685}" name="Column16059"/>
    <tableColumn id="16065" xr3:uid="{C46F8BDA-F466-47A3-95ED-1ABB65EEF650}" name="Column16060"/>
    <tableColumn id="16066" xr3:uid="{82C27263-29F2-44B8-B2C8-69D23E57F11E}" name="Column16061"/>
    <tableColumn id="16067" xr3:uid="{92FADEBB-78F4-43F7-AA20-48E8529B0543}" name="Column16062"/>
    <tableColumn id="16068" xr3:uid="{97E5074D-DB61-4316-9BC4-3C5DFCC5DAB6}" name="Column16063"/>
    <tableColumn id="16069" xr3:uid="{E74ED97D-DD2A-410B-8100-64951B114401}" name="Column16064"/>
    <tableColumn id="16070" xr3:uid="{7D99FD52-17EE-4981-B1CA-FD48DD5A1114}" name="Column16065"/>
    <tableColumn id="16071" xr3:uid="{C95B782C-D7F1-4722-8F5B-A03A080486C3}" name="Column16066"/>
    <tableColumn id="16072" xr3:uid="{ADDC860E-C0E6-4E57-A7F6-E7B05B13E964}" name="Column16067"/>
    <tableColumn id="16073" xr3:uid="{D92480A4-470E-448F-83DD-8DFC255CD034}" name="Column16068"/>
    <tableColumn id="16074" xr3:uid="{66853047-B61E-4140-B17B-405DCC7E8E62}" name="Column16069"/>
    <tableColumn id="16075" xr3:uid="{719D8C16-39E7-40BE-AE4C-4DC1682A4C57}" name="Column16070"/>
    <tableColumn id="16076" xr3:uid="{84497D91-4218-4AF1-AAEC-C8ED3B73AC70}" name="Column16071"/>
    <tableColumn id="16077" xr3:uid="{6D26B052-1ABF-44EF-BFA4-3260339A5413}" name="Column16072"/>
    <tableColumn id="16078" xr3:uid="{261A8DF3-2672-4D1C-80F6-2986DA9E7093}" name="Column16073"/>
    <tableColumn id="16079" xr3:uid="{A11FDE4A-D2F5-41BF-BE58-A075BE17E3FD}" name="Column16074"/>
    <tableColumn id="16080" xr3:uid="{4E588430-F8B1-4CBF-9EF7-4FFBF3D126A0}" name="Column16075"/>
    <tableColumn id="16081" xr3:uid="{645B2B41-0B42-4941-AA85-97CB679D3579}" name="Column16076"/>
    <tableColumn id="16082" xr3:uid="{3DBCE5E5-C6D5-4225-9CB5-56FC2F59E59D}" name="Column16077"/>
    <tableColumn id="16083" xr3:uid="{3D695B3C-DD6D-467A-B9B8-F2A1C1399E01}" name="Column16078"/>
    <tableColumn id="16084" xr3:uid="{7B87D2EF-14BE-4169-8AFC-ED18B126AB61}" name="Column16079"/>
    <tableColumn id="16085" xr3:uid="{2C33519F-7343-4AA3-B0DD-010A2B89B72B}" name="Column16080"/>
    <tableColumn id="16086" xr3:uid="{F361FC93-6DCF-4DC3-A700-3ABA9BEFB627}" name="Column16081"/>
    <tableColumn id="16087" xr3:uid="{94A70945-CA0B-41E2-B59F-8671CEDC4385}" name="Column16082"/>
    <tableColumn id="16088" xr3:uid="{BD2E6D91-892A-425B-97B1-8A567A77D303}" name="Column16083"/>
    <tableColumn id="16089" xr3:uid="{60A515D1-7D57-4C82-8D67-BF7F484A1430}" name="Column16084"/>
    <tableColumn id="16090" xr3:uid="{A9AA1F2D-A101-4552-9584-7A2FEA64A82F}" name="Column16085"/>
    <tableColumn id="16091" xr3:uid="{FAC87636-2D34-463A-8E1D-8FCDE0E77925}" name="Column16086"/>
    <tableColumn id="16092" xr3:uid="{F251DEA2-834B-486F-86BC-489498F55FEE}" name="Column16087"/>
    <tableColumn id="16093" xr3:uid="{9F7AA808-FC9C-498B-ABD6-D1FA7CE8C401}" name="Column16088"/>
    <tableColumn id="16094" xr3:uid="{A81FF409-2FFC-4CDB-9119-670FA0EEC824}" name="Column16089"/>
    <tableColumn id="16095" xr3:uid="{C4B0452A-68C3-4A91-9D2F-6170AE3451F8}" name="Column16090"/>
    <tableColumn id="16096" xr3:uid="{548DD4E7-A038-454E-BECD-9698FFEB4AFA}" name="Column16091"/>
    <tableColumn id="16097" xr3:uid="{69834BD0-C65F-47DE-8923-7E86A3CF5A7F}" name="Column16092"/>
    <tableColumn id="16098" xr3:uid="{B7F51078-539B-4258-A022-3FF76B6C51DB}" name="Column16093"/>
    <tableColumn id="16099" xr3:uid="{7038BA1C-BEEB-4DA1-9E45-4A02CB4BB4A3}" name="Column16094"/>
    <tableColumn id="16100" xr3:uid="{883759B1-E6B1-4C9F-AE1C-AA64BEF625D3}" name="Column16095"/>
    <tableColumn id="16101" xr3:uid="{5364D18A-6260-44CF-83BD-C232B668A677}" name="Column16096"/>
    <tableColumn id="16102" xr3:uid="{A3B21A35-40B3-44B7-90EB-719B34B16907}" name="Column16097"/>
    <tableColumn id="16103" xr3:uid="{CEB04D6B-313C-4F02-A0DB-069D575CB204}" name="Column16098"/>
    <tableColumn id="16104" xr3:uid="{13CDB849-A32F-4951-AFBE-10EC4E87E07E}" name="Column16099"/>
    <tableColumn id="16105" xr3:uid="{FB55B9A5-B26E-4720-ADAB-6968CD283B8E}" name="Column16100"/>
    <tableColumn id="16106" xr3:uid="{1C01E383-C657-4BC5-8C79-B6AE16CCD715}" name="Column16101"/>
    <tableColumn id="16107" xr3:uid="{201C873C-4DBC-4F93-8627-2E1EE4F9199A}" name="Column16102"/>
    <tableColumn id="16108" xr3:uid="{0561A7DE-499A-47DE-ADE8-35988AAD2F66}" name="Column16103"/>
    <tableColumn id="16109" xr3:uid="{6AE80F84-D77A-46FB-B65E-672A17760122}" name="Column16104"/>
    <tableColumn id="16110" xr3:uid="{0C738D58-F25A-4B6C-9157-01F3C6387D91}" name="Column16105"/>
    <tableColumn id="16111" xr3:uid="{3AF77DE9-D6BB-45A4-8874-C792BDAC10CA}" name="Column16106"/>
    <tableColumn id="16112" xr3:uid="{8DB5EC68-C223-4566-9063-1AC2CBDE7AAC}" name="Column16107"/>
    <tableColumn id="16113" xr3:uid="{296651FA-5280-486E-9121-546E32C4457F}" name="Column16108"/>
    <tableColumn id="16114" xr3:uid="{E78586FA-FC5E-46F9-A27C-E0E1B528AB93}" name="Column16109"/>
    <tableColumn id="16115" xr3:uid="{979240B1-ABFC-418E-A952-D22B94FFCBFA}" name="Column16110"/>
    <tableColumn id="16116" xr3:uid="{FE2B49C0-805E-4840-8349-0DC4533DFD31}" name="Column16111"/>
    <tableColumn id="16117" xr3:uid="{8450F570-0A17-4F0A-9FEE-35ABDE73A699}" name="Column16112"/>
    <tableColumn id="16118" xr3:uid="{428B5034-6793-4ED2-A313-70D7D3B62BC6}" name="Column16113"/>
    <tableColumn id="16119" xr3:uid="{B9150A68-C31C-4CE1-8E33-557C4B665377}" name="Column16114"/>
    <tableColumn id="16120" xr3:uid="{4AB7140C-8CD7-40A3-877B-B079C45048D0}" name="Column16115"/>
    <tableColumn id="16121" xr3:uid="{85D56B67-7479-4E21-BB1E-1E91E85FEC6F}" name="Column16116"/>
    <tableColumn id="16122" xr3:uid="{56A180AC-870F-4B73-9F4E-39DF136077ED}" name="Column16117"/>
    <tableColumn id="16123" xr3:uid="{F20C1ED7-7681-462F-BD50-CB80027C78F9}" name="Column16118"/>
    <tableColumn id="16124" xr3:uid="{FA03C229-1B05-48EA-A1EC-E3210758A408}" name="Column16119"/>
    <tableColumn id="16125" xr3:uid="{C95DC0D4-BA70-470E-A379-4972E655B6F6}" name="Column16120"/>
    <tableColumn id="16126" xr3:uid="{BA975683-04E3-49D5-9C77-DC11B642B303}" name="Column16121"/>
    <tableColumn id="16127" xr3:uid="{E002CCF3-5B94-48B7-938F-459203BF1B0F}" name="Column16122"/>
    <tableColumn id="16128" xr3:uid="{C1D54408-342E-415F-BB7C-260CDEE82028}" name="Column16123"/>
    <tableColumn id="16129" xr3:uid="{C99279F0-A7AC-4B78-881A-FCAAFB024F51}" name="Column16124"/>
    <tableColumn id="16130" xr3:uid="{961C0D19-D175-4559-A74C-466C65464725}" name="Column16125"/>
    <tableColumn id="16131" xr3:uid="{A342EBFA-0411-4D44-B058-7119B92A2E47}" name="Column16126"/>
    <tableColumn id="16132" xr3:uid="{442B87B7-EE0F-4D27-B01A-39C4B3CED9F3}" name="Column16127"/>
    <tableColumn id="16133" xr3:uid="{B8EFC3AC-A6B6-4385-861B-D5DE9607ECCF}" name="Column16128"/>
    <tableColumn id="16134" xr3:uid="{185D7771-9CEA-458D-AD93-8D7E727ED08F}" name="Column16129"/>
    <tableColumn id="16135" xr3:uid="{428BDFA2-A5EA-4F93-96E1-736F56B57D54}" name="Column16130"/>
    <tableColumn id="16136" xr3:uid="{8D03F112-48B4-4935-85DE-CA1CC0538736}" name="Column16131"/>
    <tableColumn id="16137" xr3:uid="{8B5430A2-5B8A-439C-AE3E-7ADB7CC89F35}" name="Column16132"/>
    <tableColumn id="16138" xr3:uid="{2809C5FC-7F94-4303-B50C-35AC7323EFED}" name="Column16133"/>
    <tableColumn id="16139" xr3:uid="{D4428F60-2D75-4A4A-8B30-6127A0A7A8E4}" name="Column16134"/>
    <tableColumn id="16140" xr3:uid="{958D5EC7-EA78-42F0-9D8D-54AA9C6D2670}" name="Column16135"/>
    <tableColumn id="16141" xr3:uid="{2264B53A-3FAA-45C1-AB5D-D7EBF500E63F}" name="Column16136"/>
    <tableColumn id="16142" xr3:uid="{9BB441EE-8AE5-43C0-97EF-F93B5D21D8E4}" name="Column16137"/>
    <tableColumn id="16143" xr3:uid="{E9FB7177-FEAE-40EA-A1FA-DB46A5EDD0DC}" name="Column16138"/>
    <tableColumn id="16144" xr3:uid="{B2F5151A-59C3-4A64-9EEC-7B8B1FD9AC74}" name="Column16139"/>
    <tableColumn id="16145" xr3:uid="{7DE5A9E0-93F9-4C6E-BAB7-C648B8773B75}" name="Column16140"/>
    <tableColumn id="16146" xr3:uid="{F218CB21-F366-4B5F-84C9-8F5FB91AF12A}" name="Column16141"/>
    <tableColumn id="16147" xr3:uid="{EF62C1B9-C183-4613-8922-164AEA5F2E77}" name="Column16142"/>
    <tableColumn id="16148" xr3:uid="{C18B3991-1A9D-4566-8144-CD13C874AA10}" name="Column16143"/>
    <tableColumn id="16149" xr3:uid="{7BB621EB-A222-4D79-AF6A-DD4930D0B877}" name="Column16144"/>
    <tableColumn id="16150" xr3:uid="{D285BEB9-F0D3-492F-8641-BEB1853EA088}" name="Column16145"/>
    <tableColumn id="16151" xr3:uid="{5DCD2F0F-1544-4942-A2F5-8FC940EB8F81}" name="Column16146"/>
    <tableColumn id="16152" xr3:uid="{02FEB516-D05E-455E-B4AB-9976262AAC90}" name="Column16147"/>
    <tableColumn id="16153" xr3:uid="{68B018A1-8C9C-4BEE-B4C5-19D1F548E090}" name="Column16148"/>
    <tableColumn id="16154" xr3:uid="{02A8E402-C318-488B-90F4-E7CBD3E43163}" name="Column16149"/>
    <tableColumn id="16155" xr3:uid="{F35C88C5-8B6E-42DE-9826-500213EFD0A2}" name="Column16150"/>
    <tableColumn id="16156" xr3:uid="{D620DDED-6838-4700-B158-41C6B827520D}" name="Column16151"/>
    <tableColumn id="16157" xr3:uid="{DDE06536-1A83-49C8-833D-0AD8CFFF38BD}" name="Column16152"/>
    <tableColumn id="16158" xr3:uid="{ECCDDA1D-25D9-41CD-8D68-0DC8C6BDF106}" name="Column16153"/>
    <tableColumn id="16159" xr3:uid="{090C2313-B3FC-41CA-883D-22EC8AB44FF4}" name="Column16154"/>
    <tableColumn id="16160" xr3:uid="{9CC20BBF-269E-4729-A9BB-A8E074F3A44F}" name="Column16155"/>
    <tableColumn id="16161" xr3:uid="{7743E99D-A3AF-47FF-92F0-775F3DC8BDB2}" name="Column16156"/>
    <tableColumn id="16162" xr3:uid="{1FBFAD18-1D8A-4EB3-9E8A-8DBFAC49C76D}" name="Column16157"/>
    <tableColumn id="16163" xr3:uid="{1E41D5C9-8671-497F-A0E6-4E60C2EF5D6F}" name="Column16158"/>
    <tableColumn id="16164" xr3:uid="{C5AA102B-DDB3-4AEA-BB64-456581B9A72D}" name="Column16159"/>
    <tableColumn id="16165" xr3:uid="{BA3EFC3C-1FF8-4BEC-8A91-F50AB4D50110}" name="Column16160"/>
    <tableColumn id="16166" xr3:uid="{08A5C426-644D-473D-8420-6AAFB6E06BE1}" name="Column16161"/>
    <tableColumn id="16167" xr3:uid="{8A02C2E0-F596-421A-A63A-80738E51EC64}" name="Column16162"/>
    <tableColumn id="16168" xr3:uid="{8781E2B1-A88A-4DA9-8B26-E55419AD63C2}" name="Column16163"/>
    <tableColumn id="16169" xr3:uid="{0DB1C41A-2BBB-4447-9553-A4BC43FC57AB}" name="Column16164"/>
    <tableColumn id="16170" xr3:uid="{1A1A881F-F753-4AEC-B45E-0B74C966CEA2}" name="Column16165"/>
    <tableColumn id="16171" xr3:uid="{10BFBEA1-9389-4B41-B3D2-6ADED54F2A1A}" name="Column16166"/>
    <tableColumn id="16172" xr3:uid="{36A63A3E-3FE9-4765-A111-2DF7D815ECBC}" name="Column16167"/>
    <tableColumn id="16173" xr3:uid="{94B80D54-0D38-450A-AB4B-42C53B650EA3}" name="Column16168"/>
    <tableColumn id="16174" xr3:uid="{FE0B9179-8095-4BF4-B5A2-C9A7654F7E78}" name="Column16169"/>
    <tableColumn id="16175" xr3:uid="{D2260B74-5820-42F1-A7DD-696A57387077}" name="Column16170"/>
    <tableColumn id="16176" xr3:uid="{1B9F559A-7D9A-4342-8D4C-6EF7B7D98EB6}" name="Column16171"/>
    <tableColumn id="16177" xr3:uid="{F0CCF35F-A7FC-418F-BE91-8DAD92EA32F9}" name="Column16172"/>
    <tableColumn id="16178" xr3:uid="{3318CDDD-117E-4A89-B14F-39D71569ECD3}" name="Column16173"/>
    <tableColumn id="16179" xr3:uid="{3E0AD0EC-3A5D-4693-94AE-04345767E014}" name="Column16174"/>
    <tableColumn id="16180" xr3:uid="{B22F09DB-5B26-4B46-9628-119544C61DE6}" name="Column16175"/>
    <tableColumn id="16181" xr3:uid="{7B3030A3-628B-4FB3-A456-1A52C26F5EB0}" name="Column16176"/>
    <tableColumn id="16182" xr3:uid="{78AB46A7-C785-4CB3-A326-1723F2FEB385}" name="Column16177"/>
    <tableColumn id="16183" xr3:uid="{6749936D-CD29-4EB0-B5FE-C815BFCD42B7}" name="Column16178"/>
    <tableColumn id="16184" xr3:uid="{FC780C6B-B1D0-4092-A46C-B2F35BC4B055}" name="Column16179"/>
    <tableColumn id="16185" xr3:uid="{C9BB938A-E63F-4FD6-8FE6-EDF4CA6896A1}" name="Column16180"/>
    <tableColumn id="16186" xr3:uid="{73C9723F-38D9-4EE0-9C1A-35EA0ED4E4A8}" name="Column16181"/>
    <tableColumn id="16187" xr3:uid="{38B02B88-2A7D-4489-8C6C-A3908CCEA6B5}" name="Column16182"/>
    <tableColumn id="16188" xr3:uid="{FAC5AFC8-2DA6-4D19-ABCC-0A7198CC0B40}" name="Column16183"/>
    <tableColumn id="16189" xr3:uid="{D70DDE9D-724B-47E8-924A-488B18F73A54}" name="Column16184"/>
    <tableColumn id="16190" xr3:uid="{6CF806D8-47B2-43AC-A575-4BB4816785D5}" name="Column16185"/>
    <tableColumn id="16191" xr3:uid="{60F6BB71-6D0E-40AC-B858-77E6691A596B}" name="Column16186"/>
    <tableColumn id="16192" xr3:uid="{A288A40D-77CD-4435-82A7-530CAD80397C}" name="Column16187"/>
    <tableColumn id="16193" xr3:uid="{D72156C6-7378-4CB7-B7A9-A9A276014ADA}" name="Column16188"/>
    <tableColumn id="16194" xr3:uid="{F2F63916-6991-402B-8676-A25E15B30B3C}" name="Column16189"/>
    <tableColumn id="16195" xr3:uid="{1C999381-3C56-4FB5-BEC3-4564FD716FA3}" name="Column16190"/>
    <tableColumn id="16196" xr3:uid="{EF2F6FB6-16DB-43F4-BA5D-A3E4C6779087}" name="Column16191"/>
    <tableColumn id="16197" xr3:uid="{E236C8D1-A69D-4DC2-BB73-327629CA5E3B}" name="Column16192"/>
    <tableColumn id="16198" xr3:uid="{D546DFE9-BB39-42A5-82CF-156BB3692D3B}" name="Column16193"/>
    <tableColumn id="16199" xr3:uid="{E7739670-CA31-49E1-8993-2DF28521A737}" name="Column16194"/>
    <tableColumn id="16200" xr3:uid="{3B795790-19B3-4FDE-9C42-6F7B63EDC3C8}" name="Column16195"/>
    <tableColumn id="16201" xr3:uid="{51114FF1-64C8-494D-93DD-B63891647547}" name="Column16196"/>
    <tableColumn id="16202" xr3:uid="{2E68F65F-1955-4ED6-AE96-E9CA1691F6B1}" name="Column16197"/>
    <tableColumn id="16203" xr3:uid="{F9FBD332-D694-486E-87AF-80E9855E01F2}" name="Column16198"/>
    <tableColumn id="16204" xr3:uid="{0F1A5976-FFEA-4853-9DCB-5BF7F94143BC}" name="Column16199"/>
    <tableColumn id="16205" xr3:uid="{CC1EDB3C-9504-49A7-B98B-61761B12D3FF}" name="Column16200"/>
    <tableColumn id="16206" xr3:uid="{97130BB4-24F9-4A36-B216-4AA7AAA82AE7}" name="Column16201"/>
    <tableColumn id="16207" xr3:uid="{27D0F88C-2A52-4964-A2FB-291D334B3E56}" name="Column16202"/>
    <tableColumn id="16208" xr3:uid="{D458AF7D-723B-4C2C-8289-884C0ECCFCDB}" name="Column16203"/>
    <tableColumn id="16209" xr3:uid="{6219E316-AD34-4735-AB93-1689B57F3F3B}" name="Column16204"/>
    <tableColumn id="16210" xr3:uid="{B059F53C-6BB6-465C-B921-77D7B097971C}" name="Column16205"/>
    <tableColumn id="16211" xr3:uid="{752D46A5-3573-477B-BAA4-6EEE5232D9E0}" name="Column16206"/>
    <tableColumn id="16212" xr3:uid="{049909F0-0FF7-4C61-B7BC-416BD50DE80D}" name="Column16207"/>
    <tableColumn id="16213" xr3:uid="{E99D270C-856A-406A-A11A-A5675ACFF4DC}" name="Column16208"/>
    <tableColumn id="16214" xr3:uid="{5A8493EF-1875-4D93-BC4A-49FC5C3ADAE7}" name="Column16209"/>
    <tableColumn id="16215" xr3:uid="{497801E3-CC3B-4C4B-B53C-BDAF11317367}" name="Column16210"/>
    <tableColumn id="16216" xr3:uid="{E8F556D8-D34A-42A0-B2CB-AC78F37C3129}" name="Column16211"/>
    <tableColumn id="16217" xr3:uid="{EF204E22-EDA7-40B4-8D60-1C5FADB0569B}" name="Column16212"/>
    <tableColumn id="16218" xr3:uid="{0EDA5143-CFEA-4761-B72C-4679DC438681}" name="Column16213"/>
    <tableColumn id="16219" xr3:uid="{C31749B5-3E6A-4D02-908A-60A9F7FC23F1}" name="Column16214"/>
    <tableColumn id="16220" xr3:uid="{BBAA152B-EDE2-4CB7-AD85-BBBC178C9AD6}" name="Column16215"/>
    <tableColumn id="16221" xr3:uid="{68948250-F41F-469C-9A64-F9D161517A89}" name="Column16216"/>
    <tableColumn id="16222" xr3:uid="{CF97C3E2-8BDD-46DA-B25C-7624CC9F5F4C}" name="Column16217"/>
    <tableColumn id="16223" xr3:uid="{D58D85E9-B497-4E1E-9ED3-BFD17AB78357}" name="Column16218"/>
    <tableColumn id="16224" xr3:uid="{69579595-4BD6-4DBF-9131-D09C5992DE00}" name="Column16219"/>
    <tableColumn id="16225" xr3:uid="{2793EB98-20B1-417F-AD2C-5C9CB8A227EB}" name="Column16220"/>
    <tableColumn id="16226" xr3:uid="{8B022BDD-CA07-49AE-ACA9-1AE81511B71B}" name="Column16221"/>
    <tableColumn id="16227" xr3:uid="{377CE9FF-0313-4863-A89C-A20AEAB7D1A0}" name="Column16222"/>
    <tableColumn id="16228" xr3:uid="{C3B80056-CDF4-43F4-BC98-90F9BAC23B8C}" name="Column16223"/>
    <tableColumn id="16229" xr3:uid="{35D31D1A-04C6-444B-8674-DFC5DD9FEA34}" name="Column16224"/>
    <tableColumn id="16230" xr3:uid="{11F50B45-9F13-4094-B8F9-BDFDA5530E13}" name="Column16225"/>
    <tableColumn id="16231" xr3:uid="{AF8F161F-5BA2-40A0-BFB4-59B3CF7688B1}" name="Column16226"/>
    <tableColumn id="16232" xr3:uid="{B7ACF349-CA7B-4BC4-8F59-514BCAA5566A}" name="Column16227"/>
    <tableColumn id="16233" xr3:uid="{8BE1A1DA-C96A-424D-9BF1-91D994343E72}" name="Column16228"/>
    <tableColumn id="16234" xr3:uid="{C0EEF0D8-48AB-4D98-BEE7-C91F21C2694D}" name="Column16229"/>
    <tableColumn id="16235" xr3:uid="{873B07DA-955A-4FDD-A520-B43B2D56014D}" name="Column16230"/>
    <tableColumn id="16236" xr3:uid="{30D80F04-12FB-4C9B-B409-2E512EDD5044}" name="Column16231"/>
    <tableColumn id="16237" xr3:uid="{7D3FB01E-6076-44C8-9603-15795E3D9F2F}" name="Column16232"/>
    <tableColumn id="16238" xr3:uid="{A3A7EEA1-94E5-4BF1-B882-289AC34C6E88}" name="Column16233"/>
    <tableColumn id="16239" xr3:uid="{E77A3277-F90A-491E-8380-34A2B2AA391F}" name="Column16234"/>
    <tableColumn id="16240" xr3:uid="{7D920C1A-1168-491A-9F79-754A9E2A3856}" name="Column16235"/>
    <tableColumn id="16241" xr3:uid="{C454AC3C-06F8-491E-955F-21BC1896C39E}" name="Column16236"/>
    <tableColumn id="16242" xr3:uid="{44DFD5B9-2E9D-40E8-8155-9D89E4B04BDC}" name="Column16237"/>
    <tableColumn id="16243" xr3:uid="{5190B2D1-2E52-4D1D-81D5-826A5B9D6736}" name="Column16238"/>
    <tableColumn id="16244" xr3:uid="{7EFC6658-85C1-4D73-9F6B-4AABEA682E2E}" name="Column16239"/>
    <tableColumn id="16245" xr3:uid="{9364604C-4119-4CC2-AAAD-00BBD2BE1D75}" name="Column16240"/>
    <tableColumn id="16246" xr3:uid="{3396C71C-F7A0-4033-8248-6C7581606D43}" name="Column16241"/>
    <tableColumn id="16247" xr3:uid="{D8CD1C8D-D67E-43FE-8F97-B924040E519A}" name="Column16242"/>
    <tableColumn id="16248" xr3:uid="{0EBC56AB-CB56-427A-8C66-4F8A8FB9EA83}" name="Column16243"/>
    <tableColumn id="16249" xr3:uid="{B8071E0B-F583-4354-A89F-009D3DB2E109}" name="Column16244"/>
    <tableColumn id="16250" xr3:uid="{7570260F-87FC-41E6-B7B5-B97F47125B40}" name="Column16245"/>
    <tableColumn id="16251" xr3:uid="{781A66D9-6D6C-4457-823F-2F273ECCFE08}" name="Column16246"/>
    <tableColumn id="16252" xr3:uid="{D3A455DC-451B-40AE-A2A0-7E1046DFE8E1}" name="Column16247"/>
    <tableColumn id="16253" xr3:uid="{69D223C6-6487-44E8-AE07-1EBB218D2B24}" name="Column16248"/>
    <tableColumn id="16254" xr3:uid="{BCBE4A4E-7786-4F31-8F9B-A491CBD52193}" name="Column16249"/>
    <tableColumn id="16255" xr3:uid="{E630FEF3-5034-424B-9745-F7EEDC0F4B89}" name="Column16250"/>
    <tableColumn id="16256" xr3:uid="{1BFF32A5-8076-4E10-9FF2-96E95DB8ECC3}" name="Column16251"/>
    <tableColumn id="16257" xr3:uid="{631BCF62-0835-427D-8486-2C344FBAF4D7}" name="Column16252"/>
    <tableColumn id="16258" xr3:uid="{DAF39AA1-E086-47C2-99FD-BFABF809010A}" name="Column16253"/>
    <tableColumn id="16259" xr3:uid="{D3535EEE-CE52-4D02-8D0C-A506906B6786}" name="Column16254"/>
    <tableColumn id="16260" xr3:uid="{0FF09389-9A16-4F81-A4C9-97B8F4EC3831}" name="Column16255"/>
    <tableColumn id="16261" xr3:uid="{052CCED5-DA6C-4F0B-AAE9-55D140C32157}" name="Column16256"/>
    <tableColumn id="16262" xr3:uid="{8D42A1AF-727A-4E92-8F25-234767E673D2}" name="Column16257"/>
    <tableColumn id="16263" xr3:uid="{BD72EE40-03F1-4981-98E7-BC50097FA2D8}" name="Column16258"/>
    <tableColumn id="16264" xr3:uid="{0163DD56-B1F1-4798-9D01-0F113B392D8A}" name="Column16259"/>
    <tableColumn id="16265" xr3:uid="{6D893EF7-E6EF-48F3-A9EE-C61FF2BE463C}" name="Column16260"/>
    <tableColumn id="16266" xr3:uid="{45B173DF-9A05-4362-A578-3424DFCC65E5}" name="Column16261"/>
    <tableColumn id="16267" xr3:uid="{30393711-94B2-48F1-933D-D58DBEDA399E}" name="Column16262"/>
    <tableColumn id="16268" xr3:uid="{1B71CF82-53DB-4C9C-A7AA-5B7FB983C48A}" name="Column16263"/>
    <tableColumn id="16269" xr3:uid="{2F2F531D-42AA-450C-9074-93413DE7DDA6}" name="Column16264"/>
    <tableColumn id="16270" xr3:uid="{52885899-A2CF-4730-9C13-A5BB68C7AC92}" name="Column16265"/>
    <tableColumn id="16271" xr3:uid="{7A3EFA87-5B86-4719-8D24-D59ACE3DBEB2}" name="Column16266"/>
    <tableColumn id="16272" xr3:uid="{353BE9B3-54E8-476E-BEAE-609E49C4427B}" name="Column16267"/>
    <tableColumn id="16273" xr3:uid="{B3F888FF-A7C8-44B4-896F-E39492CBD5C5}" name="Column16268"/>
    <tableColumn id="16274" xr3:uid="{57005F18-5B2F-489F-AEB1-7786BEAD6232}" name="Column16269"/>
    <tableColumn id="16275" xr3:uid="{8369596A-43EB-42C3-8306-9F9C925571FA}" name="Column16270"/>
    <tableColumn id="16276" xr3:uid="{6A619870-7DDA-4D7A-A426-CA872B263A6D}" name="Column16271"/>
    <tableColumn id="16277" xr3:uid="{103F0D2F-6827-400D-B7FB-2BDF42EC0084}" name="Column16272"/>
    <tableColumn id="16278" xr3:uid="{B64010D0-BB6C-4E8B-BF23-148DE9C856E1}" name="Column16273"/>
    <tableColumn id="16279" xr3:uid="{AC853677-2C2B-4D2F-BA81-11E6F125E21A}" name="Column16274"/>
    <tableColumn id="16280" xr3:uid="{04ABE3C3-571F-4991-B3AC-210831B04967}" name="Column16275"/>
    <tableColumn id="16281" xr3:uid="{4B757E8C-FE8B-4DE6-8EE9-A6A43639B1EF}" name="Column16276"/>
    <tableColumn id="16282" xr3:uid="{5B9B01E6-97A3-4827-A14D-9394DD5410E4}" name="Column16277"/>
    <tableColumn id="16283" xr3:uid="{567A4193-26EA-4646-BCD5-5FE19D3C34C0}" name="Column16278"/>
    <tableColumn id="16284" xr3:uid="{7F756A3C-A0EE-4365-BEE4-C9CA118E6672}" name="Column16279"/>
    <tableColumn id="16285" xr3:uid="{8CCC27CA-9F9A-42B8-A845-073676CFB3D0}" name="Column16280"/>
    <tableColumn id="16286" xr3:uid="{A5519891-DC4B-4180-B7BD-63C62DAA850E}" name="Column16281"/>
    <tableColumn id="16287" xr3:uid="{E8C7B1BF-0CDC-46D2-9662-B06441D30902}" name="Column16282"/>
    <tableColumn id="16288" xr3:uid="{24CDF45E-D5A1-4EB9-885B-E063DD034386}" name="Column16283"/>
    <tableColumn id="16289" xr3:uid="{E732CD67-5C8F-45D7-9D6E-424575CB063F}" name="Column16284"/>
    <tableColumn id="16290" xr3:uid="{99E5CD50-6BE8-49EE-A4E6-24117547C144}" name="Column16285"/>
    <tableColumn id="16291" xr3:uid="{7F8B3A5D-CA6F-4E69-9AEA-1C9A32C2C1C0}" name="Column16286"/>
    <tableColumn id="16292" xr3:uid="{0ACC145C-AF7F-45C5-8BA7-62DD023E59B6}" name="Column16287"/>
    <tableColumn id="16293" xr3:uid="{4AF44550-55F9-458B-A800-D9FDBD8AE7DF}" name="Column16288"/>
    <tableColumn id="16294" xr3:uid="{D34FC4E7-1D52-4FBB-BB84-E569B6463A5F}" name="Column16289"/>
    <tableColumn id="16295" xr3:uid="{929D019B-5388-4D74-BF52-9E8C9787A33A}" name="Column16290"/>
    <tableColumn id="16296" xr3:uid="{24480928-0652-478D-A9F0-F88D79A27806}" name="Column16291"/>
    <tableColumn id="16297" xr3:uid="{BAF262B2-29A1-463F-AB77-E067093E4B9C}" name="Column16292"/>
    <tableColumn id="16298" xr3:uid="{196C431B-AE0F-402E-8C68-C77805014680}" name="Column16293"/>
    <tableColumn id="16299" xr3:uid="{E5FB3865-07E6-4539-9A64-CCFAE925AB97}" name="Column16294"/>
    <tableColumn id="16300" xr3:uid="{86DA2355-7F2E-4081-9DF3-14C227475C1A}" name="Column16295"/>
    <tableColumn id="16301" xr3:uid="{5FB3BB06-38D2-4950-BBD0-08BA61D1EC3A}" name="Column16296"/>
    <tableColumn id="16302" xr3:uid="{51A6EDCB-5643-4ADE-B949-7E549A5BF77E}" name="Column16297"/>
    <tableColumn id="16303" xr3:uid="{5417E810-16DC-41BA-B760-271F2253F907}" name="Column16298"/>
    <tableColumn id="16304" xr3:uid="{6823AE91-F93E-40A0-AF60-907123EFFF9F}" name="Column16299"/>
    <tableColumn id="16305" xr3:uid="{785E37DF-D9FD-4FDD-B668-8AA477BA26B6}" name="Column16300"/>
    <tableColumn id="16306" xr3:uid="{2EEF58F7-439A-4E0B-8568-CE518FC6BBE5}" name="Column16301"/>
    <tableColumn id="16307" xr3:uid="{DEA2281A-04D0-4FB8-9671-D677CB7579E9}" name="Column16302"/>
    <tableColumn id="16308" xr3:uid="{FF7F303B-E88A-4B50-815C-6F39739A5698}" name="Column16303"/>
    <tableColumn id="16309" xr3:uid="{F79AB275-9C9D-4D01-BEEC-B94771AE9038}" name="Column16304"/>
    <tableColumn id="16310" xr3:uid="{36DE3ECD-0E77-4968-97F2-7E50625C5C16}" name="Column16305"/>
    <tableColumn id="16311" xr3:uid="{0302A3BF-F7AC-4F97-8E57-9876222D77FA}" name="Column16306"/>
    <tableColumn id="16312" xr3:uid="{9D181764-B5E1-4F09-A355-54BF986BAE5A}" name="Column16307"/>
    <tableColumn id="16313" xr3:uid="{B51FA946-601E-4A10-891F-75374218BB3E}" name="Column16308"/>
    <tableColumn id="16314" xr3:uid="{0AC5EAA1-2CEA-486D-9993-8788A5F88815}" name="Column16309"/>
    <tableColumn id="16315" xr3:uid="{9F1EEA01-33C0-486F-9463-7BE81F4A9BC9}" name="Column16310"/>
    <tableColumn id="16316" xr3:uid="{F69556C5-3929-4835-A92A-E53149165C0D}" name="Column16311"/>
    <tableColumn id="16317" xr3:uid="{4387BBEE-F88D-43D0-A740-4917C1DCBC24}" name="Column16312"/>
    <tableColumn id="16318" xr3:uid="{AACEDF5E-6485-431F-9AE0-F45C9DAA2661}" name="Column16313"/>
    <tableColumn id="16319" xr3:uid="{38724CCE-A495-4115-A165-B93A71E14149}" name="Column16314"/>
    <tableColumn id="16320" xr3:uid="{65A17DA0-D346-4AF0-8962-C9DBCCA41B74}" name="Column16315"/>
    <tableColumn id="16321" xr3:uid="{B679858A-107F-4C9A-9CC5-AA8A7DD7AF7A}" name="Column16316"/>
    <tableColumn id="16322" xr3:uid="{E026B9BD-0049-4DD4-B9FF-9093BA5DD3E7}" name="Column16317"/>
    <tableColumn id="16323" xr3:uid="{97FE54C3-056F-45D3-9E59-2F8236785932}" name="Column16318"/>
    <tableColumn id="16324" xr3:uid="{35077314-EB65-4F07-AF3A-08DCD734950A}" name="Column16319"/>
    <tableColumn id="16325" xr3:uid="{1B411BCD-BB55-4952-AA60-B086474E54EE}" name="Column16320"/>
    <tableColumn id="16326" xr3:uid="{D5FE1DBF-79F7-47F0-BF22-25B86017CBB0}" name="Column16321"/>
    <tableColumn id="16327" xr3:uid="{F0908650-D8F9-4444-B4C5-E3FB6E4589F9}" name="Column16322"/>
    <tableColumn id="16328" xr3:uid="{C6C21E92-715F-4B37-AA13-92905938B282}" name="Column16323"/>
    <tableColumn id="16329" xr3:uid="{18BF5FD5-201C-4D8D-A4D6-E56DDEBF8DC6}" name="Column16324"/>
    <tableColumn id="16330" xr3:uid="{57C85D82-6E51-49B4-B277-2BCEA3CFD208}" name="Column16325"/>
    <tableColumn id="16331" xr3:uid="{0A6212B1-D02E-4A09-B1A8-0BB6FBDBEF4C}" name="Column16326"/>
    <tableColumn id="16332" xr3:uid="{2A84AB0D-FA24-476C-A229-DC61AAA0FA39}" name="Column16327"/>
    <tableColumn id="16333" xr3:uid="{0B7880FE-E29E-4F42-8D1A-6EAE0ADB12C4}" name="Column16328"/>
    <tableColumn id="16334" xr3:uid="{8AB4744B-730D-4023-B15E-A86705879449}" name="Column16329"/>
    <tableColumn id="16335" xr3:uid="{8F951D9B-24F4-442A-A1DF-89B3673D62DF}" name="Column16330"/>
    <tableColumn id="16336" xr3:uid="{2D6D0D58-E22F-4289-8BE3-1D2B39921528}" name="Column16331"/>
    <tableColumn id="16337" xr3:uid="{5EC91E14-3E74-44E2-A4D5-3D923B9B3C91}" name="Column16332"/>
    <tableColumn id="16338" xr3:uid="{BA6AE2F3-B5EA-44E1-A773-35D60A01042E}" name="Column16333"/>
    <tableColumn id="16339" xr3:uid="{5C84F1D0-B727-4245-98AD-95EA7699038E}" name="Column16334"/>
    <tableColumn id="16340" xr3:uid="{8358937B-973D-4519-BA5B-8DF8182E5A6E}" name="Column16335"/>
    <tableColumn id="16341" xr3:uid="{75B21805-29A9-4155-8B79-BA3B29533134}" name="Column16336"/>
    <tableColumn id="16342" xr3:uid="{D0F40BC1-CA4F-4ACE-BA9D-6F9F993B9D65}" name="Column16337"/>
    <tableColumn id="16343" xr3:uid="{D29681B0-40C5-41E0-AF0F-065609C43ACC}" name="Column16338"/>
    <tableColumn id="16344" xr3:uid="{C4193FC7-CA6C-4ABC-8D09-8969CDE4F685}" name="Column16339"/>
    <tableColumn id="16345" xr3:uid="{DB68B1D3-AC99-4752-81DF-4A78831ED12D}" name="Column16340"/>
    <tableColumn id="16346" xr3:uid="{61CBD6FA-34E6-49C5-A115-E3C7CB606AA9}" name="Column16341"/>
    <tableColumn id="16347" xr3:uid="{08B6D9DC-42AA-4502-88F1-C9DAA0A0EDEE}" name="Column16342"/>
    <tableColumn id="16348" xr3:uid="{E726AAE6-32B1-448F-9A2E-C52BA4F1FF73}" name="Column16343"/>
    <tableColumn id="16349" xr3:uid="{5EA870D6-15F5-447F-A517-C580BD981A73}" name="Column16344"/>
    <tableColumn id="16350" xr3:uid="{414A299B-C208-4F4D-922E-DE95AF969D67}" name="Column16345"/>
    <tableColumn id="16351" xr3:uid="{9330D5D0-8311-4342-B290-DBC09FD1D083}" name="Column16346"/>
    <tableColumn id="16352" xr3:uid="{60A9DAA1-4EDB-4CEE-AFBB-BC8E6A98F19F}" name="Column16347"/>
    <tableColumn id="16353" xr3:uid="{15CAD534-4C31-4AD4-B562-44033A6FC433}" name="Column16348"/>
    <tableColumn id="16354" xr3:uid="{19A0526D-9909-452F-AF5C-D057AD89C5E6}" name="Column16349"/>
    <tableColumn id="16355" xr3:uid="{7615ECEB-0A8A-40E2-BCF0-33BB6D376CF9}" name="Column16350"/>
    <tableColumn id="16356" xr3:uid="{32887C1F-030F-4B0A-AE1F-05602FEFB5AC}" name="Column16351"/>
    <tableColumn id="16357" xr3:uid="{A58C45C5-B12E-49FA-B6BB-09FE751DC04D}" name="Column16352"/>
    <tableColumn id="16358" xr3:uid="{1DAC3EE5-7479-4C35-9422-2C72D0081649}" name="Column16353"/>
    <tableColumn id="16359" xr3:uid="{6A0732DC-16F2-4103-A65B-18E78772E87E}" name="Column16354"/>
    <tableColumn id="16360" xr3:uid="{8C3BAF33-C103-4FE6-A863-36E67739DEA8}" name="Column16355"/>
    <tableColumn id="16361" xr3:uid="{E6E03278-6E7C-4BAC-A315-C22CBFF384FF}" name="Column16356"/>
    <tableColumn id="16362" xr3:uid="{F6C3F386-70E3-457D-A6A7-BF2C96780768}" name="Column16357"/>
    <tableColumn id="16363" xr3:uid="{46D79971-0295-414D-9711-AEB554A1342F}" name="Column16358"/>
    <tableColumn id="16364" xr3:uid="{A66FA8A7-E8EE-4C1E-B81D-840327354AD2}" name="Column16359"/>
    <tableColumn id="16365" xr3:uid="{5A1CF37B-95FC-45AA-BBDE-1B5E72A2E210}" name="Column16360"/>
    <tableColumn id="16366" xr3:uid="{0F2B1B4C-903A-4379-89AF-1A8E9788FBFD}" name="Column16361"/>
    <tableColumn id="16367" xr3:uid="{4B191853-F100-4E56-A298-7B405946642B}" name="Column16362"/>
    <tableColumn id="16368" xr3:uid="{B9AECAEE-0AC6-4765-8867-5E4990DFA5BA}" name="Column16363"/>
    <tableColumn id="16369" xr3:uid="{D2FD2127-18BC-48EF-BEA9-AE73FED1D645}" name="Column16364"/>
    <tableColumn id="16370" xr3:uid="{F750D17A-0613-48F6-A002-905861F82756}" name="Column16365"/>
    <tableColumn id="16371" xr3:uid="{E0D27293-71CC-45FC-A672-C3280799AB37}" name="Column16366"/>
    <tableColumn id="16372" xr3:uid="{FA8E187D-DC51-44E0-9B4C-263589B1A4ED}" name="Column16367"/>
    <tableColumn id="16373" xr3:uid="{BDCA4FBB-8807-4E61-90C1-1C974EEDEA61}" name="Column16368"/>
    <tableColumn id="16374" xr3:uid="{36271C75-7C79-4C88-9450-F0980C4AA881}" name="Column16369"/>
    <tableColumn id="16375" xr3:uid="{E271675E-1A02-43EE-B10F-405EC0002180}" name="Column16370"/>
    <tableColumn id="16376" xr3:uid="{F84F4D9E-1073-43AB-AD13-74B9DD0D0E04}" name="Column16371"/>
    <tableColumn id="16377" xr3:uid="{EBE82123-D6E9-47B7-8990-EF6E3F0D2A29}" name="Column16372"/>
    <tableColumn id="16378" xr3:uid="{1B0E8E3D-8350-4CD5-B58C-A27BC3BCDA74}" name="Column16373"/>
    <tableColumn id="16379" xr3:uid="{944B5876-B998-4433-B959-19A201B90397}" name="Column16374"/>
    <tableColumn id="16380" xr3:uid="{21C15644-3E35-42DC-9FA9-654E1D0F69D7}" name="Column16375"/>
    <tableColumn id="16381" xr3:uid="{5540749C-EB6E-41FC-BD7F-234CA19FCFA0}" name="Column16376"/>
    <tableColumn id="16382" xr3:uid="{3A90DA29-41D9-44E9-A51D-98D1F9DB5070}" name="Column16377"/>
    <tableColumn id="16383" xr3:uid="{30248F2B-0461-4101-9A51-E219AA8A4C50}" name="Column16378"/>
    <tableColumn id="16384" xr3:uid="{1CCA55AA-34B9-4441-AD92-811BAE39D982}" name="Column1637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FAFE45-D399-4F90-8821-2760F6347D98}" name="Table2" displayName="Table2" ref="A1:G16" totalsRowShown="0" headerRowDxfId="4" tableBorderDxfId="3">
  <autoFilter ref="A1:G16" xr:uid="{16FAFE45-D399-4F90-8821-2760F6347D98}"/>
  <tableColumns count="7">
    <tableColumn id="1" xr3:uid="{D110896E-2B7B-4DDC-AF4B-1577FD379F75}" name="ITEM" dataDxfId="2"/>
    <tableColumn id="7" xr3:uid="{0738C3A5-E57A-4BC5-886B-C81AE72ABF7D}" name="File Type" dataDxfId="1"/>
    <tableColumn id="2" xr3:uid="{7D577197-EB1A-4583-B2CB-0BA9E2355567}" name="Generic" dataDxfId="0"/>
    <tableColumn id="5" xr3:uid="{C20B8FB8-2882-46FD-8131-7EC4D1939D0C}" name="Device Objects Library Current"/>
    <tableColumn id="6" xr3:uid="{C98CE9EC-E87A-4075-9BB3-00183C19C082}" name="Device Objects Library Proposed"/>
    <tableColumn id="3" xr3:uid="{9E6BE9E0-E036-447F-AB65-81493C4892E2}" name="Process Library"/>
    <tableColumn id="4" xr3:uid="{42990DBC-2A1F-48EC-AD7A-4B08BB0E4D79}" name="Machine Builder Librar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1DBDB4-6490-4543-8047-BCA4535ED626}" name="Table14" displayName="Table14" ref="I4:J12" totalsRowShown="0">
  <autoFilter ref="I4:J12" xr:uid="{A51DBDB4-6490-4543-8047-BCA4535ED626}"/>
  <tableColumns count="2">
    <tableColumn id="1" xr3:uid="{99A56507-53F5-48D6-A63D-0549CE29DEC8}" name="Column1"/>
    <tableColumn id="2" xr3:uid="{2793BAB8-4844-40B8-9B2B-0DDDC070C51B}" name="Column2">
      <calculatedColumnFormula>G4&amp;H4&amp;I5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8" dT="2023-07-04T10:04:54.64" personId="{DA2A36D7-1A6E-4109-A9C0-504577078996}" id="{1791C158-1639-472A-ADDB-6AF183A6810D}">
    <text xml:space="preserve">@Thomas St.Onge  Since we are combining all devices into single file, naming needs to be changed. Instead of object name need to use object Library </text>
    <mentions>
      <mention mentionpersonId="{D566775C-39AA-4C3C-ABA3-30AF632C4281}" mentionId="{32200B84-B65B-4A83-8D69-7A0585D01C8E}" startIndex="0" length="15"/>
    </mentions>
  </threadedComment>
  <threadedComment ref="C20" dT="2023-07-04T09:56:15.92" personId="{DA2A36D7-1A6E-4109-A9C0-504577078996}" id="{27AB0C1D-4E21-4725-8F69-366A28D377C9}">
    <text>Updated formula to include "raC_Dvc" B6 &amp; B8 after sub category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7" dT="2023-06-21T07:14:05.34" personId="{5569219A-E5EE-430F-A37B-96F47F6AD7C3}" id="{AC288E35-6BC2-4FCE-96E1-EB5F06A72317}">
    <text>currently we have this name in IO-Link
Msg_Sensor_Data</text>
  </threadedComment>
  <threadedComment ref="D17" dT="2023-06-21T07:26:33.71" personId="{DA2A36D7-1A6E-4109-A9C0-504577078996}" id="{6862D3E7-9C92-44DA-B269-F617BC16A8A3}" parentId="{AC288E35-6BC2-4FCE-96E1-EB5F06A72317}">
    <text>For new sensors change it to Ref_MsgData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BB3C-02D1-4564-9269-1ABD55E0C026}">
  <dimension ref="A1:XFD26"/>
  <sheetViews>
    <sheetView workbookViewId="0">
      <selection activeCell="C18" sqref="C18"/>
    </sheetView>
  </sheetViews>
  <sheetFormatPr defaultRowHeight="15" x14ac:dyDescent="0.25"/>
  <cols>
    <col min="1" max="1" width="36.28515625" bestFit="1" customWidth="1"/>
    <col min="2" max="2" width="29" bestFit="1" customWidth="1"/>
    <col min="3" max="3" width="89.5703125" customWidth="1"/>
    <col min="4" max="4" width="10.7109375" customWidth="1"/>
    <col min="5" max="5" width="44.42578125" bestFit="1" customWidth="1"/>
  </cols>
  <sheetData>
    <row r="1" spans="1:16384" ht="15.75" thickBot="1" x14ac:dyDescent="0.3">
      <c r="A1" s="9" t="s">
        <v>0</v>
      </c>
    </row>
    <row r="2" spans="1:16384" ht="15.75" thickBot="1" x14ac:dyDescent="0.3">
      <c r="A2" t="s">
        <v>1</v>
      </c>
      <c r="B2" s="7" t="s">
        <v>2</v>
      </c>
    </row>
    <row r="3" spans="1:16384" ht="15.75" thickBot="1" x14ac:dyDescent="0.3">
      <c r="A3" t="s">
        <v>3</v>
      </c>
      <c r="B3" s="8">
        <v>1</v>
      </c>
    </row>
    <row r="4" spans="1:16384" ht="15.75" thickBot="1" x14ac:dyDescent="0.3">
      <c r="A4" t="s">
        <v>4</v>
      </c>
      <c r="B4" s="8" t="s">
        <v>5</v>
      </c>
    </row>
    <row r="5" spans="1:16384" ht="15.75" thickBot="1" x14ac:dyDescent="0.3">
      <c r="A5" t="s">
        <v>6</v>
      </c>
      <c r="B5" s="7" t="s">
        <v>7</v>
      </c>
    </row>
    <row r="6" spans="1:16384" ht="15.75" thickBot="1" x14ac:dyDescent="0.3">
      <c r="A6" t="s">
        <v>8</v>
      </c>
      <c r="B6" t="s">
        <v>9</v>
      </c>
    </row>
    <row r="7" spans="1:16384" ht="15.75" thickBot="1" x14ac:dyDescent="0.3">
      <c r="A7" t="s">
        <v>10</v>
      </c>
      <c r="B7" s="7" t="s">
        <v>11</v>
      </c>
    </row>
    <row r="8" spans="1:16384" ht="15.75" thickBot="1" x14ac:dyDescent="0.3">
      <c r="A8" t="s">
        <v>12</v>
      </c>
      <c r="B8" t="str">
        <f>IF(B7="Device","Dvc",IF(B7="Operation","Opr",IF(B7="Technology","Tec","???")))</f>
        <v>Dvc</v>
      </c>
    </row>
    <row r="9" spans="1:16384" ht="15.75" thickBot="1" x14ac:dyDescent="0.3">
      <c r="A9" t="s">
        <v>13</v>
      </c>
      <c r="B9" s="7" t="s">
        <v>7</v>
      </c>
    </row>
    <row r="11" spans="1:1638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 t="s">
        <v>33</v>
      </c>
      <c r="U11" t="s">
        <v>34</v>
      </c>
      <c r="V11" t="s">
        <v>35</v>
      </c>
      <c r="W11" t="s">
        <v>36</v>
      </c>
      <c r="X11" t="s">
        <v>37</v>
      </c>
      <c r="Y11" t="s">
        <v>38</v>
      </c>
      <c r="Z11" t="s">
        <v>39</v>
      </c>
      <c r="AA11" t="s">
        <v>40</v>
      </c>
      <c r="AB11" t="s">
        <v>41</v>
      </c>
      <c r="AC11" t="s">
        <v>42</v>
      </c>
      <c r="AD11" t="s">
        <v>43</v>
      </c>
      <c r="AE11" t="s">
        <v>44</v>
      </c>
      <c r="AF11" t="s">
        <v>45</v>
      </c>
      <c r="AG11" t="s">
        <v>46</v>
      </c>
      <c r="AH11" t="s">
        <v>47</v>
      </c>
      <c r="AI11" t="s">
        <v>48</v>
      </c>
      <c r="AJ11" t="s">
        <v>49</v>
      </c>
      <c r="AK11" t="s">
        <v>50</v>
      </c>
      <c r="AL11" t="s">
        <v>51</v>
      </c>
      <c r="AM11" t="s">
        <v>52</v>
      </c>
      <c r="AN11" t="s">
        <v>53</v>
      </c>
      <c r="AO11" t="s">
        <v>54</v>
      </c>
      <c r="AP11" t="s">
        <v>55</v>
      </c>
      <c r="AQ11" t="s">
        <v>56</v>
      </c>
      <c r="AR11" t="s">
        <v>57</v>
      </c>
      <c r="AS11" t="s">
        <v>58</v>
      </c>
      <c r="AT11" t="s">
        <v>59</v>
      </c>
      <c r="AU11" t="s">
        <v>60</v>
      </c>
      <c r="AV11" t="s">
        <v>61</v>
      </c>
      <c r="AW11" t="s">
        <v>62</v>
      </c>
      <c r="AX11" t="s">
        <v>63</v>
      </c>
      <c r="AY11" t="s">
        <v>64</v>
      </c>
      <c r="AZ11" t="s">
        <v>65</v>
      </c>
      <c r="BA11" t="s">
        <v>66</v>
      </c>
      <c r="BB11" t="s">
        <v>67</v>
      </c>
      <c r="BC11" t="s">
        <v>68</v>
      </c>
      <c r="BD11" t="s">
        <v>69</v>
      </c>
      <c r="BE11" t="s">
        <v>70</v>
      </c>
      <c r="BF11" t="s">
        <v>71</v>
      </c>
      <c r="BG11" t="s">
        <v>72</v>
      </c>
      <c r="BH11" t="s">
        <v>73</v>
      </c>
      <c r="BI11" t="s">
        <v>74</v>
      </c>
      <c r="BJ11" t="s">
        <v>75</v>
      </c>
      <c r="BK11" t="s">
        <v>76</v>
      </c>
      <c r="BL11" t="s">
        <v>77</v>
      </c>
      <c r="BM11" t="s">
        <v>78</v>
      </c>
      <c r="BN11" t="s">
        <v>79</v>
      </c>
      <c r="BO11" t="s">
        <v>80</v>
      </c>
      <c r="BP11" t="s">
        <v>81</v>
      </c>
      <c r="BQ11" t="s">
        <v>82</v>
      </c>
      <c r="BR11" t="s">
        <v>83</v>
      </c>
      <c r="BS11" t="s">
        <v>84</v>
      </c>
      <c r="BT11" t="s">
        <v>85</v>
      </c>
      <c r="BU11" t="s">
        <v>86</v>
      </c>
      <c r="BV11" t="s">
        <v>87</v>
      </c>
      <c r="BW11" t="s">
        <v>88</v>
      </c>
      <c r="BX11" t="s">
        <v>89</v>
      </c>
      <c r="BY11" t="s">
        <v>90</v>
      </c>
      <c r="BZ11" t="s">
        <v>91</v>
      </c>
      <c r="CA11" t="s">
        <v>92</v>
      </c>
      <c r="CB11" t="s">
        <v>93</v>
      </c>
      <c r="CC11" t="s">
        <v>94</v>
      </c>
      <c r="CD11" t="s">
        <v>95</v>
      </c>
      <c r="CE11" t="s">
        <v>96</v>
      </c>
      <c r="CF11" t="s">
        <v>97</v>
      </c>
      <c r="CG11" t="s">
        <v>98</v>
      </c>
      <c r="CH11" t="s">
        <v>99</v>
      </c>
      <c r="CI11" t="s">
        <v>100</v>
      </c>
      <c r="CJ11" t="s">
        <v>101</v>
      </c>
      <c r="CK11" t="s">
        <v>102</v>
      </c>
      <c r="CL11" t="s">
        <v>103</v>
      </c>
      <c r="CM11" t="s">
        <v>104</v>
      </c>
      <c r="CN11" t="s">
        <v>105</v>
      </c>
      <c r="CO11" t="s">
        <v>106</v>
      </c>
      <c r="CP11" t="s">
        <v>107</v>
      </c>
      <c r="CQ11" t="s">
        <v>108</v>
      </c>
      <c r="CR11" t="s">
        <v>109</v>
      </c>
      <c r="CS11" t="s">
        <v>110</v>
      </c>
      <c r="CT11" t="s">
        <v>111</v>
      </c>
      <c r="CU11" t="s">
        <v>112</v>
      </c>
      <c r="CV11" t="s">
        <v>113</v>
      </c>
      <c r="CW11" t="s">
        <v>114</v>
      </c>
      <c r="CX11" t="s">
        <v>115</v>
      </c>
      <c r="CY11" t="s">
        <v>116</v>
      </c>
      <c r="CZ11" t="s">
        <v>117</v>
      </c>
      <c r="DA11" t="s">
        <v>118</v>
      </c>
      <c r="DB11" t="s">
        <v>119</v>
      </c>
      <c r="DC11" t="s">
        <v>120</v>
      </c>
      <c r="DD11" t="s">
        <v>121</v>
      </c>
      <c r="DE11" t="s">
        <v>122</v>
      </c>
      <c r="DF11" t="s">
        <v>123</v>
      </c>
      <c r="DG11" t="s">
        <v>124</v>
      </c>
      <c r="DH11" t="s">
        <v>125</v>
      </c>
      <c r="DI11" t="s">
        <v>126</v>
      </c>
      <c r="DJ11" t="s">
        <v>127</v>
      </c>
      <c r="DK11" t="s">
        <v>128</v>
      </c>
      <c r="DL11" t="s">
        <v>129</v>
      </c>
      <c r="DM11" t="s">
        <v>130</v>
      </c>
      <c r="DN11" t="s">
        <v>131</v>
      </c>
      <c r="DO11" t="s">
        <v>132</v>
      </c>
      <c r="DP11" t="s">
        <v>133</v>
      </c>
      <c r="DQ11" t="s">
        <v>134</v>
      </c>
      <c r="DR11" t="s">
        <v>135</v>
      </c>
      <c r="DS11" t="s">
        <v>136</v>
      </c>
      <c r="DT11" t="s">
        <v>137</v>
      </c>
      <c r="DU11" t="s">
        <v>138</v>
      </c>
      <c r="DV11" t="s">
        <v>139</v>
      </c>
      <c r="DW11" t="s">
        <v>140</v>
      </c>
      <c r="DX11" t="s">
        <v>141</v>
      </c>
      <c r="DY11" t="s">
        <v>142</v>
      </c>
      <c r="DZ11" t="s">
        <v>143</v>
      </c>
      <c r="EA11" t="s">
        <v>144</v>
      </c>
      <c r="EB11" t="s">
        <v>145</v>
      </c>
      <c r="EC11" t="s">
        <v>146</v>
      </c>
      <c r="ED11" t="s">
        <v>147</v>
      </c>
      <c r="EE11" t="s">
        <v>148</v>
      </c>
      <c r="EF11" t="s">
        <v>149</v>
      </c>
      <c r="EG11" t="s">
        <v>150</v>
      </c>
      <c r="EH11" t="s">
        <v>151</v>
      </c>
      <c r="EI11" t="s">
        <v>152</v>
      </c>
      <c r="EJ11" t="s">
        <v>153</v>
      </c>
      <c r="EK11" t="s">
        <v>154</v>
      </c>
      <c r="EL11" t="s">
        <v>155</v>
      </c>
      <c r="EM11" t="s">
        <v>156</v>
      </c>
      <c r="EN11" t="s">
        <v>157</v>
      </c>
      <c r="EO11" t="s">
        <v>158</v>
      </c>
      <c r="EP11" t="s">
        <v>159</v>
      </c>
      <c r="EQ11" t="s">
        <v>160</v>
      </c>
      <c r="ER11" t="s">
        <v>161</v>
      </c>
      <c r="ES11" t="s">
        <v>162</v>
      </c>
      <c r="ET11" t="s">
        <v>163</v>
      </c>
      <c r="EU11" t="s">
        <v>164</v>
      </c>
      <c r="EV11" t="s">
        <v>165</v>
      </c>
      <c r="EW11" t="s">
        <v>166</v>
      </c>
      <c r="EX11" t="s">
        <v>167</v>
      </c>
      <c r="EY11" t="s">
        <v>168</v>
      </c>
      <c r="EZ11" t="s">
        <v>169</v>
      </c>
      <c r="FA11" t="s">
        <v>170</v>
      </c>
      <c r="FB11" t="s">
        <v>171</v>
      </c>
      <c r="FC11" t="s">
        <v>172</v>
      </c>
      <c r="FD11" t="s">
        <v>173</v>
      </c>
      <c r="FE11" t="s">
        <v>174</v>
      </c>
      <c r="FF11" t="s">
        <v>175</v>
      </c>
      <c r="FG11" t="s">
        <v>176</v>
      </c>
      <c r="FH11" t="s">
        <v>177</v>
      </c>
      <c r="FI11" t="s">
        <v>178</v>
      </c>
      <c r="FJ11" t="s">
        <v>179</v>
      </c>
      <c r="FK11" t="s">
        <v>180</v>
      </c>
      <c r="FL11" t="s">
        <v>181</v>
      </c>
      <c r="FM11" t="s">
        <v>182</v>
      </c>
      <c r="FN11" t="s">
        <v>183</v>
      </c>
      <c r="FO11" t="s">
        <v>184</v>
      </c>
      <c r="FP11" t="s">
        <v>185</v>
      </c>
      <c r="FQ11" t="s">
        <v>186</v>
      </c>
      <c r="FR11" t="s">
        <v>187</v>
      </c>
      <c r="FS11" t="s">
        <v>188</v>
      </c>
      <c r="FT11" t="s">
        <v>189</v>
      </c>
      <c r="FU11" t="s">
        <v>190</v>
      </c>
      <c r="FV11" t="s">
        <v>191</v>
      </c>
      <c r="FW11" t="s">
        <v>192</v>
      </c>
      <c r="FX11" t="s">
        <v>193</v>
      </c>
      <c r="FY11" t="s">
        <v>194</v>
      </c>
      <c r="FZ11" t="s">
        <v>195</v>
      </c>
      <c r="GA11" t="s">
        <v>196</v>
      </c>
      <c r="GB11" t="s">
        <v>197</v>
      </c>
      <c r="GC11" t="s">
        <v>198</v>
      </c>
      <c r="GD11" t="s">
        <v>199</v>
      </c>
      <c r="GE11" t="s">
        <v>200</v>
      </c>
      <c r="GF11" t="s">
        <v>201</v>
      </c>
      <c r="GG11" t="s">
        <v>202</v>
      </c>
      <c r="GH11" t="s">
        <v>203</v>
      </c>
      <c r="GI11" t="s">
        <v>204</v>
      </c>
      <c r="GJ11" t="s">
        <v>205</v>
      </c>
      <c r="GK11" t="s">
        <v>206</v>
      </c>
      <c r="GL11" t="s">
        <v>207</v>
      </c>
      <c r="GM11" t="s">
        <v>208</v>
      </c>
      <c r="GN11" t="s">
        <v>209</v>
      </c>
      <c r="GO11" t="s">
        <v>210</v>
      </c>
      <c r="GP11" t="s">
        <v>211</v>
      </c>
      <c r="GQ11" t="s">
        <v>212</v>
      </c>
      <c r="GR11" t="s">
        <v>213</v>
      </c>
      <c r="GS11" t="s">
        <v>214</v>
      </c>
      <c r="GT11" t="s">
        <v>215</v>
      </c>
      <c r="GU11" t="s">
        <v>216</v>
      </c>
      <c r="GV11" t="s">
        <v>217</v>
      </c>
      <c r="GW11" t="s">
        <v>218</v>
      </c>
      <c r="GX11" t="s">
        <v>219</v>
      </c>
      <c r="GY11" t="s">
        <v>220</v>
      </c>
      <c r="GZ11" t="s">
        <v>221</v>
      </c>
      <c r="HA11" t="s">
        <v>222</v>
      </c>
      <c r="HB11" t="s">
        <v>223</v>
      </c>
      <c r="HC11" t="s">
        <v>224</v>
      </c>
      <c r="HD11" t="s">
        <v>225</v>
      </c>
      <c r="HE11" t="s">
        <v>226</v>
      </c>
      <c r="HF11" t="s">
        <v>227</v>
      </c>
      <c r="HG11" t="s">
        <v>228</v>
      </c>
      <c r="HH11" t="s">
        <v>229</v>
      </c>
      <c r="HI11" t="s">
        <v>230</v>
      </c>
      <c r="HJ11" t="s">
        <v>231</v>
      </c>
      <c r="HK11" t="s">
        <v>232</v>
      </c>
      <c r="HL11" t="s">
        <v>233</v>
      </c>
      <c r="HM11" t="s">
        <v>234</v>
      </c>
      <c r="HN11" t="s">
        <v>235</v>
      </c>
      <c r="HO11" t="s">
        <v>236</v>
      </c>
      <c r="HP11" t="s">
        <v>237</v>
      </c>
      <c r="HQ11" t="s">
        <v>238</v>
      </c>
      <c r="HR11" t="s">
        <v>239</v>
      </c>
      <c r="HS11" t="s">
        <v>240</v>
      </c>
      <c r="HT11" t="s">
        <v>241</v>
      </c>
      <c r="HU11" t="s">
        <v>242</v>
      </c>
      <c r="HV11" t="s">
        <v>243</v>
      </c>
      <c r="HW11" t="s">
        <v>244</v>
      </c>
      <c r="HX11" t="s">
        <v>245</v>
      </c>
      <c r="HY11" t="s">
        <v>246</v>
      </c>
      <c r="HZ11" t="s">
        <v>247</v>
      </c>
      <c r="IA11" t="s">
        <v>248</v>
      </c>
      <c r="IB11" t="s">
        <v>249</v>
      </c>
      <c r="IC11" t="s">
        <v>250</v>
      </c>
      <c r="ID11" t="s">
        <v>251</v>
      </c>
      <c r="IE11" t="s">
        <v>252</v>
      </c>
      <c r="IF11" t="s">
        <v>253</v>
      </c>
      <c r="IG11" t="s">
        <v>254</v>
      </c>
      <c r="IH11" t="s">
        <v>255</v>
      </c>
      <c r="II11" t="s">
        <v>256</v>
      </c>
      <c r="IJ11" t="s">
        <v>257</v>
      </c>
      <c r="IK11" t="s">
        <v>258</v>
      </c>
      <c r="IL11" t="s">
        <v>259</v>
      </c>
      <c r="IM11" t="s">
        <v>260</v>
      </c>
      <c r="IN11" t="s">
        <v>261</v>
      </c>
      <c r="IO11" t="s">
        <v>262</v>
      </c>
      <c r="IP11" t="s">
        <v>263</v>
      </c>
      <c r="IQ11" t="s">
        <v>264</v>
      </c>
      <c r="IR11" t="s">
        <v>265</v>
      </c>
      <c r="IS11" t="s">
        <v>266</v>
      </c>
      <c r="IT11" t="s">
        <v>267</v>
      </c>
      <c r="IU11" t="s">
        <v>268</v>
      </c>
      <c r="IV11" t="s">
        <v>269</v>
      </c>
      <c r="IW11" t="s">
        <v>270</v>
      </c>
      <c r="IX11" t="s">
        <v>271</v>
      </c>
      <c r="IY11" t="s">
        <v>272</v>
      </c>
      <c r="IZ11" t="s">
        <v>273</v>
      </c>
      <c r="JA11" t="s">
        <v>274</v>
      </c>
      <c r="JB11" t="s">
        <v>275</v>
      </c>
      <c r="JC11" t="s">
        <v>276</v>
      </c>
      <c r="JD11" t="s">
        <v>277</v>
      </c>
      <c r="JE11" t="s">
        <v>278</v>
      </c>
      <c r="JF11" t="s">
        <v>279</v>
      </c>
      <c r="JG11" t="s">
        <v>280</v>
      </c>
      <c r="JH11" t="s">
        <v>281</v>
      </c>
      <c r="JI11" t="s">
        <v>282</v>
      </c>
      <c r="JJ11" t="s">
        <v>283</v>
      </c>
      <c r="JK11" t="s">
        <v>284</v>
      </c>
      <c r="JL11" t="s">
        <v>285</v>
      </c>
      <c r="JM11" t="s">
        <v>286</v>
      </c>
      <c r="JN11" t="s">
        <v>287</v>
      </c>
      <c r="JO11" t="s">
        <v>288</v>
      </c>
      <c r="JP11" t="s">
        <v>289</v>
      </c>
      <c r="JQ11" t="s">
        <v>290</v>
      </c>
      <c r="JR11" t="s">
        <v>291</v>
      </c>
      <c r="JS11" t="s">
        <v>292</v>
      </c>
      <c r="JT11" t="s">
        <v>293</v>
      </c>
      <c r="JU11" t="s">
        <v>294</v>
      </c>
      <c r="JV11" t="s">
        <v>295</v>
      </c>
      <c r="JW11" t="s">
        <v>296</v>
      </c>
      <c r="JX11" t="s">
        <v>297</v>
      </c>
      <c r="JY11" t="s">
        <v>298</v>
      </c>
      <c r="JZ11" t="s">
        <v>299</v>
      </c>
      <c r="KA11" t="s">
        <v>300</v>
      </c>
      <c r="KB11" t="s">
        <v>301</v>
      </c>
      <c r="KC11" t="s">
        <v>302</v>
      </c>
      <c r="KD11" t="s">
        <v>303</v>
      </c>
      <c r="KE11" t="s">
        <v>304</v>
      </c>
      <c r="KF11" t="s">
        <v>305</v>
      </c>
      <c r="KG11" t="s">
        <v>306</v>
      </c>
      <c r="KH11" t="s">
        <v>307</v>
      </c>
      <c r="KI11" t="s">
        <v>308</v>
      </c>
      <c r="KJ11" t="s">
        <v>309</v>
      </c>
      <c r="KK11" t="s">
        <v>310</v>
      </c>
      <c r="KL11" t="s">
        <v>311</v>
      </c>
      <c r="KM11" t="s">
        <v>312</v>
      </c>
      <c r="KN11" t="s">
        <v>313</v>
      </c>
      <c r="KO11" t="s">
        <v>314</v>
      </c>
      <c r="KP11" t="s">
        <v>315</v>
      </c>
      <c r="KQ11" t="s">
        <v>316</v>
      </c>
      <c r="KR11" t="s">
        <v>317</v>
      </c>
      <c r="KS11" t="s">
        <v>318</v>
      </c>
      <c r="KT11" t="s">
        <v>319</v>
      </c>
      <c r="KU11" t="s">
        <v>320</v>
      </c>
      <c r="KV11" t="s">
        <v>321</v>
      </c>
      <c r="KW11" t="s">
        <v>322</v>
      </c>
      <c r="KX11" t="s">
        <v>323</v>
      </c>
      <c r="KY11" t="s">
        <v>324</v>
      </c>
      <c r="KZ11" t="s">
        <v>325</v>
      </c>
      <c r="LA11" t="s">
        <v>326</v>
      </c>
      <c r="LB11" t="s">
        <v>327</v>
      </c>
      <c r="LC11" t="s">
        <v>328</v>
      </c>
      <c r="LD11" t="s">
        <v>329</v>
      </c>
      <c r="LE11" t="s">
        <v>330</v>
      </c>
      <c r="LF11" t="s">
        <v>331</v>
      </c>
      <c r="LG11" t="s">
        <v>332</v>
      </c>
      <c r="LH11" t="s">
        <v>333</v>
      </c>
      <c r="LI11" t="s">
        <v>334</v>
      </c>
      <c r="LJ11" t="s">
        <v>335</v>
      </c>
      <c r="LK11" t="s">
        <v>336</v>
      </c>
      <c r="LL11" t="s">
        <v>337</v>
      </c>
      <c r="LM11" t="s">
        <v>338</v>
      </c>
      <c r="LN11" t="s">
        <v>339</v>
      </c>
      <c r="LO11" t="s">
        <v>340</v>
      </c>
      <c r="LP11" t="s">
        <v>341</v>
      </c>
      <c r="LQ11" t="s">
        <v>342</v>
      </c>
      <c r="LR11" t="s">
        <v>343</v>
      </c>
      <c r="LS11" t="s">
        <v>344</v>
      </c>
      <c r="LT11" t="s">
        <v>345</v>
      </c>
      <c r="LU11" t="s">
        <v>346</v>
      </c>
      <c r="LV11" t="s">
        <v>347</v>
      </c>
      <c r="LW11" t="s">
        <v>348</v>
      </c>
      <c r="LX11" t="s">
        <v>349</v>
      </c>
      <c r="LY11" t="s">
        <v>350</v>
      </c>
      <c r="LZ11" t="s">
        <v>351</v>
      </c>
      <c r="MA11" t="s">
        <v>352</v>
      </c>
      <c r="MB11" t="s">
        <v>353</v>
      </c>
      <c r="MC11" t="s">
        <v>354</v>
      </c>
      <c r="MD11" t="s">
        <v>355</v>
      </c>
      <c r="ME11" t="s">
        <v>356</v>
      </c>
      <c r="MF11" t="s">
        <v>357</v>
      </c>
      <c r="MG11" t="s">
        <v>358</v>
      </c>
      <c r="MH11" t="s">
        <v>359</v>
      </c>
      <c r="MI11" t="s">
        <v>360</v>
      </c>
      <c r="MJ11" t="s">
        <v>361</v>
      </c>
      <c r="MK11" t="s">
        <v>362</v>
      </c>
      <c r="ML11" t="s">
        <v>363</v>
      </c>
      <c r="MM11" t="s">
        <v>364</v>
      </c>
      <c r="MN11" t="s">
        <v>365</v>
      </c>
      <c r="MO11" t="s">
        <v>366</v>
      </c>
      <c r="MP11" t="s">
        <v>367</v>
      </c>
      <c r="MQ11" t="s">
        <v>368</v>
      </c>
      <c r="MR11" t="s">
        <v>369</v>
      </c>
      <c r="MS11" t="s">
        <v>370</v>
      </c>
      <c r="MT11" t="s">
        <v>371</v>
      </c>
      <c r="MU11" t="s">
        <v>372</v>
      </c>
      <c r="MV11" t="s">
        <v>373</v>
      </c>
      <c r="MW11" t="s">
        <v>374</v>
      </c>
      <c r="MX11" t="s">
        <v>375</v>
      </c>
      <c r="MY11" t="s">
        <v>376</v>
      </c>
      <c r="MZ11" t="s">
        <v>377</v>
      </c>
      <c r="NA11" t="s">
        <v>378</v>
      </c>
      <c r="NB11" t="s">
        <v>379</v>
      </c>
      <c r="NC11" t="s">
        <v>380</v>
      </c>
      <c r="ND11" t="s">
        <v>381</v>
      </c>
      <c r="NE11" t="s">
        <v>382</v>
      </c>
      <c r="NF11" t="s">
        <v>383</v>
      </c>
      <c r="NG11" t="s">
        <v>384</v>
      </c>
      <c r="NH11" t="s">
        <v>385</v>
      </c>
      <c r="NI11" t="s">
        <v>386</v>
      </c>
      <c r="NJ11" t="s">
        <v>387</v>
      </c>
      <c r="NK11" t="s">
        <v>388</v>
      </c>
      <c r="NL11" t="s">
        <v>389</v>
      </c>
      <c r="NM11" t="s">
        <v>390</v>
      </c>
      <c r="NN11" t="s">
        <v>391</v>
      </c>
      <c r="NO11" t="s">
        <v>392</v>
      </c>
      <c r="NP11" t="s">
        <v>393</v>
      </c>
      <c r="NQ11" t="s">
        <v>394</v>
      </c>
      <c r="NR11" t="s">
        <v>395</v>
      </c>
      <c r="NS11" t="s">
        <v>396</v>
      </c>
      <c r="NT11" t="s">
        <v>397</v>
      </c>
      <c r="NU11" t="s">
        <v>398</v>
      </c>
      <c r="NV11" t="s">
        <v>399</v>
      </c>
      <c r="NW11" t="s">
        <v>400</v>
      </c>
      <c r="NX11" t="s">
        <v>401</v>
      </c>
      <c r="NY11" t="s">
        <v>402</v>
      </c>
      <c r="NZ11" t="s">
        <v>403</v>
      </c>
      <c r="OA11" t="s">
        <v>404</v>
      </c>
      <c r="OB11" t="s">
        <v>405</v>
      </c>
      <c r="OC11" t="s">
        <v>406</v>
      </c>
      <c r="OD11" t="s">
        <v>407</v>
      </c>
      <c r="OE11" t="s">
        <v>408</v>
      </c>
      <c r="OF11" t="s">
        <v>409</v>
      </c>
      <c r="OG11" t="s">
        <v>410</v>
      </c>
      <c r="OH11" t="s">
        <v>411</v>
      </c>
      <c r="OI11" t="s">
        <v>412</v>
      </c>
      <c r="OJ11" t="s">
        <v>413</v>
      </c>
      <c r="OK11" t="s">
        <v>414</v>
      </c>
      <c r="OL11" t="s">
        <v>415</v>
      </c>
      <c r="OM11" t="s">
        <v>416</v>
      </c>
      <c r="ON11" t="s">
        <v>417</v>
      </c>
      <c r="OO11" t="s">
        <v>418</v>
      </c>
      <c r="OP11" t="s">
        <v>419</v>
      </c>
      <c r="OQ11" t="s">
        <v>420</v>
      </c>
      <c r="OR11" t="s">
        <v>421</v>
      </c>
      <c r="OS11" t="s">
        <v>422</v>
      </c>
      <c r="OT11" t="s">
        <v>423</v>
      </c>
      <c r="OU11" t="s">
        <v>424</v>
      </c>
      <c r="OV11" t="s">
        <v>425</v>
      </c>
      <c r="OW11" t="s">
        <v>426</v>
      </c>
      <c r="OX11" t="s">
        <v>427</v>
      </c>
      <c r="OY11" t="s">
        <v>428</v>
      </c>
      <c r="OZ11" t="s">
        <v>429</v>
      </c>
      <c r="PA11" t="s">
        <v>430</v>
      </c>
      <c r="PB11" t="s">
        <v>431</v>
      </c>
      <c r="PC11" t="s">
        <v>432</v>
      </c>
      <c r="PD11" t="s">
        <v>433</v>
      </c>
      <c r="PE11" t="s">
        <v>434</v>
      </c>
      <c r="PF11" t="s">
        <v>435</v>
      </c>
      <c r="PG11" t="s">
        <v>436</v>
      </c>
      <c r="PH11" t="s">
        <v>437</v>
      </c>
      <c r="PI11" t="s">
        <v>438</v>
      </c>
      <c r="PJ11" t="s">
        <v>439</v>
      </c>
      <c r="PK11" t="s">
        <v>440</v>
      </c>
      <c r="PL11" t="s">
        <v>441</v>
      </c>
      <c r="PM11" t="s">
        <v>442</v>
      </c>
      <c r="PN11" t="s">
        <v>443</v>
      </c>
      <c r="PO11" t="s">
        <v>444</v>
      </c>
      <c r="PP11" t="s">
        <v>445</v>
      </c>
      <c r="PQ11" t="s">
        <v>446</v>
      </c>
      <c r="PR11" t="s">
        <v>447</v>
      </c>
      <c r="PS11" t="s">
        <v>448</v>
      </c>
      <c r="PT11" t="s">
        <v>449</v>
      </c>
      <c r="PU11" t="s">
        <v>450</v>
      </c>
      <c r="PV11" t="s">
        <v>451</v>
      </c>
      <c r="PW11" t="s">
        <v>452</v>
      </c>
      <c r="PX11" t="s">
        <v>453</v>
      </c>
      <c r="PY11" t="s">
        <v>454</v>
      </c>
      <c r="PZ11" t="s">
        <v>455</v>
      </c>
      <c r="QA11" t="s">
        <v>456</v>
      </c>
      <c r="QB11" t="s">
        <v>457</v>
      </c>
      <c r="QC11" t="s">
        <v>458</v>
      </c>
      <c r="QD11" t="s">
        <v>459</v>
      </c>
      <c r="QE11" t="s">
        <v>460</v>
      </c>
      <c r="QF11" t="s">
        <v>461</v>
      </c>
      <c r="QG11" t="s">
        <v>462</v>
      </c>
      <c r="QH11" t="s">
        <v>463</v>
      </c>
      <c r="QI11" t="s">
        <v>464</v>
      </c>
      <c r="QJ11" t="s">
        <v>465</v>
      </c>
      <c r="QK11" t="s">
        <v>466</v>
      </c>
      <c r="QL11" t="s">
        <v>467</v>
      </c>
      <c r="QM11" t="s">
        <v>468</v>
      </c>
      <c r="QN11" t="s">
        <v>469</v>
      </c>
      <c r="QO11" t="s">
        <v>470</v>
      </c>
      <c r="QP11" t="s">
        <v>471</v>
      </c>
      <c r="QQ11" t="s">
        <v>472</v>
      </c>
      <c r="QR11" t="s">
        <v>473</v>
      </c>
      <c r="QS11" t="s">
        <v>474</v>
      </c>
      <c r="QT11" t="s">
        <v>475</v>
      </c>
      <c r="QU11" t="s">
        <v>476</v>
      </c>
      <c r="QV11" t="s">
        <v>477</v>
      </c>
      <c r="QW11" t="s">
        <v>478</v>
      </c>
      <c r="QX11" t="s">
        <v>479</v>
      </c>
      <c r="QY11" t="s">
        <v>480</v>
      </c>
      <c r="QZ11" t="s">
        <v>481</v>
      </c>
      <c r="RA11" t="s">
        <v>482</v>
      </c>
      <c r="RB11" t="s">
        <v>483</v>
      </c>
      <c r="RC11" t="s">
        <v>484</v>
      </c>
      <c r="RD11" t="s">
        <v>485</v>
      </c>
      <c r="RE11" t="s">
        <v>486</v>
      </c>
      <c r="RF11" t="s">
        <v>487</v>
      </c>
      <c r="RG11" t="s">
        <v>488</v>
      </c>
      <c r="RH11" t="s">
        <v>489</v>
      </c>
      <c r="RI11" t="s">
        <v>490</v>
      </c>
      <c r="RJ11" t="s">
        <v>491</v>
      </c>
      <c r="RK11" t="s">
        <v>492</v>
      </c>
      <c r="RL11" t="s">
        <v>493</v>
      </c>
      <c r="RM11" t="s">
        <v>494</v>
      </c>
      <c r="RN11" t="s">
        <v>495</v>
      </c>
      <c r="RO11" t="s">
        <v>496</v>
      </c>
      <c r="RP11" t="s">
        <v>497</v>
      </c>
      <c r="RQ11" t="s">
        <v>498</v>
      </c>
      <c r="RR11" t="s">
        <v>499</v>
      </c>
      <c r="RS11" t="s">
        <v>500</v>
      </c>
      <c r="RT11" t="s">
        <v>501</v>
      </c>
      <c r="RU11" t="s">
        <v>502</v>
      </c>
      <c r="RV11" t="s">
        <v>503</v>
      </c>
      <c r="RW11" t="s">
        <v>504</v>
      </c>
      <c r="RX11" t="s">
        <v>505</v>
      </c>
      <c r="RY11" t="s">
        <v>506</v>
      </c>
      <c r="RZ11" t="s">
        <v>507</v>
      </c>
      <c r="SA11" t="s">
        <v>508</v>
      </c>
      <c r="SB11" t="s">
        <v>509</v>
      </c>
      <c r="SC11" t="s">
        <v>510</v>
      </c>
      <c r="SD11" t="s">
        <v>511</v>
      </c>
      <c r="SE11" t="s">
        <v>512</v>
      </c>
      <c r="SF11" t="s">
        <v>513</v>
      </c>
      <c r="SG11" t="s">
        <v>514</v>
      </c>
      <c r="SH11" t="s">
        <v>515</v>
      </c>
      <c r="SI11" t="s">
        <v>516</v>
      </c>
      <c r="SJ11" t="s">
        <v>517</v>
      </c>
      <c r="SK11" t="s">
        <v>518</v>
      </c>
      <c r="SL11" t="s">
        <v>519</v>
      </c>
      <c r="SM11" t="s">
        <v>520</v>
      </c>
      <c r="SN11" t="s">
        <v>521</v>
      </c>
      <c r="SO11" t="s">
        <v>522</v>
      </c>
      <c r="SP11" t="s">
        <v>523</v>
      </c>
      <c r="SQ11" t="s">
        <v>524</v>
      </c>
      <c r="SR11" t="s">
        <v>525</v>
      </c>
      <c r="SS11" t="s">
        <v>526</v>
      </c>
      <c r="ST11" t="s">
        <v>527</v>
      </c>
      <c r="SU11" t="s">
        <v>528</v>
      </c>
      <c r="SV11" t="s">
        <v>529</v>
      </c>
      <c r="SW11" t="s">
        <v>530</v>
      </c>
      <c r="SX11" t="s">
        <v>531</v>
      </c>
      <c r="SY11" t="s">
        <v>532</v>
      </c>
      <c r="SZ11" t="s">
        <v>533</v>
      </c>
      <c r="TA11" t="s">
        <v>534</v>
      </c>
      <c r="TB11" t="s">
        <v>535</v>
      </c>
      <c r="TC11" t="s">
        <v>536</v>
      </c>
      <c r="TD11" t="s">
        <v>537</v>
      </c>
      <c r="TE11" t="s">
        <v>538</v>
      </c>
      <c r="TF11" t="s">
        <v>539</v>
      </c>
      <c r="TG11" t="s">
        <v>540</v>
      </c>
      <c r="TH11" t="s">
        <v>541</v>
      </c>
      <c r="TI11" t="s">
        <v>542</v>
      </c>
      <c r="TJ11" t="s">
        <v>543</v>
      </c>
      <c r="TK11" t="s">
        <v>544</v>
      </c>
      <c r="TL11" t="s">
        <v>545</v>
      </c>
      <c r="TM11" t="s">
        <v>546</v>
      </c>
      <c r="TN11" t="s">
        <v>547</v>
      </c>
      <c r="TO11" t="s">
        <v>548</v>
      </c>
      <c r="TP11" t="s">
        <v>549</v>
      </c>
      <c r="TQ11" t="s">
        <v>550</v>
      </c>
      <c r="TR11" t="s">
        <v>551</v>
      </c>
      <c r="TS11" t="s">
        <v>552</v>
      </c>
      <c r="TT11" t="s">
        <v>553</v>
      </c>
      <c r="TU11" t="s">
        <v>554</v>
      </c>
      <c r="TV11" t="s">
        <v>555</v>
      </c>
      <c r="TW11" t="s">
        <v>556</v>
      </c>
      <c r="TX11" t="s">
        <v>557</v>
      </c>
      <c r="TY11" t="s">
        <v>558</v>
      </c>
      <c r="TZ11" t="s">
        <v>559</v>
      </c>
      <c r="UA11" t="s">
        <v>560</v>
      </c>
      <c r="UB11" t="s">
        <v>561</v>
      </c>
      <c r="UC11" t="s">
        <v>562</v>
      </c>
      <c r="UD11" t="s">
        <v>563</v>
      </c>
      <c r="UE11" t="s">
        <v>564</v>
      </c>
      <c r="UF11" t="s">
        <v>565</v>
      </c>
      <c r="UG11" t="s">
        <v>566</v>
      </c>
      <c r="UH11" t="s">
        <v>567</v>
      </c>
      <c r="UI11" t="s">
        <v>568</v>
      </c>
      <c r="UJ11" t="s">
        <v>569</v>
      </c>
      <c r="UK11" t="s">
        <v>570</v>
      </c>
      <c r="UL11" t="s">
        <v>571</v>
      </c>
      <c r="UM11" t="s">
        <v>572</v>
      </c>
      <c r="UN11" t="s">
        <v>573</v>
      </c>
      <c r="UO11" t="s">
        <v>574</v>
      </c>
      <c r="UP11" t="s">
        <v>575</v>
      </c>
      <c r="UQ11" t="s">
        <v>576</v>
      </c>
      <c r="UR11" t="s">
        <v>577</v>
      </c>
      <c r="US11" t="s">
        <v>578</v>
      </c>
      <c r="UT11" t="s">
        <v>579</v>
      </c>
      <c r="UU11" t="s">
        <v>580</v>
      </c>
      <c r="UV11" t="s">
        <v>581</v>
      </c>
      <c r="UW11" t="s">
        <v>582</v>
      </c>
      <c r="UX11" t="s">
        <v>583</v>
      </c>
      <c r="UY11" t="s">
        <v>584</v>
      </c>
      <c r="UZ11" t="s">
        <v>585</v>
      </c>
      <c r="VA11" t="s">
        <v>586</v>
      </c>
      <c r="VB11" t="s">
        <v>587</v>
      </c>
      <c r="VC11" t="s">
        <v>588</v>
      </c>
      <c r="VD11" t="s">
        <v>589</v>
      </c>
      <c r="VE11" t="s">
        <v>590</v>
      </c>
      <c r="VF11" t="s">
        <v>591</v>
      </c>
      <c r="VG11" t="s">
        <v>592</v>
      </c>
      <c r="VH11" t="s">
        <v>593</v>
      </c>
      <c r="VI11" t="s">
        <v>594</v>
      </c>
      <c r="VJ11" t="s">
        <v>595</v>
      </c>
      <c r="VK11" t="s">
        <v>596</v>
      </c>
      <c r="VL11" t="s">
        <v>597</v>
      </c>
      <c r="VM11" t="s">
        <v>598</v>
      </c>
      <c r="VN11" t="s">
        <v>599</v>
      </c>
      <c r="VO11" t="s">
        <v>600</v>
      </c>
      <c r="VP11" t="s">
        <v>601</v>
      </c>
      <c r="VQ11" t="s">
        <v>602</v>
      </c>
      <c r="VR11" t="s">
        <v>603</v>
      </c>
      <c r="VS11" t="s">
        <v>604</v>
      </c>
      <c r="VT11" t="s">
        <v>605</v>
      </c>
      <c r="VU11" t="s">
        <v>606</v>
      </c>
      <c r="VV11" t="s">
        <v>607</v>
      </c>
      <c r="VW11" t="s">
        <v>608</v>
      </c>
      <c r="VX11" t="s">
        <v>609</v>
      </c>
      <c r="VY11" t="s">
        <v>610</v>
      </c>
      <c r="VZ11" t="s">
        <v>611</v>
      </c>
      <c r="WA11" t="s">
        <v>612</v>
      </c>
      <c r="WB11" t="s">
        <v>613</v>
      </c>
      <c r="WC11" t="s">
        <v>614</v>
      </c>
      <c r="WD11" t="s">
        <v>615</v>
      </c>
      <c r="WE11" t="s">
        <v>616</v>
      </c>
      <c r="WF11" t="s">
        <v>617</v>
      </c>
      <c r="WG11" t="s">
        <v>618</v>
      </c>
      <c r="WH11" t="s">
        <v>619</v>
      </c>
      <c r="WI11" t="s">
        <v>620</v>
      </c>
      <c r="WJ11" t="s">
        <v>621</v>
      </c>
      <c r="WK11" t="s">
        <v>622</v>
      </c>
      <c r="WL11" t="s">
        <v>623</v>
      </c>
      <c r="WM11" t="s">
        <v>624</v>
      </c>
      <c r="WN11" t="s">
        <v>625</v>
      </c>
      <c r="WO11" t="s">
        <v>626</v>
      </c>
      <c r="WP11" t="s">
        <v>627</v>
      </c>
      <c r="WQ11" t="s">
        <v>628</v>
      </c>
      <c r="WR11" t="s">
        <v>629</v>
      </c>
      <c r="WS11" t="s">
        <v>630</v>
      </c>
      <c r="WT11" t="s">
        <v>631</v>
      </c>
      <c r="WU11" t="s">
        <v>632</v>
      </c>
      <c r="WV11" t="s">
        <v>633</v>
      </c>
      <c r="WW11" t="s">
        <v>634</v>
      </c>
      <c r="WX11" t="s">
        <v>635</v>
      </c>
      <c r="WY11" t="s">
        <v>636</v>
      </c>
      <c r="WZ11" t="s">
        <v>637</v>
      </c>
      <c r="XA11" t="s">
        <v>638</v>
      </c>
      <c r="XB11" t="s">
        <v>639</v>
      </c>
      <c r="XC11" t="s">
        <v>640</v>
      </c>
      <c r="XD11" t="s">
        <v>641</v>
      </c>
      <c r="XE11" t="s">
        <v>642</v>
      </c>
      <c r="XF11" t="s">
        <v>643</v>
      </c>
      <c r="XG11" t="s">
        <v>644</v>
      </c>
      <c r="XH11" t="s">
        <v>645</v>
      </c>
      <c r="XI11" t="s">
        <v>646</v>
      </c>
      <c r="XJ11" t="s">
        <v>647</v>
      </c>
      <c r="XK11" t="s">
        <v>648</v>
      </c>
      <c r="XL11" t="s">
        <v>649</v>
      </c>
      <c r="XM11" t="s">
        <v>650</v>
      </c>
      <c r="XN11" t="s">
        <v>651</v>
      </c>
      <c r="XO11" t="s">
        <v>652</v>
      </c>
      <c r="XP11" t="s">
        <v>653</v>
      </c>
      <c r="XQ11" t="s">
        <v>654</v>
      </c>
      <c r="XR11" t="s">
        <v>655</v>
      </c>
      <c r="XS11" t="s">
        <v>656</v>
      </c>
      <c r="XT11" t="s">
        <v>657</v>
      </c>
      <c r="XU11" t="s">
        <v>658</v>
      </c>
      <c r="XV11" t="s">
        <v>659</v>
      </c>
      <c r="XW11" t="s">
        <v>660</v>
      </c>
      <c r="XX11" t="s">
        <v>661</v>
      </c>
      <c r="XY11" t="s">
        <v>662</v>
      </c>
      <c r="XZ11" t="s">
        <v>663</v>
      </c>
      <c r="YA11" t="s">
        <v>664</v>
      </c>
      <c r="YB11" t="s">
        <v>665</v>
      </c>
      <c r="YC11" t="s">
        <v>666</v>
      </c>
      <c r="YD11" t="s">
        <v>667</v>
      </c>
      <c r="YE11" t="s">
        <v>668</v>
      </c>
      <c r="YF11" t="s">
        <v>669</v>
      </c>
      <c r="YG11" t="s">
        <v>670</v>
      </c>
      <c r="YH11" t="s">
        <v>671</v>
      </c>
      <c r="YI11" t="s">
        <v>672</v>
      </c>
      <c r="YJ11" t="s">
        <v>673</v>
      </c>
      <c r="YK11" t="s">
        <v>674</v>
      </c>
      <c r="YL11" t="s">
        <v>675</v>
      </c>
      <c r="YM11" t="s">
        <v>676</v>
      </c>
      <c r="YN11" t="s">
        <v>677</v>
      </c>
      <c r="YO11" t="s">
        <v>678</v>
      </c>
      <c r="YP11" t="s">
        <v>679</v>
      </c>
      <c r="YQ11" t="s">
        <v>680</v>
      </c>
      <c r="YR11" t="s">
        <v>681</v>
      </c>
      <c r="YS11" t="s">
        <v>682</v>
      </c>
      <c r="YT11" t="s">
        <v>683</v>
      </c>
      <c r="YU11" t="s">
        <v>684</v>
      </c>
      <c r="YV11" t="s">
        <v>685</v>
      </c>
      <c r="YW11" t="s">
        <v>686</v>
      </c>
      <c r="YX11" t="s">
        <v>687</v>
      </c>
      <c r="YY11" t="s">
        <v>688</v>
      </c>
      <c r="YZ11" t="s">
        <v>689</v>
      </c>
      <c r="ZA11" t="s">
        <v>690</v>
      </c>
      <c r="ZB11" t="s">
        <v>691</v>
      </c>
      <c r="ZC11" t="s">
        <v>692</v>
      </c>
      <c r="ZD11" t="s">
        <v>693</v>
      </c>
      <c r="ZE11" t="s">
        <v>694</v>
      </c>
      <c r="ZF11" t="s">
        <v>695</v>
      </c>
      <c r="ZG11" t="s">
        <v>696</v>
      </c>
      <c r="ZH11" t="s">
        <v>697</v>
      </c>
      <c r="ZI11" t="s">
        <v>698</v>
      </c>
      <c r="ZJ11" t="s">
        <v>699</v>
      </c>
      <c r="ZK11" t="s">
        <v>700</v>
      </c>
      <c r="ZL11" t="s">
        <v>701</v>
      </c>
      <c r="ZM11" t="s">
        <v>702</v>
      </c>
      <c r="ZN11" t="s">
        <v>703</v>
      </c>
      <c r="ZO11" t="s">
        <v>704</v>
      </c>
      <c r="ZP11" t="s">
        <v>705</v>
      </c>
      <c r="ZQ11" t="s">
        <v>706</v>
      </c>
      <c r="ZR11" t="s">
        <v>707</v>
      </c>
      <c r="ZS11" t="s">
        <v>708</v>
      </c>
      <c r="ZT11" t="s">
        <v>709</v>
      </c>
      <c r="ZU11" t="s">
        <v>710</v>
      </c>
      <c r="ZV11" t="s">
        <v>711</v>
      </c>
      <c r="ZW11" t="s">
        <v>712</v>
      </c>
      <c r="ZX11" t="s">
        <v>713</v>
      </c>
      <c r="ZY11" t="s">
        <v>714</v>
      </c>
      <c r="ZZ11" t="s">
        <v>715</v>
      </c>
      <c r="AAA11" t="s">
        <v>716</v>
      </c>
      <c r="AAB11" t="s">
        <v>717</v>
      </c>
      <c r="AAC11" t="s">
        <v>718</v>
      </c>
      <c r="AAD11" t="s">
        <v>719</v>
      </c>
      <c r="AAE11" t="s">
        <v>720</v>
      </c>
      <c r="AAF11" t="s">
        <v>721</v>
      </c>
      <c r="AAG11" t="s">
        <v>722</v>
      </c>
      <c r="AAH11" t="s">
        <v>723</v>
      </c>
      <c r="AAI11" t="s">
        <v>724</v>
      </c>
      <c r="AAJ11" t="s">
        <v>725</v>
      </c>
      <c r="AAK11" t="s">
        <v>726</v>
      </c>
      <c r="AAL11" t="s">
        <v>727</v>
      </c>
      <c r="AAM11" t="s">
        <v>728</v>
      </c>
      <c r="AAN11" t="s">
        <v>729</v>
      </c>
      <c r="AAO11" t="s">
        <v>730</v>
      </c>
      <c r="AAP11" t="s">
        <v>731</v>
      </c>
      <c r="AAQ11" t="s">
        <v>732</v>
      </c>
      <c r="AAR11" t="s">
        <v>733</v>
      </c>
      <c r="AAS11" t="s">
        <v>734</v>
      </c>
      <c r="AAT11" t="s">
        <v>735</v>
      </c>
      <c r="AAU11" t="s">
        <v>736</v>
      </c>
      <c r="AAV11" t="s">
        <v>737</v>
      </c>
      <c r="AAW11" t="s">
        <v>738</v>
      </c>
      <c r="AAX11" t="s">
        <v>739</v>
      </c>
      <c r="AAY11" t="s">
        <v>740</v>
      </c>
      <c r="AAZ11" t="s">
        <v>741</v>
      </c>
      <c r="ABA11" t="s">
        <v>742</v>
      </c>
      <c r="ABB11" t="s">
        <v>743</v>
      </c>
      <c r="ABC11" t="s">
        <v>744</v>
      </c>
      <c r="ABD11" t="s">
        <v>745</v>
      </c>
      <c r="ABE11" t="s">
        <v>746</v>
      </c>
      <c r="ABF11" t="s">
        <v>747</v>
      </c>
      <c r="ABG11" t="s">
        <v>748</v>
      </c>
      <c r="ABH11" t="s">
        <v>749</v>
      </c>
      <c r="ABI11" t="s">
        <v>750</v>
      </c>
      <c r="ABJ11" t="s">
        <v>751</v>
      </c>
      <c r="ABK11" t="s">
        <v>752</v>
      </c>
      <c r="ABL11" t="s">
        <v>753</v>
      </c>
      <c r="ABM11" t="s">
        <v>754</v>
      </c>
      <c r="ABN11" t="s">
        <v>755</v>
      </c>
      <c r="ABO11" t="s">
        <v>756</v>
      </c>
      <c r="ABP11" t="s">
        <v>757</v>
      </c>
      <c r="ABQ11" t="s">
        <v>758</v>
      </c>
      <c r="ABR11" t="s">
        <v>759</v>
      </c>
      <c r="ABS11" t="s">
        <v>760</v>
      </c>
      <c r="ABT11" t="s">
        <v>761</v>
      </c>
      <c r="ABU11" t="s">
        <v>762</v>
      </c>
      <c r="ABV11" t="s">
        <v>763</v>
      </c>
      <c r="ABW11" t="s">
        <v>764</v>
      </c>
      <c r="ABX11" t="s">
        <v>765</v>
      </c>
      <c r="ABY11" t="s">
        <v>766</v>
      </c>
      <c r="ABZ11" t="s">
        <v>767</v>
      </c>
      <c r="ACA11" t="s">
        <v>768</v>
      </c>
      <c r="ACB11" t="s">
        <v>769</v>
      </c>
      <c r="ACC11" t="s">
        <v>770</v>
      </c>
      <c r="ACD11" t="s">
        <v>771</v>
      </c>
      <c r="ACE11" t="s">
        <v>772</v>
      </c>
      <c r="ACF11" t="s">
        <v>773</v>
      </c>
      <c r="ACG11" t="s">
        <v>774</v>
      </c>
      <c r="ACH11" t="s">
        <v>775</v>
      </c>
      <c r="ACI11" t="s">
        <v>776</v>
      </c>
      <c r="ACJ11" t="s">
        <v>777</v>
      </c>
      <c r="ACK11" t="s">
        <v>778</v>
      </c>
      <c r="ACL11" t="s">
        <v>779</v>
      </c>
      <c r="ACM11" t="s">
        <v>780</v>
      </c>
      <c r="ACN11" t="s">
        <v>781</v>
      </c>
      <c r="ACO11" t="s">
        <v>782</v>
      </c>
      <c r="ACP11" t="s">
        <v>783</v>
      </c>
      <c r="ACQ11" t="s">
        <v>784</v>
      </c>
      <c r="ACR11" t="s">
        <v>785</v>
      </c>
      <c r="ACS11" t="s">
        <v>786</v>
      </c>
      <c r="ACT11" t="s">
        <v>787</v>
      </c>
      <c r="ACU11" t="s">
        <v>788</v>
      </c>
      <c r="ACV11" t="s">
        <v>789</v>
      </c>
      <c r="ACW11" t="s">
        <v>790</v>
      </c>
      <c r="ACX11" t="s">
        <v>791</v>
      </c>
      <c r="ACY11" t="s">
        <v>792</v>
      </c>
      <c r="ACZ11" t="s">
        <v>793</v>
      </c>
      <c r="ADA11" t="s">
        <v>794</v>
      </c>
      <c r="ADB11" t="s">
        <v>795</v>
      </c>
      <c r="ADC11" t="s">
        <v>796</v>
      </c>
      <c r="ADD11" t="s">
        <v>797</v>
      </c>
      <c r="ADE11" t="s">
        <v>798</v>
      </c>
      <c r="ADF11" t="s">
        <v>799</v>
      </c>
      <c r="ADG11" t="s">
        <v>800</v>
      </c>
      <c r="ADH11" t="s">
        <v>801</v>
      </c>
      <c r="ADI11" t="s">
        <v>802</v>
      </c>
      <c r="ADJ11" t="s">
        <v>803</v>
      </c>
      <c r="ADK11" t="s">
        <v>804</v>
      </c>
      <c r="ADL11" t="s">
        <v>805</v>
      </c>
      <c r="ADM11" t="s">
        <v>806</v>
      </c>
      <c r="ADN11" t="s">
        <v>807</v>
      </c>
      <c r="ADO11" t="s">
        <v>808</v>
      </c>
      <c r="ADP11" t="s">
        <v>809</v>
      </c>
      <c r="ADQ11" t="s">
        <v>810</v>
      </c>
      <c r="ADR11" t="s">
        <v>811</v>
      </c>
      <c r="ADS11" t="s">
        <v>812</v>
      </c>
      <c r="ADT11" t="s">
        <v>813</v>
      </c>
      <c r="ADU11" t="s">
        <v>814</v>
      </c>
      <c r="ADV11" t="s">
        <v>815</v>
      </c>
      <c r="ADW11" t="s">
        <v>816</v>
      </c>
      <c r="ADX11" t="s">
        <v>817</v>
      </c>
      <c r="ADY11" t="s">
        <v>818</v>
      </c>
      <c r="ADZ11" t="s">
        <v>819</v>
      </c>
      <c r="AEA11" t="s">
        <v>820</v>
      </c>
      <c r="AEB11" t="s">
        <v>821</v>
      </c>
      <c r="AEC11" t="s">
        <v>822</v>
      </c>
      <c r="AED11" t="s">
        <v>823</v>
      </c>
      <c r="AEE11" t="s">
        <v>824</v>
      </c>
      <c r="AEF11" t="s">
        <v>825</v>
      </c>
      <c r="AEG11" t="s">
        <v>826</v>
      </c>
      <c r="AEH11" t="s">
        <v>827</v>
      </c>
      <c r="AEI11" t="s">
        <v>828</v>
      </c>
      <c r="AEJ11" t="s">
        <v>829</v>
      </c>
      <c r="AEK11" t="s">
        <v>830</v>
      </c>
      <c r="AEL11" t="s">
        <v>831</v>
      </c>
      <c r="AEM11" t="s">
        <v>832</v>
      </c>
      <c r="AEN11" t="s">
        <v>833</v>
      </c>
      <c r="AEO11" t="s">
        <v>834</v>
      </c>
      <c r="AEP11" t="s">
        <v>835</v>
      </c>
      <c r="AEQ11" t="s">
        <v>836</v>
      </c>
      <c r="AER11" t="s">
        <v>837</v>
      </c>
      <c r="AES11" t="s">
        <v>838</v>
      </c>
      <c r="AET11" t="s">
        <v>839</v>
      </c>
      <c r="AEU11" t="s">
        <v>840</v>
      </c>
      <c r="AEV11" t="s">
        <v>841</v>
      </c>
      <c r="AEW11" t="s">
        <v>842</v>
      </c>
      <c r="AEX11" t="s">
        <v>843</v>
      </c>
      <c r="AEY11" t="s">
        <v>844</v>
      </c>
      <c r="AEZ11" t="s">
        <v>845</v>
      </c>
      <c r="AFA11" t="s">
        <v>846</v>
      </c>
      <c r="AFB11" t="s">
        <v>847</v>
      </c>
      <c r="AFC11" t="s">
        <v>848</v>
      </c>
      <c r="AFD11" t="s">
        <v>849</v>
      </c>
      <c r="AFE11" t="s">
        <v>850</v>
      </c>
      <c r="AFF11" t="s">
        <v>851</v>
      </c>
      <c r="AFG11" t="s">
        <v>852</v>
      </c>
      <c r="AFH11" t="s">
        <v>853</v>
      </c>
      <c r="AFI11" t="s">
        <v>854</v>
      </c>
      <c r="AFJ11" t="s">
        <v>855</v>
      </c>
      <c r="AFK11" t="s">
        <v>856</v>
      </c>
      <c r="AFL11" t="s">
        <v>857</v>
      </c>
      <c r="AFM11" t="s">
        <v>858</v>
      </c>
      <c r="AFN11" t="s">
        <v>859</v>
      </c>
      <c r="AFO11" t="s">
        <v>860</v>
      </c>
      <c r="AFP11" t="s">
        <v>861</v>
      </c>
      <c r="AFQ11" t="s">
        <v>862</v>
      </c>
      <c r="AFR11" t="s">
        <v>863</v>
      </c>
      <c r="AFS11" t="s">
        <v>864</v>
      </c>
      <c r="AFT11" t="s">
        <v>865</v>
      </c>
      <c r="AFU11" t="s">
        <v>866</v>
      </c>
      <c r="AFV11" t="s">
        <v>867</v>
      </c>
      <c r="AFW11" t="s">
        <v>868</v>
      </c>
      <c r="AFX11" t="s">
        <v>869</v>
      </c>
      <c r="AFY11" t="s">
        <v>870</v>
      </c>
      <c r="AFZ11" t="s">
        <v>871</v>
      </c>
      <c r="AGA11" t="s">
        <v>872</v>
      </c>
      <c r="AGB11" t="s">
        <v>873</v>
      </c>
      <c r="AGC11" t="s">
        <v>874</v>
      </c>
      <c r="AGD11" t="s">
        <v>875</v>
      </c>
      <c r="AGE11" t="s">
        <v>876</v>
      </c>
      <c r="AGF11" t="s">
        <v>877</v>
      </c>
      <c r="AGG11" t="s">
        <v>878</v>
      </c>
      <c r="AGH11" t="s">
        <v>879</v>
      </c>
      <c r="AGI11" t="s">
        <v>880</v>
      </c>
      <c r="AGJ11" t="s">
        <v>881</v>
      </c>
      <c r="AGK11" t="s">
        <v>882</v>
      </c>
      <c r="AGL11" t="s">
        <v>883</v>
      </c>
      <c r="AGM11" t="s">
        <v>884</v>
      </c>
      <c r="AGN11" t="s">
        <v>885</v>
      </c>
      <c r="AGO11" t="s">
        <v>886</v>
      </c>
      <c r="AGP11" t="s">
        <v>887</v>
      </c>
      <c r="AGQ11" t="s">
        <v>888</v>
      </c>
      <c r="AGR11" t="s">
        <v>889</v>
      </c>
      <c r="AGS11" t="s">
        <v>890</v>
      </c>
      <c r="AGT11" t="s">
        <v>891</v>
      </c>
      <c r="AGU11" t="s">
        <v>892</v>
      </c>
      <c r="AGV11" t="s">
        <v>893</v>
      </c>
      <c r="AGW11" t="s">
        <v>894</v>
      </c>
      <c r="AGX11" t="s">
        <v>895</v>
      </c>
      <c r="AGY11" t="s">
        <v>896</v>
      </c>
      <c r="AGZ11" t="s">
        <v>897</v>
      </c>
      <c r="AHA11" t="s">
        <v>898</v>
      </c>
      <c r="AHB11" t="s">
        <v>899</v>
      </c>
      <c r="AHC11" t="s">
        <v>900</v>
      </c>
      <c r="AHD11" t="s">
        <v>901</v>
      </c>
      <c r="AHE11" t="s">
        <v>902</v>
      </c>
      <c r="AHF11" t="s">
        <v>903</v>
      </c>
      <c r="AHG11" t="s">
        <v>904</v>
      </c>
      <c r="AHH11" t="s">
        <v>905</v>
      </c>
      <c r="AHI11" t="s">
        <v>906</v>
      </c>
      <c r="AHJ11" t="s">
        <v>907</v>
      </c>
      <c r="AHK11" t="s">
        <v>908</v>
      </c>
      <c r="AHL11" t="s">
        <v>909</v>
      </c>
      <c r="AHM11" t="s">
        <v>910</v>
      </c>
      <c r="AHN11" t="s">
        <v>911</v>
      </c>
      <c r="AHO11" t="s">
        <v>912</v>
      </c>
      <c r="AHP11" t="s">
        <v>913</v>
      </c>
      <c r="AHQ11" t="s">
        <v>914</v>
      </c>
      <c r="AHR11" t="s">
        <v>915</v>
      </c>
      <c r="AHS11" t="s">
        <v>916</v>
      </c>
      <c r="AHT11" t="s">
        <v>917</v>
      </c>
      <c r="AHU11" t="s">
        <v>918</v>
      </c>
      <c r="AHV11" t="s">
        <v>919</v>
      </c>
      <c r="AHW11" t="s">
        <v>920</v>
      </c>
      <c r="AHX11" t="s">
        <v>921</v>
      </c>
      <c r="AHY11" t="s">
        <v>922</v>
      </c>
      <c r="AHZ11" t="s">
        <v>923</v>
      </c>
      <c r="AIA11" t="s">
        <v>924</v>
      </c>
      <c r="AIB11" t="s">
        <v>925</v>
      </c>
      <c r="AIC11" t="s">
        <v>926</v>
      </c>
      <c r="AID11" t="s">
        <v>927</v>
      </c>
      <c r="AIE11" t="s">
        <v>928</v>
      </c>
      <c r="AIF11" t="s">
        <v>929</v>
      </c>
      <c r="AIG11" t="s">
        <v>930</v>
      </c>
      <c r="AIH11" t="s">
        <v>931</v>
      </c>
      <c r="AII11" t="s">
        <v>932</v>
      </c>
      <c r="AIJ11" t="s">
        <v>933</v>
      </c>
      <c r="AIK11" t="s">
        <v>934</v>
      </c>
      <c r="AIL11" t="s">
        <v>935</v>
      </c>
      <c r="AIM11" t="s">
        <v>936</v>
      </c>
      <c r="AIN11" t="s">
        <v>937</v>
      </c>
      <c r="AIO11" t="s">
        <v>938</v>
      </c>
      <c r="AIP11" t="s">
        <v>939</v>
      </c>
      <c r="AIQ11" t="s">
        <v>940</v>
      </c>
      <c r="AIR11" t="s">
        <v>941</v>
      </c>
      <c r="AIS11" t="s">
        <v>942</v>
      </c>
      <c r="AIT11" t="s">
        <v>943</v>
      </c>
      <c r="AIU11" t="s">
        <v>944</v>
      </c>
      <c r="AIV11" t="s">
        <v>945</v>
      </c>
      <c r="AIW11" t="s">
        <v>946</v>
      </c>
      <c r="AIX11" t="s">
        <v>947</v>
      </c>
      <c r="AIY11" t="s">
        <v>948</v>
      </c>
      <c r="AIZ11" t="s">
        <v>949</v>
      </c>
      <c r="AJA11" t="s">
        <v>950</v>
      </c>
      <c r="AJB11" t="s">
        <v>951</v>
      </c>
      <c r="AJC11" t="s">
        <v>952</v>
      </c>
      <c r="AJD11" t="s">
        <v>953</v>
      </c>
      <c r="AJE11" t="s">
        <v>954</v>
      </c>
      <c r="AJF11" t="s">
        <v>955</v>
      </c>
      <c r="AJG11" t="s">
        <v>956</v>
      </c>
      <c r="AJH11" t="s">
        <v>957</v>
      </c>
      <c r="AJI11" t="s">
        <v>958</v>
      </c>
      <c r="AJJ11" t="s">
        <v>959</v>
      </c>
      <c r="AJK11" t="s">
        <v>960</v>
      </c>
      <c r="AJL11" t="s">
        <v>961</v>
      </c>
      <c r="AJM11" t="s">
        <v>962</v>
      </c>
      <c r="AJN11" t="s">
        <v>963</v>
      </c>
      <c r="AJO11" t="s">
        <v>964</v>
      </c>
      <c r="AJP11" t="s">
        <v>965</v>
      </c>
      <c r="AJQ11" t="s">
        <v>966</v>
      </c>
      <c r="AJR11" t="s">
        <v>967</v>
      </c>
      <c r="AJS11" t="s">
        <v>968</v>
      </c>
      <c r="AJT11" t="s">
        <v>969</v>
      </c>
      <c r="AJU11" t="s">
        <v>970</v>
      </c>
      <c r="AJV11" t="s">
        <v>971</v>
      </c>
      <c r="AJW11" t="s">
        <v>972</v>
      </c>
      <c r="AJX11" t="s">
        <v>973</v>
      </c>
      <c r="AJY11" t="s">
        <v>974</v>
      </c>
      <c r="AJZ11" t="s">
        <v>975</v>
      </c>
      <c r="AKA11" t="s">
        <v>976</v>
      </c>
      <c r="AKB11" t="s">
        <v>977</v>
      </c>
      <c r="AKC11" t="s">
        <v>978</v>
      </c>
      <c r="AKD11" t="s">
        <v>979</v>
      </c>
      <c r="AKE11" t="s">
        <v>980</v>
      </c>
      <c r="AKF11" t="s">
        <v>981</v>
      </c>
      <c r="AKG11" t="s">
        <v>982</v>
      </c>
      <c r="AKH11" t="s">
        <v>983</v>
      </c>
      <c r="AKI11" t="s">
        <v>984</v>
      </c>
      <c r="AKJ11" t="s">
        <v>985</v>
      </c>
      <c r="AKK11" t="s">
        <v>986</v>
      </c>
      <c r="AKL11" t="s">
        <v>987</v>
      </c>
      <c r="AKM11" t="s">
        <v>988</v>
      </c>
      <c r="AKN11" t="s">
        <v>989</v>
      </c>
      <c r="AKO11" t="s">
        <v>990</v>
      </c>
      <c r="AKP11" t="s">
        <v>991</v>
      </c>
      <c r="AKQ11" t="s">
        <v>992</v>
      </c>
      <c r="AKR11" t="s">
        <v>993</v>
      </c>
      <c r="AKS11" t="s">
        <v>994</v>
      </c>
      <c r="AKT11" t="s">
        <v>995</v>
      </c>
      <c r="AKU11" t="s">
        <v>996</v>
      </c>
      <c r="AKV11" t="s">
        <v>997</v>
      </c>
      <c r="AKW11" t="s">
        <v>998</v>
      </c>
      <c r="AKX11" t="s">
        <v>999</v>
      </c>
      <c r="AKY11" t="s">
        <v>1000</v>
      </c>
      <c r="AKZ11" t="s">
        <v>1001</v>
      </c>
      <c r="ALA11" t="s">
        <v>1002</v>
      </c>
      <c r="ALB11" t="s">
        <v>1003</v>
      </c>
      <c r="ALC11" t="s">
        <v>1004</v>
      </c>
      <c r="ALD11" t="s">
        <v>1005</v>
      </c>
      <c r="ALE11" t="s">
        <v>1006</v>
      </c>
      <c r="ALF11" t="s">
        <v>1007</v>
      </c>
      <c r="ALG11" t="s">
        <v>1008</v>
      </c>
      <c r="ALH11" t="s">
        <v>1009</v>
      </c>
      <c r="ALI11" t="s">
        <v>1010</v>
      </c>
      <c r="ALJ11" t="s">
        <v>1011</v>
      </c>
      <c r="ALK11" t="s">
        <v>1012</v>
      </c>
      <c r="ALL11" t="s">
        <v>1013</v>
      </c>
      <c r="ALM11" t="s">
        <v>1014</v>
      </c>
      <c r="ALN11" t="s">
        <v>1015</v>
      </c>
      <c r="ALO11" t="s">
        <v>1016</v>
      </c>
      <c r="ALP11" t="s">
        <v>1017</v>
      </c>
      <c r="ALQ11" t="s">
        <v>1018</v>
      </c>
      <c r="ALR11" t="s">
        <v>1019</v>
      </c>
      <c r="ALS11" t="s">
        <v>1020</v>
      </c>
      <c r="ALT11" t="s">
        <v>1021</v>
      </c>
      <c r="ALU11" t="s">
        <v>1022</v>
      </c>
      <c r="ALV11" t="s">
        <v>1023</v>
      </c>
      <c r="ALW11" t="s">
        <v>1024</v>
      </c>
      <c r="ALX11" t="s">
        <v>1025</v>
      </c>
      <c r="ALY11" t="s">
        <v>1026</v>
      </c>
      <c r="ALZ11" t="s">
        <v>1027</v>
      </c>
      <c r="AMA11" t="s">
        <v>1028</v>
      </c>
      <c r="AMB11" t="s">
        <v>1029</v>
      </c>
      <c r="AMC11" t="s">
        <v>1030</v>
      </c>
      <c r="AMD11" t="s">
        <v>1031</v>
      </c>
      <c r="AME11" t="s">
        <v>1032</v>
      </c>
      <c r="AMF11" t="s">
        <v>1033</v>
      </c>
      <c r="AMG11" t="s">
        <v>1034</v>
      </c>
      <c r="AMH11" t="s">
        <v>1035</v>
      </c>
      <c r="AMI11" t="s">
        <v>1036</v>
      </c>
      <c r="AMJ11" t="s">
        <v>1037</v>
      </c>
      <c r="AMK11" t="s">
        <v>1038</v>
      </c>
      <c r="AML11" t="s">
        <v>1039</v>
      </c>
      <c r="AMM11" t="s">
        <v>1040</v>
      </c>
      <c r="AMN11" t="s">
        <v>1041</v>
      </c>
      <c r="AMO11" t="s">
        <v>1042</v>
      </c>
      <c r="AMP11" t="s">
        <v>1043</v>
      </c>
      <c r="AMQ11" t="s">
        <v>1044</v>
      </c>
      <c r="AMR11" t="s">
        <v>1045</v>
      </c>
      <c r="AMS11" t="s">
        <v>1046</v>
      </c>
      <c r="AMT11" t="s">
        <v>1047</v>
      </c>
      <c r="AMU11" t="s">
        <v>1048</v>
      </c>
      <c r="AMV11" t="s">
        <v>1049</v>
      </c>
      <c r="AMW11" t="s">
        <v>1050</v>
      </c>
      <c r="AMX11" t="s">
        <v>1051</v>
      </c>
      <c r="AMY11" t="s">
        <v>1052</v>
      </c>
      <c r="AMZ11" t="s">
        <v>1053</v>
      </c>
      <c r="ANA11" t="s">
        <v>1054</v>
      </c>
      <c r="ANB11" t="s">
        <v>1055</v>
      </c>
      <c r="ANC11" t="s">
        <v>1056</v>
      </c>
      <c r="AND11" t="s">
        <v>1057</v>
      </c>
      <c r="ANE11" t="s">
        <v>1058</v>
      </c>
      <c r="ANF11" t="s">
        <v>1059</v>
      </c>
      <c r="ANG11" t="s">
        <v>1060</v>
      </c>
      <c r="ANH11" t="s">
        <v>1061</v>
      </c>
      <c r="ANI11" t="s">
        <v>1062</v>
      </c>
      <c r="ANJ11" t="s">
        <v>1063</v>
      </c>
      <c r="ANK11" t="s">
        <v>1064</v>
      </c>
      <c r="ANL11" t="s">
        <v>1065</v>
      </c>
      <c r="ANM11" t="s">
        <v>1066</v>
      </c>
      <c r="ANN11" t="s">
        <v>1067</v>
      </c>
      <c r="ANO11" t="s">
        <v>1068</v>
      </c>
      <c r="ANP11" t="s">
        <v>1069</v>
      </c>
      <c r="ANQ11" t="s">
        <v>1070</v>
      </c>
      <c r="ANR11" t="s">
        <v>1071</v>
      </c>
      <c r="ANS11" t="s">
        <v>1072</v>
      </c>
      <c r="ANT11" t="s">
        <v>1073</v>
      </c>
      <c r="ANU11" t="s">
        <v>1074</v>
      </c>
      <c r="ANV11" t="s">
        <v>1075</v>
      </c>
      <c r="ANW11" t="s">
        <v>1076</v>
      </c>
      <c r="ANX11" t="s">
        <v>1077</v>
      </c>
      <c r="ANY11" t="s">
        <v>1078</v>
      </c>
      <c r="ANZ11" t="s">
        <v>1079</v>
      </c>
      <c r="AOA11" t="s">
        <v>1080</v>
      </c>
      <c r="AOB11" t="s">
        <v>1081</v>
      </c>
      <c r="AOC11" t="s">
        <v>1082</v>
      </c>
      <c r="AOD11" t="s">
        <v>1083</v>
      </c>
      <c r="AOE11" t="s">
        <v>1084</v>
      </c>
      <c r="AOF11" t="s">
        <v>1085</v>
      </c>
      <c r="AOG11" t="s">
        <v>1086</v>
      </c>
      <c r="AOH11" t="s">
        <v>1087</v>
      </c>
      <c r="AOI11" t="s">
        <v>1088</v>
      </c>
      <c r="AOJ11" t="s">
        <v>1089</v>
      </c>
      <c r="AOK11" t="s">
        <v>1090</v>
      </c>
      <c r="AOL11" t="s">
        <v>1091</v>
      </c>
      <c r="AOM11" t="s">
        <v>1092</v>
      </c>
      <c r="AON11" t="s">
        <v>1093</v>
      </c>
      <c r="AOO11" t="s">
        <v>1094</v>
      </c>
      <c r="AOP11" t="s">
        <v>1095</v>
      </c>
      <c r="AOQ11" t="s">
        <v>1096</v>
      </c>
      <c r="AOR11" t="s">
        <v>1097</v>
      </c>
      <c r="AOS11" t="s">
        <v>1098</v>
      </c>
      <c r="AOT11" t="s">
        <v>1099</v>
      </c>
      <c r="AOU11" t="s">
        <v>1100</v>
      </c>
      <c r="AOV11" t="s">
        <v>1101</v>
      </c>
      <c r="AOW11" t="s">
        <v>1102</v>
      </c>
      <c r="AOX11" t="s">
        <v>1103</v>
      </c>
      <c r="AOY11" t="s">
        <v>1104</v>
      </c>
      <c r="AOZ11" t="s">
        <v>1105</v>
      </c>
      <c r="APA11" t="s">
        <v>1106</v>
      </c>
      <c r="APB11" t="s">
        <v>1107</v>
      </c>
      <c r="APC11" t="s">
        <v>1108</v>
      </c>
      <c r="APD11" t="s">
        <v>1109</v>
      </c>
      <c r="APE11" t="s">
        <v>1110</v>
      </c>
      <c r="APF11" t="s">
        <v>1111</v>
      </c>
      <c r="APG11" t="s">
        <v>1112</v>
      </c>
      <c r="APH11" t="s">
        <v>1113</v>
      </c>
      <c r="API11" t="s">
        <v>1114</v>
      </c>
      <c r="APJ11" t="s">
        <v>1115</v>
      </c>
      <c r="APK11" t="s">
        <v>1116</v>
      </c>
      <c r="APL11" t="s">
        <v>1117</v>
      </c>
      <c r="APM11" t="s">
        <v>1118</v>
      </c>
      <c r="APN11" t="s">
        <v>1119</v>
      </c>
      <c r="APO11" t="s">
        <v>1120</v>
      </c>
      <c r="APP11" t="s">
        <v>1121</v>
      </c>
      <c r="APQ11" t="s">
        <v>1122</v>
      </c>
      <c r="APR11" t="s">
        <v>1123</v>
      </c>
      <c r="APS11" t="s">
        <v>1124</v>
      </c>
      <c r="APT11" t="s">
        <v>1125</v>
      </c>
      <c r="APU11" t="s">
        <v>1126</v>
      </c>
      <c r="APV11" t="s">
        <v>1127</v>
      </c>
      <c r="APW11" t="s">
        <v>1128</v>
      </c>
      <c r="APX11" t="s">
        <v>1129</v>
      </c>
      <c r="APY11" t="s">
        <v>1130</v>
      </c>
      <c r="APZ11" t="s">
        <v>1131</v>
      </c>
      <c r="AQA11" t="s">
        <v>1132</v>
      </c>
      <c r="AQB11" t="s">
        <v>1133</v>
      </c>
      <c r="AQC11" t="s">
        <v>1134</v>
      </c>
      <c r="AQD11" t="s">
        <v>1135</v>
      </c>
      <c r="AQE11" t="s">
        <v>1136</v>
      </c>
      <c r="AQF11" t="s">
        <v>1137</v>
      </c>
      <c r="AQG11" t="s">
        <v>1138</v>
      </c>
      <c r="AQH11" t="s">
        <v>1139</v>
      </c>
      <c r="AQI11" t="s">
        <v>1140</v>
      </c>
      <c r="AQJ11" t="s">
        <v>1141</v>
      </c>
      <c r="AQK11" t="s">
        <v>1142</v>
      </c>
      <c r="AQL11" t="s">
        <v>1143</v>
      </c>
      <c r="AQM11" t="s">
        <v>1144</v>
      </c>
      <c r="AQN11" t="s">
        <v>1145</v>
      </c>
      <c r="AQO11" t="s">
        <v>1146</v>
      </c>
      <c r="AQP11" t="s">
        <v>1147</v>
      </c>
      <c r="AQQ11" t="s">
        <v>1148</v>
      </c>
      <c r="AQR11" t="s">
        <v>1149</v>
      </c>
      <c r="AQS11" t="s">
        <v>1150</v>
      </c>
      <c r="AQT11" t="s">
        <v>1151</v>
      </c>
      <c r="AQU11" t="s">
        <v>1152</v>
      </c>
      <c r="AQV11" t="s">
        <v>1153</v>
      </c>
      <c r="AQW11" t="s">
        <v>1154</v>
      </c>
      <c r="AQX11" t="s">
        <v>1155</v>
      </c>
      <c r="AQY11" t="s">
        <v>1156</v>
      </c>
      <c r="AQZ11" t="s">
        <v>1157</v>
      </c>
      <c r="ARA11" t="s">
        <v>1158</v>
      </c>
      <c r="ARB11" t="s">
        <v>1159</v>
      </c>
      <c r="ARC11" t="s">
        <v>1160</v>
      </c>
      <c r="ARD11" t="s">
        <v>1161</v>
      </c>
      <c r="ARE11" t="s">
        <v>1162</v>
      </c>
      <c r="ARF11" t="s">
        <v>1163</v>
      </c>
      <c r="ARG11" t="s">
        <v>1164</v>
      </c>
      <c r="ARH11" t="s">
        <v>1165</v>
      </c>
      <c r="ARI11" t="s">
        <v>1166</v>
      </c>
      <c r="ARJ11" t="s">
        <v>1167</v>
      </c>
      <c r="ARK11" t="s">
        <v>1168</v>
      </c>
      <c r="ARL11" t="s">
        <v>1169</v>
      </c>
      <c r="ARM11" t="s">
        <v>1170</v>
      </c>
      <c r="ARN11" t="s">
        <v>1171</v>
      </c>
      <c r="ARO11" t="s">
        <v>1172</v>
      </c>
      <c r="ARP11" t="s">
        <v>1173</v>
      </c>
      <c r="ARQ11" t="s">
        <v>1174</v>
      </c>
      <c r="ARR11" t="s">
        <v>1175</v>
      </c>
      <c r="ARS11" t="s">
        <v>1176</v>
      </c>
      <c r="ART11" t="s">
        <v>1177</v>
      </c>
      <c r="ARU11" t="s">
        <v>1178</v>
      </c>
      <c r="ARV11" t="s">
        <v>1179</v>
      </c>
      <c r="ARW11" t="s">
        <v>1180</v>
      </c>
      <c r="ARX11" t="s">
        <v>1181</v>
      </c>
      <c r="ARY11" t="s">
        <v>1182</v>
      </c>
      <c r="ARZ11" t="s">
        <v>1183</v>
      </c>
      <c r="ASA11" t="s">
        <v>1184</v>
      </c>
      <c r="ASB11" t="s">
        <v>1185</v>
      </c>
      <c r="ASC11" t="s">
        <v>1186</v>
      </c>
      <c r="ASD11" t="s">
        <v>1187</v>
      </c>
      <c r="ASE11" t="s">
        <v>1188</v>
      </c>
      <c r="ASF11" t="s">
        <v>1189</v>
      </c>
      <c r="ASG11" t="s">
        <v>1190</v>
      </c>
      <c r="ASH11" t="s">
        <v>1191</v>
      </c>
      <c r="ASI11" t="s">
        <v>1192</v>
      </c>
      <c r="ASJ11" t="s">
        <v>1193</v>
      </c>
      <c r="ASK11" t="s">
        <v>1194</v>
      </c>
      <c r="ASL11" t="s">
        <v>1195</v>
      </c>
      <c r="ASM11" t="s">
        <v>1196</v>
      </c>
      <c r="ASN11" t="s">
        <v>1197</v>
      </c>
      <c r="ASO11" t="s">
        <v>1198</v>
      </c>
      <c r="ASP11" t="s">
        <v>1199</v>
      </c>
      <c r="ASQ11" t="s">
        <v>1200</v>
      </c>
      <c r="ASR11" t="s">
        <v>1201</v>
      </c>
      <c r="ASS11" t="s">
        <v>1202</v>
      </c>
      <c r="AST11" t="s">
        <v>1203</v>
      </c>
      <c r="ASU11" t="s">
        <v>1204</v>
      </c>
      <c r="ASV11" t="s">
        <v>1205</v>
      </c>
      <c r="ASW11" t="s">
        <v>1206</v>
      </c>
      <c r="ASX11" t="s">
        <v>1207</v>
      </c>
      <c r="ASY11" t="s">
        <v>1208</v>
      </c>
      <c r="ASZ11" t="s">
        <v>1209</v>
      </c>
      <c r="ATA11" t="s">
        <v>1210</v>
      </c>
      <c r="ATB11" t="s">
        <v>1211</v>
      </c>
      <c r="ATC11" t="s">
        <v>1212</v>
      </c>
      <c r="ATD11" t="s">
        <v>1213</v>
      </c>
      <c r="ATE11" t="s">
        <v>1214</v>
      </c>
      <c r="ATF11" t="s">
        <v>1215</v>
      </c>
      <c r="ATG11" t="s">
        <v>1216</v>
      </c>
      <c r="ATH11" t="s">
        <v>1217</v>
      </c>
      <c r="ATI11" t="s">
        <v>1218</v>
      </c>
      <c r="ATJ11" t="s">
        <v>1219</v>
      </c>
      <c r="ATK11" t="s">
        <v>1220</v>
      </c>
      <c r="ATL11" t="s">
        <v>1221</v>
      </c>
      <c r="ATM11" t="s">
        <v>1222</v>
      </c>
      <c r="ATN11" t="s">
        <v>1223</v>
      </c>
      <c r="ATO11" t="s">
        <v>1224</v>
      </c>
      <c r="ATP11" t="s">
        <v>1225</v>
      </c>
      <c r="ATQ11" t="s">
        <v>1226</v>
      </c>
      <c r="ATR11" t="s">
        <v>1227</v>
      </c>
      <c r="ATS11" t="s">
        <v>1228</v>
      </c>
      <c r="ATT11" t="s">
        <v>1229</v>
      </c>
      <c r="ATU11" t="s">
        <v>1230</v>
      </c>
      <c r="ATV11" t="s">
        <v>1231</v>
      </c>
      <c r="ATW11" t="s">
        <v>1232</v>
      </c>
      <c r="ATX11" t="s">
        <v>1233</v>
      </c>
      <c r="ATY11" t="s">
        <v>1234</v>
      </c>
      <c r="ATZ11" t="s">
        <v>1235</v>
      </c>
      <c r="AUA11" t="s">
        <v>1236</v>
      </c>
      <c r="AUB11" t="s">
        <v>1237</v>
      </c>
      <c r="AUC11" t="s">
        <v>1238</v>
      </c>
      <c r="AUD11" t="s">
        <v>1239</v>
      </c>
      <c r="AUE11" t="s">
        <v>1240</v>
      </c>
      <c r="AUF11" t="s">
        <v>1241</v>
      </c>
      <c r="AUG11" t="s">
        <v>1242</v>
      </c>
      <c r="AUH11" t="s">
        <v>1243</v>
      </c>
      <c r="AUI11" t="s">
        <v>1244</v>
      </c>
      <c r="AUJ11" t="s">
        <v>1245</v>
      </c>
      <c r="AUK11" t="s">
        <v>1246</v>
      </c>
      <c r="AUL11" t="s">
        <v>1247</v>
      </c>
      <c r="AUM11" t="s">
        <v>1248</v>
      </c>
      <c r="AUN11" t="s">
        <v>1249</v>
      </c>
      <c r="AUO11" t="s">
        <v>1250</v>
      </c>
      <c r="AUP11" t="s">
        <v>1251</v>
      </c>
      <c r="AUQ11" t="s">
        <v>1252</v>
      </c>
      <c r="AUR11" t="s">
        <v>1253</v>
      </c>
      <c r="AUS11" t="s">
        <v>1254</v>
      </c>
      <c r="AUT11" t="s">
        <v>1255</v>
      </c>
      <c r="AUU11" t="s">
        <v>1256</v>
      </c>
      <c r="AUV11" t="s">
        <v>1257</v>
      </c>
      <c r="AUW11" t="s">
        <v>1258</v>
      </c>
      <c r="AUX11" t="s">
        <v>1259</v>
      </c>
      <c r="AUY11" t="s">
        <v>1260</v>
      </c>
      <c r="AUZ11" t="s">
        <v>1261</v>
      </c>
      <c r="AVA11" t="s">
        <v>1262</v>
      </c>
      <c r="AVB11" t="s">
        <v>1263</v>
      </c>
      <c r="AVC11" t="s">
        <v>1264</v>
      </c>
      <c r="AVD11" t="s">
        <v>1265</v>
      </c>
      <c r="AVE11" t="s">
        <v>1266</v>
      </c>
      <c r="AVF11" t="s">
        <v>1267</v>
      </c>
      <c r="AVG11" t="s">
        <v>1268</v>
      </c>
      <c r="AVH11" t="s">
        <v>1269</v>
      </c>
      <c r="AVI11" t="s">
        <v>1270</v>
      </c>
      <c r="AVJ11" t="s">
        <v>1271</v>
      </c>
      <c r="AVK11" t="s">
        <v>1272</v>
      </c>
      <c r="AVL11" t="s">
        <v>1273</v>
      </c>
      <c r="AVM11" t="s">
        <v>1274</v>
      </c>
      <c r="AVN11" t="s">
        <v>1275</v>
      </c>
      <c r="AVO11" t="s">
        <v>1276</v>
      </c>
      <c r="AVP11" t="s">
        <v>1277</v>
      </c>
      <c r="AVQ11" t="s">
        <v>1278</v>
      </c>
      <c r="AVR11" t="s">
        <v>1279</v>
      </c>
      <c r="AVS11" t="s">
        <v>1280</v>
      </c>
      <c r="AVT11" t="s">
        <v>1281</v>
      </c>
      <c r="AVU11" t="s">
        <v>1282</v>
      </c>
      <c r="AVV11" t="s">
        <v>1283</v>
      </c>
      <c r="AVW11" t="s">
        <v>1284</v>
      </c>
      <c r="AVX11" t="s">
        <v>1285</v>
      </c>
      <c r="AVY11" t="s">
        <v>1286</v>
      </c>
      <c r="AVZ11" t="s">
        <v>1287</v>
      </c>
      <c r="AWA11" t="s">
        <v>1288</v>
      </c>
      <c r="AWB11" t="s">
        <v>1289</v>
      </c>
      <c r="AWC11" t="s">
        <v>1290</v>
      </c>
      <c r="AWD11" t="s">
        <v>1291</v>
      </c>
      <c r="AWE11" t="s">
        <v>1292</v>
      </c>
      <c r="AWF11" t="s">
        <v>1293</v>
      </c>
      <c r="AWG11" t="s">
        <v>1294</v>
      </c>
      <c r="AWH11" t="s">
        <v>1295</v>
      </c>
      <c r="AWI11" t="s">
        <v>1296</v>
      </c>
      <c r="AWJ11" t="s">
        <v>1297</v>
      </c>
      <c r="AWK11" t="s">
        <v>1298</v>
      </c>
      <c r="AWL11" t="s">
        <v>1299</v>
      </c>
      <c r="AWM11" t="s">
        <v>1300</v>
      </c>
      <c r="AWN11" t="s">
        <v>1301</v>
      </c>
      <c r="AWO11" t="s">
        <v>1302</v>
      </c>
      <c r="AWP11" t="s">
        <v>1303</v>
      </c>
      <c r="AWQ11" t="s">
        <v>1304</v>
      </c>
      <c r="AWR11" t="s">
        <v>1305</v>
      </c>
      <c r="AWS11" t="s">
        <v>1306</v>
      </c>
      <c r="AWT11" t="s">
        <v>1307</v>
      </c>
      <c r="AWU11" t="s">
        <v>1308</v>
      </c>
      <c r="AWV11" t="s">
        <v>1309</v>
      </c>
      <c r="AWW11" t="s">
        <v>1310</v>
      </c>
      <c r="AWX11" t="s">
        <v>1311</v>
      </c>
      <c r="AWY11" t="s">
        <v>1312</v>
      </c>
      <c r="AWZ11" t="s">
        <v>1313</v>
      </c>
      <c r="AXA11" t="s">
        <v>1314</v>
      </c>
      <c r="AXB11" t="s">
        <v>1315</v>
      </c>
      <c r="AXC11" t="s">
        <v>1316</v>
      </c>
      <c r="AXD11" t="s">
        <v>1317</v>
      </c>
      <c r="AXE11" t="s">
        <v>1318</v>
      </c>
      <c r="AXF11" t="s">
        <v>1319</v>
      </c>
      <c r="AXG11" t="s">
        <v>1320</v>
      </c>
      <c r="AXH11" t="s">
        <v>1321</v>
      </c>
      <c r="AXI11" t="s">
        <v>1322</v>
      </c>
      <c r="AXJ11" t="s">
        <v>1323</v>
      </c>
      <c r="AXK11" t="s">
        <v>1324</v>
      </c>
      <c r="AXL11" t="s">
        <v>1325</v>
      </c>
      <c r="AXM11" t="s">
        <v>1326</v>
      </c>
      <c r="AXN11" t="s">
        <v>1327</v>
      </c>
      <c r="AXO11" t="s">
        <v>1328</v>
      </c>
      <c r="AXP11" t="s">
        <v>1329</v>
      </c>
      <c r="AXQ11" t="s">
        <v>1330</v>
      </c>
      <c r="AXR11" t="s">
        <v>1331</v>
      </c>
      <c r="AXS11" t="s">
        <v>1332</v>
      </c>
      <c r="AXT11" t="s">
        <v>1333</v>
      </c>
      <c r="AXU11" t="s">
        <v>1334</v>
      </c>
      <c r="AXV11" t="s">
        <v>1335</v>
      </c>
      <c r="AXW11" t="s">
        <v>1336</v>
      </c>
      <c r="AXX11" t="s">
        <v>1337</v>
      </c>
      <c r="AXY11" t="s">
        <v>1338</v>
      </c>
      <c r="AXZ11" t="s">
        <v>1339</v>
      </c>
      <c r="AYA11" t="s">
        <v>1340</v>
      </c>
      <c r="AYB11" t="s">
        <v>1341</v>
      </c>
      <c r="AYC11" t="s">
        <v>1342</v>
      </c>
      <c r="AYD11" t="s">
        <v>1343</v>
      </c>
      <c r="AYE11" t="s">
        <v>1344</v>
      </c>
      <c r="AYF11" t="s">
        <v>1345</v>
      </c>
      <c r="AYG11" t="s">
        <v>1346</v>
      </c>
      <c r="AYH11" t="s">
        <v>1347</v>
      </c>
      <c r="AYI11" t="s">
        <v>1348</v>
      </c>
      <c r="AYJ11" t="s">
        <v>1349</v>
      </c>
      <c r="AYK11" t="s">
        <v>1350</v>
      </c>
      <c r="AYL11" t="s">
        <v>1351</v>
      </c>
      <c r="AYM11" t="s">
        <v>1352</v>
      </c>
      <c r="AYN11" t="s">
        <v>1353</v>
      </c>
      <c r="AYO11" t="s">
        <v>1354</v>
      </c>
      <c r="AYP11" t="s">
        <v>1355</v>
      </c>
      <c r="AYQ11" t="s">
        <v>1356</v>
      </c>
      <c r="AYR11" t="s">
        <v>1357</v>
      </c>
      <c r="AYS11" t="s">
        <v>1358</v>
      </c>
      <c r="AYT11" t="s">
        <v>1359</v>
      </c>
      <c r="AYU11" t="s">
        <v>1360</v>
      </c>
      <c r="AYV11" t="s">
        <v>1361</v>
      </c>
      <c r="AYW11" t="s">
        <v>1362</v>
      </c>
      <c r="AYX11" t="s">
        <v>1363</v>
      </c>
      <c r="AYY11" t="s">
        <v>1364</v>
      </c>
      <c r="AYZ11" t="s">
        <v>1365</v>
      </c>
      <c r="AZA11" t="s">
        <v>1366</v>
      </c>
      <c r="AZB11" t="s">
        <v>1367</v>
      </c>
      <c r="AZC11" t="s">
        <v>1368</v>
      </c>
      <c r="AZD11" t="s">
        <v>1369</v>
      </c>
      <c r="AZE11" t="s">
        <v>1370</v>
      </c>
      <c r="AZF11" t="s">
        <v>1371</v>
      </c>
      <c r="AZG11" t="s">
        <v>1372</v>
      </c>
      <c r="AZH11" t="s">
        <v>1373</v>
      </c>
      <c r="AZI11" t="s">
        <v>1374</v>
      </c>
      <c r="AZJ11" t="s">
        <v>1375</v>
      </c>
      <c r="AZK11" t="s">
        <v>1376</v>
      </c>
      <c r="AZL11" t="s">
        <v>1377</v>
      </c>
      <c r="AZM11" t="s">
        <v>1378</v>
      </c>
      <c r="AZN11" t="s">
        <v>1379</v>
      </c>
      <c r="AZO11" t="s">
        <v>1380</v>
      </c>
      <c r="AZP11" t="s">
        <v>1381</v>
      </c>
      <c r="AZQ11" t="s">
        <v>1382</v>
      </c>
      <c r="AZR11" t="s">
        <v>1383</v>
      </c>
      <c r="AZS11" t="s">
        <v>1384</v>
      </c>
      <c r="AZT11" t="s">
        <v>1385</v>
      </c>
      <c r="AZU11" t="s">
        <v>1386</v>
      </c>
      <c r="AZV11" t="s">
        <v>1387</v>
      </c>
      <c r="AZW11" t="s">
        <v>1388</v>
      </c>
      <c r="AZX11" t="s">
        <v>1389</v>
      </c>
      <c r="AZY11" t="s">
        <v>1390</v>
      </c>
      <c r="AZZ11" t="s">
        <v>1391</v>
      </c>
      <c r="BAA11" t="s">
        <v>1392</v>
      </c>
      <c r="BAB11" t="s">
        <v>1393</v>
      </c>
      <c r="BAC11" t="s">
        <v>1394</v>
      </c>
      <c r="BAD11" t="s">
        <v>1395</v>
      </c>
      <c r="BAE11" t="s">
        <v>1396</v>
      </c>
      <c r="BAF11" t="s">
        <v>1397</v>
      </c>
      <c r="BAG11" t="s">
        <v>1398</v>
      </c>
      <c r="BAH11" t="s">
        <v>1399</v>
      </c>
      <c r="BAI11" t="s">
        <v>1400</v>
      </c>
      <c r="BAJ11" t="s">
        <v>1401</v>
      </c>
      <c r="BAK11" t="s">
        <v>1402</v>
      </c>
      <c r="BAL11" t="s">
        <v>1403</v>
      </c>
      <c r="BAM11" t="s">
        <v>1404</v>
      </c>
      <c r="BAN11" t="s">
        <v>1405</v>
      </c>
      <c r="BAO11" t="s">
        <v>1406</v>
      </c>
      <c r="BAP11" t="s">
        <v>1407</v>
      </c>
      <c r="BAQ11" t="s">
        <v>1408</v>
      </c>
      <c r="BAR11" t="s">
        <v>1409</v>
      </c>
      <c r="BAS11" t="s">
        <v>1410</v>
      </c>
      <c r="BAT11" t="s">
        <v>1411</v>
      </c>
      <c r="BAU11" t="s">
        <v>1412</v>
      </c>
      <c r="BAV11" t="s">
        <v>1413</v>
      </c>
      <c r="BAW11" t="s">
        <v>1414</v>
      </c>
      <c r="BAX11" t="s">
        <v>1415</v>
      </c>
      <c r="BAY11" t="s">
        <v>1416</v>
      </c>
      <c r="BAZ11" t="s">
        <v>1417</v>
      </c>
      <c r="BBA11" t="s">
        <v>1418</v>
      </c>
      <c r="BBB11" t="s">
        <v>1419</v>
      </c>
      <c r="BBC11" t="s">
        <v>1420</v>
      </c>
      <c r="BBD11" t="s">
        <v>1421</v>
      </c>
      <c r="BBE11" t="s">
        <v>1422</v>
      </c>
      <c r="BBF11" t="s">
        <v>1423</v>
      </c>
      <c r="BBG11" t="s">
        <v>1424</v>
      </c>
      <c r="BBH11" t="s">
        <v>1425</v>
      </c>
      <c r="BBI11" t="s">
        <v>1426</v>
      </c>
      <c r="BBJ11" t="s">
        <v>1427</v>
      </c>
      <c r="BBK11" t="s">
        <v>1428</v>
      </c>
      <c r="BBL11" t="s">
        <v>1429</v>
      </c>
      <c r="BBM11" t="s">
        <v>1430</v>
      </c>
      <c r="BBN11" t="s">
        <v>1431</v>
      </c>
      <c r="BBO11" t="s">
        <v>1432</v>
      </c>
      <c r="BBP11" t="s">
        <v>1433</v>
      </c>
      <c r="BBQ11" t="s">
        <v>1434</v>
      </c>
      <c r="BBR11" t="s">
        <v>1435</v>
      </c>
      <c r="BBS11" t="s">
        <v>1436</v>
      </c>
      <c r="BBT11" t="s">
        <v>1437</v>
      </c>
      <c r="BBU11" t="s">
        <v>1438</v>
      </c>
      <c r="BBV11" t="s">
        <v>1439</v>
      </c>
      <c r="BBW11" t="s">
        <v>1440</v>
      </c>
      <c r="BBX11" t="s">
        <v>1441</v>
      </c>
      <c r="BBY11" t="s">
        <v>1442</v>
      </c>
      <c r="BBZ11" t="s">
        <v>1443</v>
      </c>
      <c r="BCA11" t="s">
        <v>1444</v>
      </c>
      <c r="BCB11" t="s">
        <v>1445</v>
      </c>
      <c r="BCC11" t="s">
        <v>1446</v>
      </c>
      <c r="BCD11" t="s">
        <v>1447</v>
      </c>
      <c r="BCE11" t="s">
        <v>1448</v>
      </c>
      <c r="BCF11" t="s">
        <v>1449</v>
      </c>
      <c r="BCG11" t="s">
        <v>1450</v>
      </c>
      <c r="BCH11" t="s">
        <v>1451</v>
      </c>
      <c r="BCI11" t="s">
        <v>1452</v>
      </c>
      <c r="BCJ11" t="s">
        <v>1453</v>
      </c>
      <c r="BCK11" t="s">
        <v>1454</v>
      </c>
      <c r="BCL11" t="s">
        <v>1455</v>
      </c>
      <c r="BCM11" t="s">
        <v>1456</v>
      </c>
      <c r="BCN11" t="s">
        <v>1457</v>
      </c>
      <c r="BCO11" t="s">
        <v>1458</v>
      </c>
      <c r="BCP11" t="s">
        <v>1459</v>
      </c>
      <c r="BCQ11" t="s">
        <v>1460</v>
      </c>
      <c r="BCR11" t="s">
        <v>1461</v>
      </c>
      <c r="BCS11" t="s">
        <v>1462</v>
      </c>
      <c r="BCT11" t="s">
        <v>1463</v>
      </c>
      <c r="BCU11" t="s">
        <v>1464</v>
      </c>
      <c r="BCV11" t="s">
        <v>1465</v>
      </c>
      <c r="BCW11" t="s">
        <v>1466</v>
      </c>
      <c r="BCX11" t="s">
        <v>1467</v>
      </c>
      <c r="BCY11" t="s">
        <v>1468</v>
      </c>
      <c r="BCZ11" t="s">
        <v>1469</v>
      </c>
      <c r="BDA11" t="s">
        <v>1470</v>
      </c>
      <c r="BDB11" t="s">
        <v>1471</v>
      </c>
      <c r="BDC11" t="s">
        <v>1472</v>
      </c>
      <c r="BDD11" t="s">
        <v>1473</v>
      </c>
      <c r="BDE11" t="s">
        <v>1474</v>
      </c>
      <c r="BDF11" t="s">
        <v>1475</v>
      </c>
      <c r="BDG11" t="s">
        <v>1476</v>
      </c>
      <c r="BDH11" t="s">
        <v>1477</v>
      </c>
      <c r="BDI11" t="s">
        <v>1478</v>
      </c>
      <c r="BDJ11" t="s">
        <v>1479</v>
      </c>
      <c r="BDK11" t="s">
        <v>1480</v>
      </c>
      <c r="BDL11" t="s">
        <v>1481</v>
      </c>
      <c r="BDM11" t="s">
        <v>1482</v>
      </c>
      <c r="BDN11" t="s">
        <v>1483</v>
      </c>
      <c r="BDO11" t="s">
        <v>1484</v>
      </c>
      <c r="BDP11" t="s">
        <v>1485</v>
      </c>
      <c r="BDQ11" t="s">
        <v>1486</v>
      </c>
      <c r="BDR11" t="s">
        <v>1487</v>
      </c>
      <c r="BDS11" t="s">
        <v>1488</v>
      </c>
      <c r="BDT11" t="s">
        <v>1489</v>
      </c>
      <c r="BDU11" t="s">
        <v>1490</v>
      </c>
      <c r="BDV11" t="s">
        <v>1491</v>
      </c>
      <c r="BDW11" t="s">
        <v>1492</v>
      </c>
      <c r="BDX11" t="s">
        <v>1493</v>
      </c>
      <c r="BDY11" t="s">
        <v>1494</v>
      </c>
      <c r="BDZ11" t="s">
        <v>1495</v>
      </c>
      <c r="BEA11" t="s">
        <v>1496</v>
      </c>
      <c r="BEB11" t="s">
        <v>1497</v>
      </c>
      <c r="BEC11" t="s">
        <v>1498</v>
      </c>
      <c r="BED11" t="s">
        <v>1499</v>
      </c>
      <c r="BEE11" t="s">
        <v>1500</v>
      </c>
      <c r="BEF11" t="s">
        <v>1501</v>
      </c>
      <c r="BEG11" t="s">
        <v>1502</v>
      </c>
      <c r="BEH11" t="s">
        <v>1503</v>
      </c>
      <c r="BEI11" t="s">
        <v>1504</v>
      </c>
      <c r="BEJ11" t="s">
        <v>1505</v>
      </c>
      <c r="BEK11" t="s">
        <v>1506</v>
      </c>
      <c r="BEL11" t="s">
        <v>1507</v>
      </c>
      <c r="BEM11" t="s">
        <v>1508</v>
      </c>
      <c r="BEN11" t="s">
        <v>1509</v>
      </c>
      <c r="BEO11" t="s">
        <v>1510</v>
      </c>
      <c r="BEP11" t="s">
        <v>1511</v>
      </c>
      <c r="BEQ11" t="s">
        <v>1512</v>
      </c>
      <c r="BER11" t="s">
        <v>1513</v>
      </c>
      <c r="BES11" t="s">
        <v>1514</v>
      </c>
      <c r="BET11" t="s">
        <v>1515</v>
      </c>
      <c r="BEU11" t="s">
        <v>1516</v>
      </c>
      <c r="BEV11" t="s">
        <v>1517</v>
      </c>
      <c r="BEW11" t="s">
        <v>1518</v>
      </c>
      <c r="BEX11" t="s">
        <v>1519</v>
      </c>
      <c r="BEY11" t="s">
        <v>1520</v>
      </c>
      <c r="BEZ11" t="s">
        <v>1521</v>
      </c>
      <c r="BFA11" t="s">
        <v>1522</v>
      </c>
      <c r="BFB11" t="s">
        <v>1523</v>
      </c>
      <c r="BFC11" t="s">
        <v>1524</v>
      </c>
      <c r="BFD11" t="s">
        <v>1525</v>
      </c>
      <c r="BFE11" t="s">
        <v>1526</v>
      </c>
      <c r="BFF11" t="s">
        <v>1527</v>
      </c>
      <c r="BFG11" t="s">
        <v>1528</v>
      </c>
      <c r="BFH11" t="s">
        <v>1529</v>
      </c>
      <c r="BFI11" t="s">
        <v>1530</v>
      </c>
      <c r="BFJ11" t="s">
        <v>1531</v>
      </c>
      <c r="BFK11" t="s">
        <v>1532</v>
      </c>
      <c r="BFL11" t="s">
        <v>1533</v>
      </c>
      <c r="BFM11" t="s">
        <v>1534</v>
      </c>
      <c r="BFN11" t="s">
        <v>1535</v>
      </c>
      <c r="BFO11" t="s">
        <v>1536</v>
      </c>
      <c r="BFP11" t="s">
        <v>1537</v>
      </c>
      <c r="BFQ11" t="s">
        <v>1538</v>
      </c>
      <c r="BFR11" t="s">
        <v>1539</v>
      </c>
      <c r="BFS11" t="s">
        <v>1540</v>
      </c>
      <c r="BFT11" t="s">
        <v>1541</v>
      </c>
      <c r="BFU11" t="s">
        <v>1542</v>
      </c>
      <c r="BFV11" t="s">
        <v>1543</v>
      </c>
      <c r="BFW11" t="s">
        <v>1544</v>
      </c>
      <c r="BFX11" t="s">
        <v>1545</v>
      </c>
      <c r="BFY11" t="s">
        <v>1546</v>
      </c>
      <c r="BFZ11" t="s">
        <v>1547</v>
      </c>
      <c r="BGA11" t="s">
        <v>1548</v>
      </c>
      <c r="BGB11" t="s">
        <v>1549</v>
      </c>
      <c r="BGC11" t="s">
        <v>1550</v>
      </c>
      <c r="BGD11" t="s">
        <v>1551</v>
      </c>
      <c r="BGE11" t="s">
        <v>1552</v>
      </c>
      <c r="BGF11" t="s">
        <v>1553</v>
      </c>
      <c r="BGG11" t="s">
        <v>1554</v>
      </c>
      <c r="BGH11" t="s">
        <v>1555</v>
      </c>
      <c r="BGI11" t="s">
        <v>1556</v>
      </c>
      <c r="BGJ11" t="s">
        <v>1557</v>
      </c>
      <c r="BGK11" t="s">
        <v>1558</v>
      </c>
      <c r="BGL11" t="s">
        <v>1559</v>
      </c>
      <c r="BGM11" t="s">
        <v>1560</v>
      </c>
      <c r="BGN11" t="s">
        <v>1561</v>
      </c>
      <c r="BGO11" t="s">
        <v>1562</v>
      </c>
      <c r="BGP11" t="s">
        <v>1563</v>
      </c>
      <c r="BGQ11" t="s">
        <v>1564</v>
      </c>
      <c r="BGR11" t="s">
        <v>1565</v>
      </c>
      <c r="BGS11" t="s">
        <v>1566</v>
      </c>
      <c r="BGT11" t="s">
        <v>1567</v>
      </c>
      <c r="BGU11" t="s">
        <v>1568</v>
      </c>
      <c r="BGV11" t="s">
        <v>1569</v>
      </c>
      <c r="BGW11" t="s">
        <v>1570</v>
      </c>
      <c r="BGX11" t="s">
        <v>1571</v>
      </c>
      <c r="BGY11" t="s">
        <v>1572</v>
      </c>
      <c r="BGZ11" t="s">
        <v>1573</v>
      </c>
      <c r="BHA11" t="s">
        <v>1574</v>
      </c>
      <c r="BHB11" t="s">
        <v>1575</v>
      </c>
      <c r="BHC11" t="s">
        <v>1576</v>
      </c>
      <c r="BHD11" t="s">
        <v>1577</v>
      </c>
      <c r="BHE11" t="s">
        <v>1578</v>
      </c>
      <c r="BHF11" t="s">
        <v>1579</v>
      </c>
      <c r="BHG11" t="s">
        <v>1580</v>
      </c>
      <c r="BHH11" t="s">
        <v>1581</v>
      </c>
      <c r="BHI11" t="s">
        <v>1582</v>
      </c>
      <c r="BHJ11" t="s">
        <v>1583</v>
      </c>
      <c r="BHK11" t="s">
        <v>1584</v>
      </c>
      <c r="BHL11" t="s">
        <v>1585</v>
      </c>
      <c r="BHM11" t="s">
        <v>1586</v>
      </c>
      <c r="BHN11" t="s">
        <v>1587</v>
      </c>
      <c r="BHO11" t="s">
        <v>1588</v>
      </c>
      <c r="BHP11" t="s">
        <v>1589</v>
      </c>
      <c r="BHQ11" t="s">
        <v>1590</v>
      </c>
      <c r="BHR11" t="s">
        <v>1591</v>
      </c>
      <c r="BHS11" t="s">
        <v>1592</v>
      </c>
      <c r="BHT11" t="s">
        <v>1593</v>
      </c>
      <c r="BHU11" t="s">
        <v>1594</v>
      </c>
      <c r="BHV11" t="s">
        <v>1595</v>
      </c>
      <c r="BHW11" t="s">
        <v>1596</v>
      </c>
      <c r="BHX11" t="s">
        <v>1597</v>
      </c>
      <c r="BHY11" t="s">
        <v>1598</v>
      </c>
      <c r="BHZ11" t="s">
        <v>1599</v>
      </c>
      <c r="BIA11" t="s">
        <v>1600</v>
      </c>
      <c r="BIB11" t="s">
        <v>1601</v>
      </c>
      <c r="BIC11" t="s">
        <v>1602</v>
      </c>
      <c r="BID11" t="s">
        <v>1603</v>
      </c>
      <c r="BIE11" t="s">
        <v>1604</v>
      </c>
      <c r="BIF11" t="s">
        <v>1605</v>
      </c>
      <c r="BIG11" t="s">
        <v>1606</v>
      </c>
      <c r="BIH11" t="s">
        <v>1607</v>
      </c>
      <c r="BII11" t="s">
        <v>1608</v>
      </c>
      <c r="BIJ11" t="s">
        <v>1609</v>
      </c>
      <c r="BIK11" t="s">
        <v>1610</v>
      </c>
      <c r="BIL11" t="s">
        <v>1611</v>
      </c>
      <c r="BIM11" t="s">
        <v>1612</v>
      </c>
      <c r="BIN11" t="s">
        <v>1613</v>
      </c>
      <c r="BIO11" t="s">
        <v>1614</v>
      </c>
      <c r="BIP11" t="s">
        <v>1615</v>
      </c>
      <c r="BIQ11" t="s">
        <v>1616</v>
      </c>
      <c r="BIR11" t="s">
        <v>1617</v>
      </c>
      <c r="BIS11" t="s">
        <v>1618</v>
      </c>
      <c r="BIT11" t="s">
        <v>1619</v>
      </c>
      <c r="BIU11" t="s">
        <v>1620</v>
      </c>
      <c r="BIV11" t="s">
        <v>1621</v>
      </c>
      <c r="BIW11" t="s">
        <v>1622</v>
      </c>
      <c r="BIX11" t="s">
        <v>1623</v>
      </c>
      <c r="BIY11" t="s">
        <v>1624</v>
      </c>
      <c r="BIZ11" t="s">
        <v>1625</v>
      </c>
      <c r="BJA11" t="s">
        <v>1626</v>
      </c>
      <c r="BJB11" t="s">
        <v>1627</v>
      </c>
      <c r="BJC11" t="s">
        <v>1628</v>
      </c>
      <c r="BJD11" t="s">
        <v>1629</v>
      </c>
      <c r="BJE11" t="s">
        <v>1630</v>
      </c>
      <c r="BJF11" t="s">
        <v>1631</v>
      </c>
      <c r="BJG11" t="s">
        <v>1632</v>
      </c>
      <c r="BJH11" t="s">
        <v>1633</v>
      </c>
      <c r="BJI11" t="s">
        <v>1634</v>
      </c>
      <c r="BJJ11" t="s">
        <v>1635</v>
      </c>
      <c r="BJK11" t="s">
        <v>1636</v>
      </c>
      <c r="BJL11" t="s">
        <v>1637</v>
      </c>
      <c r="BJM11" t="s">
        <v>1638</v>
      </c>
      <c r="BJN11" t="s">
        <v>1639</v>
      </c>
      <c r="BJO11" t="s">
        <v>1640</v>
      </c>
      <c r="BJP11" t="s">
        <v>1641</v>
      </c>
      <c r="BJQ11" t="s">
        <v>1642</v>
      </c>
      <c r="BJR11" t="s">
        <v>1643</v>
      </c>
      <c r="BJS11" t="s">
        <v>1644</v>
      </c>
      <c r="BJT11" t="s">
        <v>1645</v>
      </c>
      <c r="BJU11" t="s">
        <v>1646</v>
      </c>
      <c r="BJV11" t="s">
        <v>1647</v>
      </c>
      <c r="BJW11" t="s">
        <v>1648</v>
      </c>
      <c r="BJX11" t="s">
        <v>1649</v>
      </c>
      <c r="BJY11" t="s">
        <v>1650</v>
      </c>
      <c r="BJZ11" t="s">
        <v>1651</v>
      </c>
      <c r="BKA11" t="s">
        <v>1652</v>
      </c>
      <c r="BKB11" t="s">
        <v>1653</v>
      </c>
      <c r="BKC11" t="s">
        <v>1654</v>
      </c>
      <c r="BKD11" t="s">
        <v>1655</v>
      </c>
      <c r="BKE11" t="s">
        <v>1656</v>
      </c>
      <c r="BKF11" t="s">
        <v>1657</v>
      </c>
      <c r="BKG11" t="s">
        <v>1658</v>
      </c>
      <c r="BKH11" t="s">
        <v>1659</v>
      </c>
      <c r="BKI11" t="s">
        <v>1660</v>
      </c>
      <c r="BKJ11" t="s">
        <v>1661</v>
      </c>
      <c r="BKK11" t="s">
        <v>1662</v>
      </c>
      <c r="BKL11" t="s">
        <v>1663</v>
      </c>
      <c r="BKM11" t="s">
        <v>1664</v>
      </c>
      <c r="BKN11" t="s">
        <v>1665</v>
      </c>
      <c r="BKO11" t="s">
        <v>1666</v>
      </c>
      <c r="BKP11" t="s">
        <v>1667</v>
      </c>
      <c r="BKQ11" t="s">
        <v>1668</v>
      </c>
      <c r="BKR11" t="s">
        <v>1669</v>
      </c>
      <c r="BKS11" t="s">
        <v>1670</v>
      </c>
      <c r="BKT11" t="s">
        <v>1671</v>
      </c>
      <c r="BKU11" t="s">
        <v>1672</v>
      </c>
      <c r="BKV11" t="s">
        <v>1673</v>
      </c>
      <c r="BKW11" t="s">
        <v>1674</v>
      </c>
      <c r="BKX11" t="s">
        <v>1675</v>
      </c>
      <c r="BKY11" t="s">
        <v>1676</v>
      </c>
      <c r="BKZ11" t="s">
        <v>1677</v>
      </c>
      <c r="BLA11" t="s">
        <v>1678</v>
      </c>
      <c r="BLB11" t="s">
        <v>1679</v>
      </c>
      <c r="BLC11" t="s">
        <v>1680</v>
      </c>
      <c r="BLD11" t="s">
        <v>1681</v>
      </c>
      <c r="BLE11" t="s">
        <v>1682</v>
      </c>
      <c r="BLF11" t="s">
        <v>1683</v>
      </c>
      <c r="BLG11" t="s">
        <v>1684</v>
      </c>
      <c r="BLH11" t="s">
        <v>1685</v>
      </c>
      <c r="BLI11" t="s">
        <v>1686</v>
      </c>
      <c r="BLJ11" t="s">
        <v>1687</v>
      </c>
      <c r="BLK11" t="s">
        <v>1688</v>
      </c>
      <c r="BLL11" t="s">
        <v>1689</v>
      </c>
      <c r="BLM11" t="s">
        <v>1690</v>
      </c>
      <c r="BLN11" t="s">
        <v>1691</v>
      </c>
      <c r="BLO11" t="s">
        <v>1692</v>
      </c>
      <c r="BLP11" t="s">
        <v>1693</v>
      </c>
      <c r="BLQ11" t="s">
        <v>1694</v>
      </c>
      <c r="BLR11" t="s">
        <v>1695</v>
      </c>
      <c r="BLS11" t="s">
        <v>1696</v>
      </c>
      <c r="BLT11" t="s">
        <v>1697</v>
      </c>
      <c r="BLU11" t="s">
        <v>1698</v>
      </c>
      <c r="BLV11" t="s">
        <v>1699</v>
      </c>
      <c r="BLW11" t="s">
        <v>1700</v>
      </c>
      <c r="BLX11" t="s">
        <v>1701</v>
      </c>
      <c r="BLY11" t="s">
        <v>1702</v>
      </c>
      <c r="BLZ11" t="s">
        <v>1703</v>
      </c>
      <c r="BMA11" t="s">
        <v>1704</v>
      </c>
      <c r="BMB11" t="s">
        <v>1705</v>
      </c>
      <c r="BMC11" t="s">
        <v>1706</v>
      </c>
      <c r="BMD11" t="s">
        <v>1707</v>
      </c>
      <c r="BME11" t="s">
        <v>1708</v>
      </c>
      <c r="BMF11" t="s">
        <v>1709</v>
      </c>
      <c r="BMG11" t="s">
        <v>1710</v>
      </c>
      <c r="BMH11" t="s">
        <v>1711</v>
      </c>
      <c r="BMI11" t="s">
        <v>1712</v>
      </c>
      <c r="BMJ11" t="s">
        <v>1713</v>
      </c>
      <c r="BMK11" t="s">
        <v>1714</v>
      </c>
      <c r="BML11" t="s">
        <v>1715</v>
      </c>
      <c r="BMM11" t="s">
        <v>1716</v>
      </c>
      <c r="BMN11" t="s">
        <v>1717</v>
      </c>
      <c r="BMO11" t="s">
        <v>1718</v>
      </c>
      <c r="BMP11" t="s">
        <v>1719</v>
      </c>
      <c r="BMQ11" t="s">
        <v>1720</v>
      </c>
      <c r="BMR11" t="s">
        <v>1721</v>
      </c>
      <c r="BMS11" t="s">
        <v>1722</v>
      </c>
      <c r="BMT11" t="s">
        <v>1723</v>
      </c>
      <c r="BMU11" t="s">
        <v>1724</v>
      </c>
      <c r="BMV11" t="s">
        <v>1725</v>
      </c>
      <c r="BMW11" t="s">
        <v>1726</v>
      </c>
      <c r="BMX11" t="s">
        <v>1727</v>
      </c>
      <c r="BMY11" t="s">
        <v>1728</v>
      </c>
      <c r="BMZ11" t="s">
        <v>1729</v>
      </c>
      <c r="BNA11" t="s">
        <v>1730</v>
      </c>
      <c r="BNB11" t="s">
        <v>1731</v>
      </c>
      <c r="BNC11" t="s">
        <v>1732</v>
      </c>
      <c r="BND11" t="s">
        <v>1733</v>
      </c>
      <c r="BNE11" t="s">
        <v>1734</v>
      </c>
      <c r="BNF11" t="s">
        <v>1735</v>
      </c>
      <c r="BNG11" t="s">
        <v>1736</v>
      </c>
      <c r="BNH11" t="s">
        <v>1737</v>
      </c>
      <c r="BNI11" t="s">
        <v>1738</v>
      </c>
      <c r="BNJ11" t="s">
        <v>1739</v>
      </c>
      <c r="BNK11" t="s">
        <v>1740</v>
      </c>
      <c r="BNL11" t="s">
        <v>1741</v>
      </c>
      <c r="BNM11" t="s">
        <v>1742</v>
      </c>
      <c r="BNN11" t="s">
        <v>1743</v>
      </c>
      <c r="BNO11" t="s">
        <v>1744</v>
      </c>
      <c r="BNP11" t="s">
        <v>1745</v>
      </c>
      <c r="BNQ11" t="s">
        <v>1746</v>
      </c>
      <c r="BNR11" t="s">
        <v>1747</v>
      </c>
      <c r="BNS11" t="s">
        <v>1748</v>
      </c>
      <c r="BNT11" t="s">
        <v>1749</v>
      </c>
      <c r="BNU11" t="s">
        <v>1750</v>
      </c>
      <c r="BNV11" t="s">
        <v>1751</v>
      </c>
      <c r="BNW11" t="s">
        <v>1752</v>
      </c>
      <c r="BNX11" t="s">
        <v>1753</v>
      </c>
      <c r="BNY11" t="s">
        <v>1754</v>
      </c>
      <c r="BNZ11" t="s">
        <v>1755</v>
      </c>
      <c r="BOA11" t="s">
        <v>1756</v>
      </c>
      <c r="BOB11" t="s">
        <v>1757</v>
      </c>
      <c r="BOC11" t="s">
        <v>1758</v>
      </c>
      <c r="BOD11" t="s">
        <v>1759</v>
      </c>
      <c r="BOE11" t="s">
        <v>1760</v>
      </c>
      <c r="BOF11" t="s">
        <v>1761</v>
      </c>
      <c r="BOG11" t="s">
        <v>1762</v>
      </c>
      <c r="BOH11" t="s">
        <v>1763</v>
      </c>
      <c r="BOI11" t="s">
        <v>1764</v>
      </c>
      <c r="BOJ11" t="s">
        <v>1765</v>
      </c>
      <c r="BOK11" t="s">
        <v>1766</v>
      </c>
      <c r="BOL11" t="s">
        <v>1767</v>
      </c>
      <c r="BOM11" t="s">
        <v>1768</v>
      </c>
      <c r="BON11" t="s">
        <v>1769</v>
      </c>
      <c r="BOO11" t="s">
        <v>1770</v>
      </c>
      <c r="BOP11" t="s">
        <v>1771</v>
      </c>
      <c r="BOQ11" t="s">
        <v>1772</v>
      </c>
      <c r="BOR11" t="s">
        <v>1773</v>
      </c>
      <c r="BOS11" t="s">
        <v>1774</v>
      </c>
      <c r="BOT11" t="s">
        <v>1775</v>
      </c>
      <c r="BOU11" t="s">
        <v>1776</v>
      </c>
      <c r="BOV11" t="s">
        <v>1777</v>
      </c>
      <c r="BOW11" t="s">
        <v>1778</v>
      </c>
      <c r="BOX11" t="s">
        <v>1779</v>
      </c>
      <c r="BOY11" t="s">
        <v>1780</v>
      </c>
      <c r="BOZ11" t="s">
        <v>1781</v>
      </c>
      <c r="BPA11" t="s">
        <v>1782</v>
      </c>
      <c r="BPB11" t="s">
        <v>1783</v>
      </c>
      <c r="BPC11" t="s">
        <v>1784</v>
      </c>
      <c r="BPD11" t="s">
        <v>1785</v>
      </c>
      <c r="BPE11" t="s">
        <v>1786</v>
      </c>
      <c r="BPF11" t="s">
        <v>1787</v>
      </c>
      <c r="BPG11" t="s">
        <v>1788</v>
      </c>
      <c r="BPH11" t="s">
        <v>1789</v>
      </c>
      <c r="BPI11" t="s">
        <v>1790</v>
      </c>
      <c r="BPJ11" t="s">
        <v>1791</v>
      </c>
      <c r="BPK11" t="s">
        <v>1792</v>
      </c>
      <c r="BPL11" t="s">
        <v>1793</v>
      </c>
      <c r="BPM11" t="s">
        <v>1794</v>
      </c>
      <c r="BPN11" t="s">
        <v>1795</v>
      </c>
      <c r="BPO11" t="s">
        <v>1796</v>
      </c>
      <c r="BPP11" t="s">
        <v>1797</v>
      </c>
      <c r="BPQ11" t="s">
        <v>1798</v>
      </c>
      <c r="BPR11" t="s">
        <v>1799</v>
      </c>
      <c r="BPS11" t="s">
        <v>1800</v>
      </c>
      <c r="BPT11" t="s">
        <v>1801</v>
      </c>
      <c r="BPU11" t="s">
        <v>1802</v>
      </c>
      <c r="BPV11" t="s">
        <v>1803</v>
      </c>
      <c r="BPW11" t="s">
        <v>1804</v>
      </c>
      <c r="BPX11" t="s">
        <v>1805</v>
      </c>
      <c r="BPY11" t="s">
        <v>1806</v>
      </c>
      <c r="BPZ11" t="s">
        <v>1807</v>
      </c>
      <c r="BQA11" t="s">
        <v>1808</v>
      </c>
      <c r="BQB11" t="s">
        <v>1809</v>
      </c>
      <c r="BQC11" t="s">
        <v>1810</v>
      </c>
      <c r="BQD11" t="s">
        <v>1811</v>
      </c>
      <c r="BQE11" t="s">
        <v>1812</v>
      </c>
      <c r="BQF11" t="s">
        <v>1813</v>
      </c>
      <c r="BQG11" t="s">
        <v>1814</v>
      </c>
      <c r="BQH11" t="s">
        <v>1815</v>
      </c>
      <c r="BQI11" t="s">
        <v>1816</v>
      </c>
      <c r="BQJ11" t="s">
        <v>1817</v>
      </c>
      <c r="BQK11" t="s">
        <v>1818</v>
      </c>
      <c r="BQL11" t="s">
        <v>1819</v>
      </c>
      <c r="BQM11" t="s">
        <v>1820</v>
      </c>
      <c r="BQN11" t="s">
        <v>1821</v>
      </c>
      <c r="BQO11" t="s">
        <v>1822</v>
      </c>
      <c r="BQP11" t="s">
        <v>1823</v>
      </c>
      <c r="BQQ11" t="s">
        <v>1824</v>
      </c>
      <c r="BQR11" t="s">
        <v>1825</v>
      </c>
      <c r="BQS11" t="s">
        <v>1826</v>
      </c>
      <c r="BQT11" t="s">
        <v>1827</v>
      </c>
      <c r="BQU11" t="s">
        <v>1828</v>
      </c>
      <c r="BQV11" t="s">
        <v>1829</v>
      </c>
      <c r="BQW11" t="s">
        <v>1830</v>
      </c>
      <c r="BQX11" t="s">
        <v>1831</v>
      </c>
      <c r="BQY11" t="s">
        <v>1832</v>
      </c>
      <c r="BQZ11" t="s">
        <v>1833</v>
      </c>
      <c r="BRA11" t="s">
        <v>1834</v>
      </c>
      <c r="BRB11" t="s">
        <v>1835</v>
      </c>
      <c r="BRC11" t="s">
        <v>1836</v>
      </c>
      <c r="BRD11" t="s">
        <v>1837</v>
      </c>
      <c r="BRE11" t="s">
        <v>1838</v>
      </c>
      <c r="BRF11" t="s">
        <v>1839</v>
      </c>
      <c r="BRG11" t="s">
        <v>1840</v>
      </c>
      <c r="BRH11" t="s">
        <v>1841</v>
      </c>
      <c r="BRI11" t="s">
        <v>1842</v>
      </c>
      <c r="BRJ11" t="s">
        <v>1843</v>
      </c>
      <c r="BRK11" t="s">
        <v>1844</v>
      </c>
      <c r="BRL11" t="s">
        <v>1845</v>
      </c>
      <c r="BRM11" t="s">
        <v>1846</v>
      </c>
      <c r="BRN11" t="s">
        <v>1847</v>
      </c>
      <c r="BRO11" t="s">
        <v>1848</v>
      </c>
      <c r="BRP11" t="s">
        <v>1849</v>
      </c>
      <c r="BRQ11" t="s">
        <v>1850</v>
      </c>
      <c r="BRR11" t="s">
        <v>1851</v>
      </c>
      <c r="BRS11" t="s">
        <v>1852</v>
      </c>
      <c r="BRT11" t="s">
        <v>1853</v>
      </c>
      <c r="BRU11" t="s">
        <v>1854</v>
      </c>
      <c r="BRV11" t="s">
        <v>1855</v>
      </c>
      <c r="BRW11" t="s">
        <v>1856</v>
      </c>
      <c r="BRX11" t="s">
        <v>1857</v>
      </c>
      <c r="BRY11" t="s">
        <v>1858</v>
      </c>
      <c r="BRZ11" t="s">
        <v>1859</v>
      </c>
      <c r="BSA11" t="s">
        <v>1860</v>
      </c>
      <c r="BSB11" t="s">
        <v>1861</v>
      </c>
      <c r="BSC11" t="s">
        <v>1862</v>
      </c>
      <c r="BSD11" t="s">
        <v>1863</v>
      </c>
      <c r="BSE11" t="s">
        <v>1864</v>
      </c>
      <c r="BSF11" t="s">
        <v>1865</v>
      </c>
      <c r="BSG11" t="s">
        <v>1866</v>
      </c>
      <c r="BSH11" t="s">
        <v>1867</v>
      </c>
      <c r="BSI11" t="s">
        <v>1868</v>
      </c>
      <c r="BSJ11" t="s">
        <v>1869</v>
      </c>
      <c r="BSK11" t="s">
        <v>1870</v>
      </c>
      <c r="BSL11" t="s">
        <v>1871</v>
      </c>
      <c r="BSM11" t="s">
        <v>1872</v>
      </c>
      <c r="BSN11" t="s">
        <v>1873</v>
      </c>
      <c r="BSO11" t="s">
        <v>1874</v>
      </c>
      <c r="BSP11" t="s">
        <v>1875</v>
      </c>
      <c r="BSQ11" t="s">
        <v>1876</v>
      </c>
      <c r="BSR11" t="s">
        <v>1877</v>
      </c>
      <c r="BSS11" t="s">
        <v>1878</v>
      </c>
      <c r="BST11" t="s">
        <v>1879</v>
      </c>
      <c r="BSU11" t="s">
        <v>1880</v>
      </c>
      <c r="BSV11" t="s">
        <v>1881</v>
      </c>
      <c r="BSW11" t="s">
        <v>1882</v>
      </c>
      <c r="BSX11" t="s">
        <v>1883</v>
      </c>
      <c r="BSY11" t="s">
        <v>1884</v>
      </c>
      <c r="BSZ11" t="s">
        <v>1885</v>
      </c>
      <c r="BTA11" t="s">
        <v>1886</v>
      </c>
      <c r="BTB11" t="s">
        <v>1887</v>
      </c>
      <c r="BTC11" t="s">
        <v>1888</v>
      </c>
      <c r="BTD11" t="s">
        <v>1889</v>
      </c>
      <c r="BTE11" t="s">
        <v>1890</v>
      </c>
      <c r="BTF11" t="s">
        <v>1891</v>
      </c>
      <c r="BTG11" t="s">
        <v>1892</v>
      </c>
      <c r="BTH11" t="s">
        <v>1893</v>
      </c>
      <c r="BTI11" t="s">
        <v>1894</v>
      </c>
      <c r="BTJ11" t="s">
        <v>1895</v>
      </c>
      <c r="BTK11" t="s">
        <v>1896</v>
      </c>
      <c r="BTL11" t="s">
        <v>1897</v>
      </c>
      <c r="BTM11" t="s">
        <v>1898</v>
      </c>
      <c r="BTN11" t="s">
        <v>1899</v>
      </c>
      <c r="BTO11" t="s">
        <v>1900</v>
      </c>
      <c r="BTP11" t="s">
        <v>1901</v>
      </c>
      <c r="BTQ11" t="s">
        <v>1902</v>
      </c>
      <c r="BTR11" t="s">
        <v>1903</v>
      </c>
      <c r="BTS11" t="s">
        <v>1904</v>
      </c>
      <c r="BTT11" t="s">
        <v>1905</v>
      </c>
      <c r="BTU11" t="s">
        <v>1906</v>
      </c>
      <c r="BTV11" t="s">
        <v>1907</v>
      </c>
      <c r="BTW11" t="s">
        <v>1908</v>
      </c>
      <c r="BTX11" t="s">
        <v>1909</v>
      </c>
      <c r="BTY11" t="s">
        <v>1910</v>
      </c>
      <c r="BTZ11" t="s">
        <v>1911</v>
      </c>
      <c r="BUA11" t="s">
        <v>1912</v>
      </c>
      <c r="BUB11" t="s">
        <v>1913</v>
      </c>
      <c r="BUC11" t="s">
        <v>1914</v>
      </c>
      <c r="BUD11" t="s">
        <v>1915</v>
      </c>
      <c r="BUE11" t="s">
        <v>1916</v>
      </c>
      <c r="BUF11" t="s">
        <v>1917</v>
      </c>
      <c r="BUG11" t="s">
        <v>1918</v>
      </c>
      <c r="BUH11" t="s">
        <v>1919</v>
      </c>
      <c r="BUI11" t="s">
        <v>1920</v>
      </c>
      <c r="BUJ11" t="s">
        <v>1921</v>
      </c>
      <c r="BUK11" t="s">
        <v>1922</v>
      </c>
      <c r="BUL11" t="s">
        <v>1923</v>
      </c>
      <c r="BUM11" t="s">
        <v>1924</v>
      </c>
      <c r="BUN11" t="s">
        <v>1925</v>
      </c>
      <c r="BUO11" t="s">
        <v>1926</v>
      </c>
      <c r="BUP11" t="s">
        <v>1927</v>
      </c>
      <c r="BUQ11" t="s">
        <v>1928</v>
      </c>
      <c r="BUR11" t="s">
        <v>1929</v>
      </c>
      <c r="BUS11" t="s">
        <v>1930</v>
      </c>
      <c r="BUT11" t="s">
        <v>1931</v>
      </c>
      <c r="BUU11" t="s">
        <v>1932</v>
      </c>
      <c r="BUV11" t="s">
        <v>1933</v>
      </c>
      <c r="BUW11" t="s">
        <v>1934</v>
      </c>
      <c r="BUX11" t="s">
        <v>1935</v>
      </c>
      <c r="BUY11" t="s">
        <v>1936</v>
      </c>
      <c r="BUZ11" t="s">
        <v>1937</v>
      </c>
      <c r="BVA11" t="s">
        <v>1938</v>
      </c>
      <c r="BVB11" t="s">
        <v>1939</v>
      </c>
      <c r="BVC11" t="s">
        <v>1940</v>
      </c>
      <c r="BVD11" t="s">
        <v>1941</v>
      </c>
      <c r="BVE11" t="s">
        <v>1942</v>
      </c>
      <c r="BVF11" t="s">
        <v>1943</v>
      </c>
      <c r="BVG11" t="s">
        <v>1944</v>
      </c>
      <c r="BVH11" t="s">
        <v>1945</v>
      </c>
      <c r="BVI11" t="s">
        <v>1946</v>
      </c>
      <c r="BVJ11" t="s">
        <v>1947</v>
      </c>
      <c r="BVK11" t="s">
        <v>1948</v>
      </c>
      <c r="BVL11" t="s">
        <v>1949</v>
      </c>
      <c r="BVM11" t="s">
        <v>1950</v>
      </c>
      <c r="BVN11" t="s">
        <v>1951</v>
      </c>
      <c r="BVO11" t="s">
        <v>1952</v>
      </c>
      <c r="BVP11" t="s">
        <v>1953</v>
      </c>
      <c r="BVQ11" t="s">
        <v>1954</v>
      </c>
      <c r="BVR11" t="s">
        <v>1955</v>
      </c>
      <c r="BVS11" t="s">
        <v>1956</v>
      </c>
      <c r="BVT11" t="s">
        <v>1957</v>
      </c>
      <c r="BVU11" t="s">
        <v>1958</v>
      </c>
      <c r="BVV11" t="s">
        <v>1959</v>
      </c>
      <c r="BVW11" t="s">
        <v>1960</v>
      </c>
      <c r="BVX11" t="s">
        <v>1961</v>
      </c>
      <c r="BVY11" t="s">
        <v>1962</v>
      </c>
      <c r="BVZ11" t="s">
        <v>1963</v>
      </c>
      <c r="BWA11" t="s">
        <v>1964</v>
      </c>
      <c r="BWB11" t="s">
        <v>1965</v>
      </c>
      <c r="BWC11" t="s">
        <v>1966</v>
      </c>
      <c r="BWD11" t="s">
        <v>1967</v>
      </c>
      <c r="BWE11" t="s">
        <v>1968</v>
      </c>
      <c r="BWF11" t="s">
        <v>1969</v>
      </c>
      <c r="BWG11" t="s">
        <v>1970</v>
      </c>
      <c r="BWH11" t="s">
        <v>1971</v>
      </c>
      <c r="BWI11" t="s">
        <v>1972</v>
      </c>
      <c r="BWJ11" t="s">
        <v>1973</v>
      </c>
      <c r="BWK11" t="s">
        <v>1974</v>
      </c>
      <c r="BWL11" t="s">
        <v>1975</v>
      </c>
      <c r="BWM11" t="s">
        <v>1976</v>
      </c>
      <c r="BWN11" t="s">
        <v>1977</v>
      </c>
      <c r="BWO11" t="s">
        <v>1978</v>
      </c>
      <c r="BWP11" t="s">
        <v>1979</v>
      </c>
      <c r="BWQ11" t="s">
        <v>1980</v>
      </c>
      <c r="BWR11" t="s">
        <v>1981</v>
      </c>
      <c r="BWS11" t="s">
        <v>1982</v>
      </c>
      <c r="BWT11" t="s">
        <v>1983</v>
      </c>
      <c r="BWU11" t="s">
        <v>1984</v>
      </c>
      <c r="BWV11" t="s">
        <v>1985</v>
      </c>
      <c r="BWW11" t="s">
        <v>1986</v>
      </c>
      <c r="BWX11" t="s">
        <v>1987</v>
      </c>
      <c r="BWY11" t="s">
        <v>1988</v>
      </c>
      <c r="BWZ11" t="s">
        <v>1989</v>
      </c>
      <c r="BXA11" t="s">
        <v>1990</v>
      </c>
      <c r="BXB11" t="s">
        <v>1991</v>
      </c>
      <c r="BXC11" t="s">
        <v>1992</v>
      </c>
      <c r="BXD11" t="s">
        <v>1993</v>
      </c>
      <c r="BXE11" t="s">
        <v>1994</v>
      </c>
      <c r="BXF11" t="s">
        <v>1995</v>
      </c>
      <c r="BXG11" t="s">
        <v>1996</v>
      </c>
      <c r="BXH11" t="s">
        <v>1997</v>
      </c>
      <c r="BXI11" t="s">
        <v>1998</v>
      </c>
      <c r="BXJ11" t="s">
        <v>1999</v>
      </c>
      <c r="BXK11" t="s">
        <v>2000</v>
      </c>
      <c r="BXL11" t="s">
        <v>2001</v>
      </c>
      <c r="BXM11" t="s">
        <v>2002</v>
      </c>
      <c r="BXN11" t="s">
        <v>2003</v>
      </c>
      <c r="BXO11" t="s">
        <v>2004</v>
      </c>
      <c r="BXP11" t="s">
        <v>2005</v>
      </c>
      <c r="BXQ11" t="s">
        <v>2006</v>
      </c>
      <c r="BXR11" t="s">
        <v>2007</v>
      </c>
      <c r="BXS11" t="s">
        <v>2008</v>
      </c>
      <c r="BXT11" t="s">
        <v>2009</v>
      </c>
      <c r="BXU11" t="s">
        <v>2010</v>
      </c>
      <c r="BXV11" t="s">
        <v>2011</v>
      </c>
      <c r="BXW11" t="s">
        <v>2012</v>
      </c>
      <c r="BXX11" t="s">
        <v>2013</v>
      </c>
      <c r="BXY11" t="s">
        <v>2014</v>
      </c>
      <c r="BXZ11" t="s">
        <v>2015</v>
      </c>
      <c r="BYA11" t="s">
        <v>2016</v>
      </c>
      <c r="BYB11" t="s">
        <v>2017</v>
      </c>
      <c r="BYC11" t="s">
        <v>2018</v>
      </c>
      <c r="BYD11" t="s">
        <v>2019</v>
      </c>
      <c r="BYE11" t="s">
        <v>2020</v>
      </c>
      <c r="BYF11" t="s">
        <v>2021</v>
      </c>
      <c r="BYG11" t="s">
        <v>2022</v>
      </c>
      <c r="BYH11" t="s">
        <v>2023</v>
      </c>
      <c r="BYI11" t="s">
        <v>2024</v>
      </c>
      <c r="BYJ11" t="s">
        <v>2025</v>
      </c>
      <c r="BYK11" t="s">
        <v>2026</v>
      </c>
      <c r="BYL11" t="s">
        <v>2027</v>
      </c>
      <c r="BYM11" t="s">
        <v>2028</v>
      </c>
      <c r="BYN11" t="s">
        <v>2029</v>
      </c>
      <c r="BYO11" t="s">
        <v>2030</v>
      </c>
      <c r="BYP11" t="s">
        <v>2031</v>
      </c>
      <c r="BYQ11" t="s">
        <v>2032</v>
      </c>
      <c r="BYR11" t="s">
        <v>2033</v>
      </c>
      <c r="BYS11" t="s">
        <v>2034</v>
      </c>
      <c r="BYT11" t="s">
        <v>2035</v>
      </c>
      <c r="BYU11" t="s">
        <v>2036</v>
      </c>
      <c r="BYV11" t="s">
        <v>2037</v>
      </c>
      <c r="BYW11" t="s">
        <v>2038</v>
      </c>
      <c r="BYX11" t="s">
        <v>2039</v>
      </c>
      <c r="BYY11" t="s">
        <v>2040</v>
      </c>
      <c r="BYZ11" t="s">
        <v>2041</v>
      </c>
      <c r="BZA11" t="s">
        <v>2042</v>
      </c>
      <c r="BZB11" t="s">
        <v>2043</v>
      </c>
      <c r="BZC11" t="s">
        <v>2044</v>
      </c>
      <c r="BZD11" t="s">
        <v>2045</v>
      </c>
      <c r="BZE11" t="s">
        <v>2046</v>
      </c>
      <c r="BZF11" t="s">
        <v>2047</v>
      </c>
      <c r="BZG11" t="s">
        <v>2048</v>
      </c>
      <c r="BZH11" t="s">
        <v>2049</v>
      </c>
      <c r="BZI11" t="s">
        <v>2050</v>
      </c>
      <c r="BZJ11" t="s">
        <v>2051</v>
      </c>
      <c r="BZK11" t="s">
        <v>2052</v>
      </c>
      <c r="BZL11" t="s">
        <v>2053</v>
      </c>
      <c r="BZM11" t="s">
        <v>2054</v>
      </c>
      <c r="BZN11" t="s">
        <v>2055</v>
      </c>
      <c r="BZO11" t="s">
        <v>2056</v>
      </c>
      <c r="BZP11" t="s">
        <v>2057</v>
      </c>
      <c r="BZQ11" t="s">
        <v>2058</v>
      </c>
      <c r="BZR11" t="s">
        <v>2059</v>
      </c>
      <c r="BZS11" t="s">
        <v>2060</v>
      </c>
      <c r="BZT11" t="s">
        <v>2061</v>
      </c>
      <c r="BZU11" t="s">
        <v>2062</v>
      </c>
      <c r="BZV11" t="s">
        <v>2063</v>
      </c>
      <c r="BZW11" t="s">
        <v>2064</v>
      </c>
      <c r="BZX11" t="s">
        <v>2065</v>
      </c>
      <c r="BZY11" t="s">
        <v>2066</v>
      </c>
      <c r="BZZ11" t="s">
        <v>2067</v>
      </c>
      <c r="CAA11" t="s">
        <v>2068</v>
      </c>
      <c r="CAB11" t="s">
        <v>2069</v>
      </c>
      <c r="CAC11" t="s">
        <v>2070</v>
      </c>
      <c r="CAD11" t="s">
        <v>2071</v>
      </c>
      <c r="CAE11" t="s">
        <v>2072</v>
      </c>
      <c r="CAF11" t="s">
        <v>2073</v>
      </c>
      <c r="CAG11" t="s">
        <v>2074</v>
      </c>
      <c r="CAH11" t="s">
        <v>2075</v>
      </c>
      <c r="CAI11" t="s">
        <v>2076</v>
      </c>
      <c r="CAJ11" t="s">
        <v>2077</v>
      </c>
      <c r="CAK11" t="s">
        <v>2078</v>
      </c>
      <c r="CAL11" t="s">
        <v>2079</v>
      </c>
      <c r="CAM11" t="s">
        <v>2080</v>
      </c>
      <c r="CAN11" t="s">
        <v>2081</v>
      </c>
      <c r="CAO11" t="s">
        <v>2082</v>
      </c>
      <c r="CAP11" t="s">
        <v>2083</v>
      </c>
      <c r="CAQ11" t="s">
        <v>2084</v>
      </c>
      <c r="CAR11" t="s">
        <v>2085</v>
      </c>
      <c r="CAS11" t="s">
        <v>2086</v>
      </c>
      <c r="CAT11" t="s">
        <v>2087</v>
      </c>
      <c r="CAU11" t="s">
        <v>2088</v>
      </c>
      <c r="CAV11" t="s">
        <v>2089</v>
      </c>
      <c r="CAW11" t="s">
        <v>2090</v>
      </c>
      <c r="CAX11" t="s">
        <v>2091</v>
      </c>
      <c r="CAY11" t="s">
        <v>2092</v>
      </c>
      <c r="CAZ11" t="s">
        <v>2093</v>
      </c>
      <c r="CBA11" t="s">
        <v>2094</v>
      </c>
      <c r="CBB11" t="s">
        <v>2095</v>
      </c>
      <c r="CBC11" t="s">
        <v>2096</v>
      </c>
      <c r="CBD11" t="s">
        <v>2097</v>
      </c>
      <c r="CBE11" t="s">
        <v>2098</v>
      </c>
      <c r="CBF11" t="s">
        <v>2099</v>
      </c>
      <c r="CBG11" t="s">
        <v>2100</v>
      </c>
      <c r="CBH11" t="s">
        <v>2101</v>
      </c>
      <c r="CBI11" t="s">
        <v>2102</v>
      </c>
      <c r="CBJ11" t="s">
        <v>2103</v>
      </c>
      <c r="CBK11" t="s">
        <v>2104</v>
      </c>
      <c r="CBL11" t="s">
        <v>2105</v>
      </c>
      <c r="CBM11" t="s">
        <v>2106</v>
      </c>
      <c r="CBN11" t="s">
        <v>2107</v>
      </c>
      <c r="CBO11" t="s">
        <v>2108</v>
      </c>
      <c r="CBP11" t="s">
        <v>2109</v>
      </c>
      <c r="CBQ11" t="s">
        <v>2110</v>
      </c>
      <c r="CBR11" t="s">
        <v>2111</v>
      </c>
      <c r="CBS11" t="s">
        <v>2112</v>
      </c>
      <c r="CBT11" t="s">
        <v>2113</v>
      </c>
      <c r="CBU11" t="s">
        <v>2114</v>
      </c>
      <c r="CBV11" t="s">
        <v>2115</v>
      </c>
      <c r="CBW11" t="s">
        <v>2116</v>
      </c>
      <c r="CBX11" t="s">
        <v>2117</v>
      </c>
      <c r="CBY11" t="s">
        <v>2118</v>
      </c>
      <c r="CBZ11" t="s">
        <v>2119</v>
      </c>
      <c r="CCA11" t="s">
        <v>2120</v>
      </c>
      <c r="CCB11" t="s">
        <v>2121</v>
      </c>
      <c r="CCC11" t="s">
        <v>2122</v>
      </c>
      <c r="CCD11" t="s">
        <v>2123</v>
      </c>
      <c r="CCE11" t="s">
        <v>2124</v>
      </c>
      <c r="CCF11" t="s">
        <v>2125</v>
      </c>
      <c r="CCG11" t="s">
        <v>2126</v>
      </c>
      <c r="CCH11" t="s">
        <v>2127</v>
      </c>
      <c r="CCI11" t="s">
        <v>2128</v>
      </c>
      <c r="CCJ11" t="s">
        <v>2129</v>
      </c>
      <c r="CCK11" t="s">
        <v>2130</v>
      </c>
      <c r="CCL11" t="s">
        <v>2131</v>
      </c>
      <c r="CCM11" t="s">
        <v>2132</v>
      </c>
      <c r="CCN11" t="s">
        <v>2133</v>
      </c>
      <c r="CCO11" t="s">
        <v>2134</v>
      </c>
      <c r="CCP11" t="s">
        <v>2135</v>
      </c>
      <c r="CCQ11" t="s">
        <v>2136</v>
      </c>
      <c r="CCR11" t="s">
        <v>2137</v>
      </c>
      <c r="CCS11" t="s">
        <v>2138</v>
      </c>
      <c r="CCT11" t="s">
        <v>2139</v>
      </c>
      <c r="CCU11" t="s">
        <v>2140</v>
      </c>
      <c r="CCV11" t="s">
        <v>2141</v>
      </c>
      <c r="CCW11" t="s">
        <v>2142</v>
      </c>
      <c r="CCX11" t="s">
        <v>2143</v>
      </c>
      <c r="CCY11" t="s">
        <v>2144</v>
      </c>
      <c r="CCZ11" t="s">
        <v>2145</v>
      </c>
      <c r="CDA11" t="s">
        <v>2146</v>
      </c>
      <c r="CDB11" t="s">
        <v>2147</v>
      </c>
      <c r="CDC11" t="s">
        <v>2148</v>
      </c>
      <c r="CDD11" t="s">
        <v>2149</v>
      </c>
      <c r="CDE11" t="s">
        <v>2150</v>
      </c>
      <c r="CDF11" t="s">
        <v>2151</v>
      </c>
      <c r="CDG11" t="s">
        <v>2152</v>
      </c>
      <c r="CDH11" t="s">
        <v>2153</v>
      </c>
      <c r="CDI11" t="s">
        <v>2154</v>
      </c>
      <c r="CDJ11" t="s">
        <v>2155</v>
      </c>
      <c r="CDK11" t="s">
        <v>2156</v>
      </c>
      <c r="CDL11" t="s">
        <v>2157</v>
      </c>
      <c r="CDM11" t="s">
        <v>2158</v>
      </c>
      <c r="CDN11" t="s">
        <v>2159</v>
      </c>
      <c r="CDO11" t="s">
        <v>2160</v>
      </c>
      <c r="CDP11" t="s">
        <v>2161</v>
      </c>
      <c r="CDQ11" t="s">
        <v>2162</v>
      </c>
      <c r="CDR11" t="s">
        <v>2163</v>
      </c>
      <c r="CDS11" t="s">
        <v>2164</v>
      </c>
      <c r="CDT11" t="s">
        <v>2165</v>
      </c>
      <c r="CDU11" t="s">
        <v>2166</v>
      </c>
      <c r="CDV11" t="s">
        <v>2167</v>
      </c>
      <c r="CDW11" t="s">
        <v>2168</v>
      </c>
      <c r="CDX11" t="s">
        <v>2169</v>
      </c>
      <c r="CDY11" t="s">
        <v>2170</v>
      </c>
      <c r="CDZ11" t="s">
        <v>2171</v>
      </c>
      <c r="CEA11" t="s">
        <v>2172</v>
      </c>
      <c r="CEB11" t="s">
        <v>2173</v>
      </c>
      <c r="CEC11" t="s">
        <v>2174</v>
      </c>
      <c r="CED11" t="s">
        <v>2175</v>
      </c>
      <c r="CEE11" t="s">
        <v>2176</v>
      </c>
      <c r="CEF11" t="s">
        <v>2177</v>
      </c>
      <c r="CEG11" t="s">
        <v>2178</v>
      </c>
      <c r="CEH11" t="s">
        <v>2179</v>
      </c>
      <c r="CEI11" t="s">
        <v>2180</v>
      </c>
      <c r="CEJ11" t="s">
        <v>2181</v>
      </c>
      <c r="CEK11" t="s">
        <v>2182</v>
      </c>
      <c r="CEL11" t="s">
        <v>2183</v>
      </c>
      <c r="CEM11" t="s">
        <v>2184</v>
      </c>
      <c r="CEN11" t="s">
        <v>2185</v>
      </c>
      <c r="CEO11" t="s">
        <v>2186</v>
      </c>
      <c r="CEP11" t="s">
        <v>2187</v>
      </c>
      <c r="CEQ11" t="s">
        <v>2188</v>
      </c>
      <c r="CER11" t="s">
        <v>2189</v>
      </c>
      <c r="CES11" t="s">
        <v>2190</v>
      </c>
      <c r="CET11" t="s">
        <v>2191</v>
      </c>
      <c r="CEU11" t="s">
        <v>2192</v>
      </c>
      <c r="CEV11" t="s">
        <v>2193</v>
      </c>
      <c r="CEW11" t="s">
        <v>2194</v>
      </c>
      <c r="CEX11" t="s">
        <v>2195</v>
      </c>
      <c r="CEY11" t="s">
        <v>2196</v>
      </c>
      <c r="CEZ11" t="s">
        <v>2197</v>
      </c>
      <c r="CFA11" t="s">
        <v>2198</v>
      </c>
      <c r="CFB11" t="s">
        <v>2199</v>
      </c>
      <c r="CFC11" t="s">
        <v>2200</v>
      </c>
      <c r="CFD11" t="s">
        <v>2201</v>
      </c>
      <c r="CFE11" t="s">
        <v>2202</v>
      </c>
      <c r="CFF11" t="s">
        <v>2203</v>
      </c>
      <c r="CFG11" t="s">
        <v>2204</v>
      </c>
      <c r="CFH11" t="s">
        <v>2205</v>
      </c>
      <c r="CFI11" t="s">
        <v>2206</v>
      </c>
      <c r="CFJ11" t="s">
        <v>2207</v>
      </c>
      <c r="CFK11" t="s">
        <v>2208</v>
      </c>
      <c r="CFL11" t="s">
        <v>2209</v>
      </c>
      <c r="CFM11" t="s">
        <v>2210</v>
      </c>
      <c r="CFN11" t="s">
        <v>2211</v>
      </c>
      <c r="CFO11" t="s">
        <v>2212</v>
      </c>
      <c r="CFP11" t="s">
        <v>2213</v>
      </c>
      <c r="CFQ11" t="s">
        <v>2214</v>
      </c>
      <c r="CFR11" t="s">
        <v>2215</v>
      </c>
      <c r="CFS11" t="s">
        <v>2216</v>
      </c>
      <c r="CFT11" t="s">
        <v>2217</v>
      </c>
      <c r="CFU11" t="s">
        <v>2218</v>
      </c>
      <c r="CFV11" t="s">
        <v>2219</v>
      </c>
      <c r="CFW11" t="s">
        <v>2220</v>
      </c>
      <c r="CFX11" t="s">
        <v>2221</v>
      </c>
      <c r="CFY11" t="s">
        <v>2222</v>
      </c>
      <c r="CFZ11" t="s">
        <v>2223</v>
      </c>
      <c r="CGA11" t="s">
        <v>2224</v>
      </c>
      <c r="CGB11" t="s">
        <v>2225</v>
      </c>
      <c r="CGC11" t="s">
        <v>2226</v>
      </c>
      <c r="CGD11" t="s">
        <v>2227</v>
      </c>
      <c r="CGE11" t="s">
        <v>2228</v>
      </c>
      <c r="CGF11" t="s">
        <v>2229</v>
      </c>
      <c r="CGG11" t="s">
        <v>2230</v>
      </c>
      <c r="CGH11" t="s">
        <v>2231</v>
      </c>
      <c r="CGI11" t="s">
        <v>2232</v>
      </c>
      <c r="CGJ11" t="s">
        <v>2233</v>
      </c>
      <c r="CGK11" t="s">
        <v>2234</v>
      </c>
      <c r="CGL11" t="s">
        <v>2235</v>
      </c>
      <c r="CGM11" t="s">
        <v>2236</v>
      </c>
      <c r="CGN11" t="s">
        <v>2237</v>
      </c>
      <c r="CGO11" t="s">
        <v>2238</v>
      </c>
      <c r="CGP11" t="s">
        <v>2239</v>
      </c>
      <c r="CGQ11" t="s">
        <v>2240</v>
      </c>
      <c r="CGR11" t="s">
        <v>2241</v>
      </c>
      <c r="CGS11" t="s">
        <v>2242</v>
      </c>
      <c r="CGT11" t="s">
        <v>2243</v>
      </c>
      <c r="CGU11" t="s">
        <v>2244</v>
      </c>
      <c r="CGV11" t="s">
        <v>2245</v>
      </c>
      <c r="CGW11" t="s">
        <v>2246</v>
      </c>
      <c r="CGX11" t="s">
        <v>2247</v>
      </c>
      <c r="CGY11" t="s">
        <v>2248</v>
      </c>
      <c r="CGZ11" t="s">
        <v>2249</v>
      </c>
      <c r="CHA11" t="s">
        <v>2250</v>
      </c>
      <c r="CHB11" t="s">
        <v>2251</v>
      </c>
      <c r="CHC11" t="s">
        <v>2252</v>
      </c>
      <c r="CHD11" t="s">
        <v>2253</v>
      </c>
      <c r="CHE11" t="s">
        <v>2254</v>
      </c>
      <c r="CHF11" t="s">
        <v>2255</v>
      </c>
      <c r="CHG11" t="s">
        <v>2256</v>
      </c>
      <c r="CHH11" t="s">
        <v>2257</v>
      </c>
      <c r="CHI11" t="s">
        <v>2258</v>
      </c>
      <c r="CHJ11" t="s">
        <v>2259</v>
      </c>
      <c r="CHK11" t="s">
        <v>2260</v>
      </c>
      <c r="CHL11" t="s">
        <v>2261</v>
      </c>
      <c r="CHM11" t="s">
        <v>2262</v>
      </c>
      <c r="CHN11" t="s">
        <v>2263</v>
      </c>
      <c r="CHO11" t="s">
        <v>2264</v>
      </c>
      <c r="CHP11" t="s">
        <v>2265</v>
      </c>
      <c r="CHQ11" t="s">
        <v>2266</v>
      </c>
      <c r="CHR11" t="s">
        <v>2267</v>
      </c>
      <c r="CHS11" t="s">
        <v>2268</v>
      </c>
      <c r="CHT11" t="s">
        <v>2269</v>
      </c>
      <c r="CHU11" t="s">
        <v>2270</v>
      </c>
      <c r="CHV11" t="s">
        <v>2271</v>
      </c>
      <c r="CHW11" t="s">
        <v>2272</v>
      </c>
      <c r="CHX11" t="s">
        <v>2273</v>
      </c>
      <c r="CHY11" t="s">
        <v>2274</v>
      </c>
      <c r="CHZ11" t="s">
        <v>2275</v>
      </c>
      <c r="CIA11" t="s">
        <v>2276</v>
      </c>
      <c r="CIB11" t="s">
        <v>2277</v>
      </c>
      <c r="CIC11" t="s">
        <v>2278</v>
      </c>
      <c r="CID11" t="s">
        <v>2279</v>
      </c>
      <c r="CIE11" t="s">
        <v>2280</v>
      </c>
      <c r="CIF11" t="s">
        <v>2281</v>
      </c>
      <c r="CIG11" t="s">
        <v>2282</v>
      </c>
      <c r="CIH11" t="s">
        <v>2283</v>
      </c>
      <c r="CII11" t="s">
        <v>2284</v>
      </c>
      <c r="CIJ11" t="s">
        <v>2285</v>
      </c>
      <c r="CIK11" t="s">
        <v>2286</v>
      </c>
      <c r="CIL11" t="s">
        <v>2287</v>
      </c>
      <c r="CIM11" t="s">
        <v>2288</v>
      </c>
      <c r="CIN11" t="s">
        <v>2289</v>
      </c>
      <c r="CIO11" t="s">
        <v>2290</v>
      </c>
      <c r="CIP11" t="s">
        <v>2291</v>
      </c>
      <c r="CIQ11" t="s">
        <v>2292</v>
      </c>
      <c r="CIR11" t="s">
        <v>2293</v>
      </c>
      <c r="CIS11" t="s">
        <v>2294</v>
      </c>
      <c r="CIT11" t="s">
        <v>2295</v>
      </c>
      <c r="CIU11" t="s">
        <v>2296</v>
      </c>
      <c r="CIV11" t="s">
        <v>2297</v>
      </c>
      <c r="CIW11" t="s">
        <v>2298</v>
      </c>
      <c r="CIX11" t="s">
        <v>2299</v>
      </c>
      <c r="CIY11" t="s">
        <v>2300</v>
      </c>
      <c r="CIZ11" t="s">
        <v>2301</v>
      </c>
      <c r="CJA11" t="s">
        <v>2302</v>
      </c>
      <c r="CJB11" t="s">
        <v>2303</v>
      </c>
      <c r="CJC11" t="s">
        <v>2304</v>
      </c>
      <c r="CJD11" t="s">
        <v>2305</v>
      </c>
      <c r="CJE11" t="s">
        <v>2306</v>
      </c>
      <c r="CJF11" t="s">
        <v>2307</v>
      </c>
      <c r="CJG11" t="s">
        <v>2308</v>
      </c>
      <c r="CJH11" t="s">
        <v>2309</v>
      </c>
      <c r="CJI11" t="s">
        <v>2310</v>
      </c>
      <c r="CJJ11" t="s">
        <v>2311</v>
      </c>
      <c r="CJK11" t="s">
        <v>2312</v>
      </c>
      <c r="CJL11" t="s">
        <v>2313</v>
      </c>
      <c r="CJM11" t="s">
        <v>2314</v>
      </c>
      <c r="CJN11" t="s">
        <v>2315</v>
      </c>
      <c r="CJO11" t="s">
        <v>2316</v>
      </c>
      <c r="CJP11" t="s">
        <v>2317</v>
      </c>
      <c r="CJQ11" t="s">
        <v>2318</v>
      </c>
      <c r="CJR11" t="s">
        <v>2319</v>
      </c>
      <c r="CJS11" t="s">
        <v>2320</v>
      </c>
      <c r="CJT11" t="s">
        <v>2321</v>
      </c>
      <c r="CJU11" t="s">
        <v>2322</v>
      </c>
      <c r="CJV11" t="s">
        <v>2323</v>
      </c>
      <c r="CJW11" t="s">
        <v>2324</v>
      </c>
      <c r="CJX11" t="s">
        <v>2325</v>
      </c>
      <c r="CJY11" t="s">
        <v>2326</v>
      </c>
      <c r="CJZ11" t="s">
        <v>2327</v>
      </c>
      <c r="CKA11" t="s">
        <v>2328</v>
      </c>
      <c r="CKB11" t="s">
        <v>2329</v>
      </c>
      <c r="CKC11" t="s">
        <v>2330</v>
      </c>
      <c r="CKD11" t="s">
        <v>2331</v>
      </c>
      <c r="CKE11" t="s">
        <v>2332</v>
      </c>
      <c r="CKF11" t="s">
        <v>2333</v>
      </c>
      <c r="CKG11" t="s">
        <v>2334</v>
      </c>
      <c r="CKH11" t="s">
        <v>2335</v>
      </c>
      <c r="CKI11" t="s">
        <v>2336</v>
      </c>
      <c r="CKJ11" t="s">
        <v>2337</v>
      </c>
      <c r="CKK11" t="s">
        <v>2338</v>
      </c>
      <c r="CKL11" t="s">
        <v>2339</v>
      </c>
      <c r="CKM11" t="s">
        <v>2340</v>
      </c>
      <c r="CKN11" t="s">
        <v>2341</v>
      </c>
      <c r="CKO11" t="s">
        <v>2342</v>
      </c>
      <c r="CKP11" t="s">
        <v>2343</v>
      </c>
      <c r="CKQ11" t="s">
        <v>2344</v>
      </c>
      <c r="CKR11" t="s">
        <v>2345</v>
      </c>
      <c r="CKS11" t="s">
        <v>2346</v>
      </c>
      <c r="CKT11" t="s">
        <v>2347</v>
      </c>
      <c r="CKU11" t="s">
        <v>2348</v>
      </c>
      <c r="CKV11" t="s">
        <v>2349</v>
      </c>
      <c r="CKW11" t="s">
        <v>2350</v>
      </c>
      <c r="CKX11" t="s">
        <v>2351</v>
      </c>
      <c r="CKY11" t="s">
        <v>2352</v>
      </c>
      <c r="CKZ11" t="s">
        <v>2353</v>
      </c>
      <c r="CLA11" t="s">
        <v>2354</v>
      </c>
      <c r="CLB11" t="s">
        <v>2355</v>
      </c>
      <c r="CLC11" t="s">
        <v>2356</v>
      </c>
      <c r="CLD11" t="s">
        <v>2357</v>
      </c>
      <c r="CLE11" t="s">
        <v>2358</v>
      </c>
      <c r="CLF11" t="s">
        <v>2359</v>
      </c>
      <c r="CLG11" t="s">
        <v>2360</v>
      </c>
      <c r="CLH11" t="s">
        <v>2361</v>
      </c>
      <c r="CLI11" t="s">
        <v>2362</v>
      </c>
      <c r="CLJ11" t="s">
        <v>2363</v>
      </c>
      <c r="CLK11" t="s">
        <v>2364</v>
      </c>
      <c r="CLL11" t="s">
        <v>2365</v>
      </c>
      <c r="CLM11" t="s">
        <v>2366</v>
      </c>
      <c r="CLN11" t="s">
        <v>2367</v>
      </c>
      <c r="CLO11" t="s">
        <v>2368</v>
      </c>
      <c r="CLP11" t="s">
        <v>2369</v>
      </c>
      <c r="CLQ11" t="s">
        <v>2370</v>
      </c>
      <c r="CLR11" t="s">
        <v>2371</v>
      </c>
      <c r="CLS11" t="s">
        <v>2372</v>
      </c>
      <c r="CLT11" t="s">
        <v>2373</v>
      </c>
      <c r="CLU11" t="s">
        <v>2374</v>
      </c>
      <c r="CLV11" t="s">
        <v>2375</v>
      </c>
      <c r="CLW11" t="s">
        <v>2376</v>
      </c>
      <c r="CLX11" t="s">
        <v>2377</v>
      </c>
      <c r="CLY11" t="s">
        <v>2378</v>
      </c>
      <c r="CLZ11" t="s">
        <v>2379</v>
      </c>
      <c r="CMA11" t="s">
        <v>2380</v>
      </c>
      <c r="CMB11" t="s">
        <v>2381</v>
      </c>
      <c r="CMC11" t="s">
        <v>2382</v>
      </c>
      <c r="CMD11" t="s">
        <v>2383</v>
      </c>
      <c r="CME11" t="s">
        <v>2384</v>
      </c>
      <c r="CMF11" t="s">
        <v>2385</v>
      </c>
      <c r="CMG11" t="s">
        <v>2386</v>
      </c>
      <c r="CMH11" t="s">
        <v>2387</v>
      </c>
      <c r="CMI11" t="s">
        <v>2388</v>
      </c>
      <c r="CMJ11" t="s">
        <v>2389</v>
      </c>
      <c r="CMK11" t="s">
        <v>2390</v>
      </c>
      <c r="CML11" t="s">
        <v>2391</v>
      </c>
      <c r="CMM11" t="s">
        <v>2392</v>
      </c>
      <c r="CMN11" t="s">
        <v>2393</v>
      </c>
      <c r="CMO11" t="s">
        <v>2394</v>
      </c>
      <c r="CMP11" t="s">
        <v>2395</v>
      </c>
      <c r="CMQ11" t="s">
        <v>2396</v>
      </c>
      <c r="CMR11" t="s">
        <v>2397</v>
      </c>
      <c r="CMS11" t="s">
        <v>2398</v>
      </c>
      <c r="CMT11" t="s">
        <v>2399</v>
      </c>
      <c r="CMU11" t="s">
        <v>2400</v>
      </c>
      <c r="CMV11" t="s">
        <v>2401</v>
      </c>
      <c r="CMW11" t="s">
        <v>2402</v>
      </c>
      <c r="CMX11" t="s">
        <v>2403</v>
      </c>
      <c r="CMY11" t="s">
        <v>2404</v>
      </c>
      <c r="CMZ11" t="s">
        <v>2405</v>
      </c>
      <c r="CNA11" t="s">
        <v>2406</v>
      </c>
      <c r="CNB11" t="s">
        <v>2407</v>
      </c>
      <c r="CNC11" t="s">
        <v>2408</v>
      </c>
      <c r="CND11" t="s">
        <v>2409</v>
      </c>
      <c r="CNE11" t="s">
        <v>2410</v>
      </c>
      <c r="CNF11" t="s">
        <v>2411</v>
      </c>
      <c r="CNG11" t="s">
        <v>2412</v>
      </c>
      <c r="CNH11" t="s">
        <v>2413</v>
      </c>
      <c r="CNI11" t="s">
        <v>2414</v>
      </c>
      <c r="CNJ11" t="s">
        <v>2415</v>
      </c>
      <c r="CNK11" t="s">
        <v>2416</v>
      </c>
      <c r="CNL11" t="s">
        <v>2417</v>
      </c>
      <c r="CNM11" t="s">
        <v>2418</v>
      </c>
      <c r="CNN11" t="s">
        <v>2419</v>
      </c>
      <c r="CNO11" t="s">
        <v>2420</v>
      </c>
      <c r="CNP11" t="s">
        <v>2421</v>
      </c>
      <c r="CNQ11" t="s">
        <v>2422</v>
      </c>
      <c r="CNR11" t="s">
        <v>2423</v>
      </c>
      <c r="CNS11" t="s">
        <v>2424</v>
      </c>
      <c r="CNT11" t="s">
        <v>2425</v>
      </c>
      <c r="CNU11" t="s">
        <v>2426</v>
      </c>
      <c r="CNV11" t="s">
        <v>2427</v>
      </c>
      <c r="CNW11" t="s">
        <v>2428</v>
      </c>
      <c r="CNX11" t="s">
        <v>2429</v>
      </c>
      <c r="CNY11" t="s">
        <v>2430</v>
      </c>
      <c r="CNZ11" t="s">
        <v>2431</v>
      </c>
      <c r="COA11" t="s">
        <v>2432</v>
      </c>
      <c r="COB11" t="s">
        <v>2433</v>
      </c>
      <c r="COC11" t="s">
        <v>2434</v>
      </c>
      <c r="COD11" t="s">
        <v>2435</v>
      </c>
      <c r="COE11" t="s">
        <v>2436</v>
      </c>
      <c r="COF11" t="s">
        <v>2437</v>
      </c>
      <c r="COG11" t="s">
        <v>2438</v>
      </c>
      <c r="COH11" t="s">
        <v>2439</v>
      </c>
      <c r="COI11" t="s">
        <v>2440</v>
      </c>
      <c r="COJ11" t="s">
        <v>2441</v>
      </c>
      <c r="COK11" t="s">
        <v>2442</v>
      </c>
      <c r="COL11" t="s">
        <v>2443</v>
      </c>
      <c r="COM11" t="s">
        <v>2444</v>
      </c>
      <c r="CON11" t="s">
        <v>2445</v>
      </c>
      <c r="COO11" t="s">
        <v>2446</v>
      </c>
      <c r="COP11" t="s">
        <v>2447</v>
      </c>
      <c r="COQ11" t="s">
        <v>2448</v>
      </c>
      <c r="COR11" t="s">
        <v>2449</v>
      </c>
      <c r="COS11" t="s">
        <v>2450</v>
      </c>
      <c r="COT11" t="s">
        <v>2451</v>
      </c>
      <c r="COU11" t="s">
        <v>2452</v>
      </c>
      <c r="COV11" t="s">
        <v>2453</v>
      </c>
      <c r="COW11" t="s">
        <v>2454</v>
      </c>
      <c r="COX11" t="s">
        <v>2455</v>
      </c>
      <c r="COY11" t="s">
        <v>2456</v>
      </c>
      <c r="COZ11" t="s">
        <v>2457</v>
      </c>
      <c r="CPA11" t="s">
        <v>2458</v>
      </c>
      <c r="CPB11" t="s">
        <v>2459</v>
      </c>
      <c r="CPC11" t="s">
        <v>2460</v>
      </c>
      <c r="CPD11" t="s">
        <v>2461</v>
      </c>
      <c r="CPE11" t="s">
        <v>2462</v>
      </c>
      <c r="CPF11" t="s">
        <v>2463</v>
      </c>
      <c r="CPG11" t="s">
        <v>2464</v>
      </c>
      <c r="CPH11" t="s">
        <v>2465</v>
      </c>
      <c r="CPI11" t="s">
        <v>2466</v>
      </c>
      <c r="CPJ11" t="s">
        <v>2467</v>
      </c>
      <c r="CPK11" t="s">
        <v>2468</v>
      </c>
      <c r="CPL11" t="s">
        <v>2469</v>
      </c>
      <c r="CPM11" t="s">
        <v>2470</v>
      </c>
      <c r="CPN11" t="s">
        <v>2471</v>
      </c>
      <c r="CPO11" t="s">
        <v>2472</v>
      </c>
      <c r="CPP11" t="s">
        <v>2473</v>
      </c>
      <c r="CPQ11" t="s">
        <v>2474</v>
      </c>
      <c r="CPR11" t="s">
        <v>2475</v>
      </c>
      <c r="CPS11" t="s">
        <v>2476</v>
      </c>
      <c r="CPT11" t="s">
        <v>2477</v>
      </c>
      <c r="CPU11" t="s">
        <v>2478</v>
      </c>
      <c r="CPV11" t="s">
        <v>2479</v>
      </c>
      <c r="CPW11" t="s">
        <v>2480</v>
      </c>
      <c r="CPX11" t="s">
        <v>2481</v>
      </c>
      <c r="CPY11" t="s">
        <v>2482</v>
      </c>
      <c r="CPZ11" t="s">
        <v>2483</v>
      </c>
      <c r="CQA11" t="s">
        <v>2484</v>
      </c>
      <c r="CQB11" t="s">
        <v>2485</v>
      </c>
      <c r="CQC11" t="s">
        <v>2486</v>
      </c>
      <c r="CQD11" t="s">
        <v>2487</v>
      </c>
      <c r="CQE11" t="s">
        <v>2488</v>
      </c>
      <c r="CQF11" t="s">
        <v>2489</v>
      </c>
      <c r="CQG11" t="s">
        <v>2490</v>
      </c>
      <c r="CQH11" t="s">
        <v>2491</v>
      </c>
      <c r="CQI11" t="s">
        <v>2492</v>
      </c>
      <c r="CQJ11" t="s">
        <v>2493</v>
      </c>
      <c r="CQK11" t="s">
        <v>2494</v>
      </c>
      <c r="CQL11" t="s">
        <v>2495</v>
      </c>
      <c r="CQM11" t="s">
        <v>2496</v>
      </c>
      <c r="CQN11" t="s">
        <v>2497</v>
      </c>
      <c r="CQO11" t="s">
        <v>2498</v>
      </c>
      <c r="CQP11" t="s">
        <v>2499</v>
      </c>
      <c r="CQQ11" t="s">
        <v>2500</v>
      </c>
      <c r="CQR11" t="s">
        <v>2501</v>
      </c>
      <c r="CQS11" t="s">
        <v>2502</v>
      </c>
      <c r="CQT11" t="s">
        <v>2503</v>
      </c>
      <c r="CQU11" t="s">
        <v>2504</v>
      </c>
      <c r="CQV11" t="s">
        <v>2505</v>
      </c>
      <c r="CQW11" t="s">
        <v>2506</v>
      </c>
      <c r="CQX11" t="s">
        <v>2507</v>
      </c>
      <c r="CQY11" t="s">
        <v>2508</v>
      </c>
      <c r="CQZ11" t="s">
        <v>2509</v>
      </c>
      <c r="CRA11" t="s">
        <v>2510</v>
      </c>
      <c r="CRB11" t="s">
        <v>2511</v>
      </c>
      <c r="CRC11" t="s">
        <v>2512</v>
      </c>
      <c r="CRD11" t="s">
        <v>2513</v>
      </c>
      <c r="CRE11" t="s">
        <v>2514</v>
      </c>
      <c r="CRF11" t="s">
        <v>2515</v>
      </c>
      <c r="CRG11" t="s">
        <v>2516</v>
      </c>
      <c r="CRH11" t="s">
        <v>2517</v>
      </c>
      <c r="CRI11" t="s">
        <v>2518</v>
      </c>
      <c r="CRJ11" t="s">
        <v>2519</v>
      </c>
      <c r="CRK11" t="s">
        <v>2520</v>
      </c>
      <c r="CRL11" t="s">
        <v>2521</v>
      </c>
      <c r="CRM11" t="s">
        <v>2522</v>
      </c>
      <c r="CRN11" t="s">
        <v>2523</v>
      </c>
      <c r="CRO11" t="s">
        <v>2524</v>
      </c>
      <c r="CRP11" t="s">
        <v>2525</v>
      </c>
      <c r="CRQ11" t="s">
        <v>2526</v>
      </c>
      <c r="CRR11" t="s">
        <v>2527</v>
      </c>
      <c r="CRS11" t="s">
        <v>2528</v>
      </c>
      <c r="CRT11" t="s">
        <v>2529</v>
      </c>
      <c r="CRU11" t="s">
        <v>2530</v>
      </c>
      <c r="CRV11" t="s">
        <v>2531</v>
      </c>
      <c r="CRW11" t="s">
        <v>2532</v>
      </c>
      <c r="CRX11" t="s">
        <v>2533</v>
      </c>
      <c r="CRY11" t="s">
        <v>2534</v>
      </c>
      <c r="CRZ11" t="s">
        <v>2535</v>
      </c>
      <c r="CSA11" t="s">
        <v>2536</v>
      </c>
      <c r="CSB11" t="s">
        <v>2537</v>
      </c>
      <c r="CSC11" t="s">
        <v>2538</v>
      </c>
      <c r="CSD11" t="s">
        <v>2539</v>
      </c>
      <c r="CSE11" t="s">
        <v>2540</v>
      </c>
      <c r="CSF11" t="s">
        <v>2541</v>
      </c>
      <c r="CSG11" t="s">
        <v>2542</v>
      </c>
      <c r="CSH11" t="s">
        <v>2543</v>
      </c>
      <c r="CSI11" t="s">
        <v>2544</v>
      </c>
      <c r="CSJ11" t="s">
        <v>2545</v>
      </c>
      <c r="CSK11" t="s">
        <v>2546</v>
      </c>
      <c r="CSL11" t="s">
        <v>2547</v>
      </c>
      <c r="CSM11" t="s">
        <v>2548</v>
      </c>
      <c r="CSN11" t="s">
        <v>2549</v>
      </c>
      <c r="CSO11" t="s">
        <v>2550</v>
      </c>
      <c r="CSP11" t="s">
        <v>2551</v>
      </c>
      <c r="CSQ11" t="s">
        <v>2552</v>
      </c>
      <c r="CSR11" t="s">
        <v>2553</v>
      </c>
      <c r="CSS11" t="s">
        <v>2554</v>
      </c>
      <c r="CST11" t="s">
        <v>2555</v>
      </c>
      <c r="CSU11" t="s">
        <v>2556</v>
      </c>
      <c r="CSV11" t="s">
        <v>2557</v>
      </c>
      <c r="CSW11" t="s">
        <v>2558</v>
      </c>
      <c r="CSX11" t="s">
        <v>2559</v>
      </c>
      <c r="CSY11" t="s">
        <v>2560</v>
      </c>
      <c r="CSZ11" t="s">
        <v>2561</v>
      </c>
      <c r="CTA11" t="s">
        <v>2562</v>
      </c>
      <c r="CTB11" t="s">
        <v>2563</v>
      </c>
      <c r="CTC11" t="s">
        <v>2564</v>
      </c>
      <c r="CTD11" t="s">
        <v>2565</v>
      </c>
      <c r="CTE11" t="s">
        <v>2566</v>
      </c>
      <c r="CTF11" t="s">
        <v>2567</v>
      </c>
      <c r="CTG11" t="s">
        <v>2568</v>
      </c>
      <c r="CTH11" t="s">
        <v>2569</v>
      </c>
      <c r="CTI11" t="s">
        <v>2570</v>
      </c>
      <c r="CTJ11" t="s">
        <v>2571</v>
      </c>
      <c r="CTK11" t="s">
        <v>2572</v>
      </c>
      <c r="CTL11" t="s">
        <v>2573</v>
      </c>
      <c r="CTM11" t="s">
        <v>2574</v>
      </c>
      <c r="CTN11" t="s">
        <v>2575</v>
      </c>
      <c r="CTO11" t="s">
        <v>2576</v>
      </c>
      <c r="CTP11" t="s">
        <v>2577</v>
      </c>
      <c r="CTQ11" t="s">
        <v>2578</v>
      </c>
      <c r="CTR11" t="s">
        <v>2579</v>
      </c>
      <c r="CTS11" t="s">
        <v>2580</v>
      </c>
      <c r="CTT11" t="s">
        <v>2581</v>
      </c>
      <c r="CTU11" t="s">
        <v>2582</v>
      </c>
      <c r="CTV11" t="s">
        <v>2583</v>
      </c>
      <c r="CTW11" t="s">
        <v>2584</v>
      </c>
      <c r="CTX11" t="s">
        <v>2585</v>
      </c>
      <c r="CTY11" t="s">
        <v>2586</v>
      </c>
      <c r="CTZ11" t="s">
        <v>2587</v>
      </c>
      <c r="CUA11" t="s">
        <v>2588</v>
      </c>
      <c r="CUB11" t="s">
        <v>2589</v>
      </c>
      <c r="CUC11" t="s">
        <v>2590</v>
      </c>
      <c r="CUD11" t="s">
        <v>2591</v>
      </c>
      <c r="CUE11" t="s">
        <v>2592</v>
      </c>
      <c r="CUF11" t="s">
        <v>2593</v>
      </c>
      <c r="CUG11" t="s">
        <v>2594</v>
      </c>
      <c r="CUH11" t="s">
        <v>2595</v>
      </c>
      <c r="CUI11" t="s">
        <v>2596</v>
      </c>
      <c r="CUJ11" t="s">
        <v>2597</v>
      </c>
      <c r="CUK11" t="s">
        <v>2598</v>
      </c>
      <c r="CUL11" t="s">
        <v>2599</v>
      </c>
      <c r="CUM11" t="s">
        <v>2600</v>
      </c>
      <c r="CUN11" t="s">
        <v>2601</v>
      </c>
      <c r="CUO11" t="s">
        <v>2602</v>
      </c>
      <c r="CUP11" t="s">
        <v>2603</v>
      </c>
      <c r="CUQ11" t="s">
        <v>2604</v>
      </c>
      <c r="CUR11" t="s">
        <v>2605</v>
      </c>
      <c r="CUS11" t="s">
        <v>2606</v>
      </c>
      <c r="CUT11" t="s">
        <v>2607</v>
      </c>
      <c r="CUU11" t="s">
        <v>2608</v>
      </c>
      <c r="CUV11" t="s">
        <v>2609</v>
      </c>
      <c r="CUW11" t="s">
        <v>2610</v>
      </c>
      <c r="CUX11" t="s">
        <v>2611</v>
      </c>
      <c r="CUY11" t="s">
        <v>2612</v>
      </c>
      <c r="CUZ11" t="s">
        <v>2613</v>
      </c>
      <c r="CVA11" t="s">
        <v>2614</v>
      </c>
      <c r="CVB11" t="s">
        <v>2615</v>
      </c>
      <c r="CVC11" t="s">
        <v>2616</v>
      </c>
      <c r="CVD11" t="s">
        <v>2617</v>
      </c>
      <c r="CVE11" t="s">
        <v>2618</v>
      </c>
      <c r="CVF11" t="s">
        <v>2619</v>
      </c>
      <c r="CVG11" t="s">
        <v>2620</v>
      </c>
      <c r="CVH11" t="s">
        <v>2621</v>
      </c>
      <c r="CVI11" t="s">
        <v>2622</v>
      </c>
      <c r="CVJ11" t="s">
        <v>2623</v>
      </c>
      <c r="CVK11" t="s">
        <v>2624</v>
      </c>
      <c r="CVL11" t="s">
        <v>2625</v>
      </c>
      <c r="CVM11" t="s">
        <v>2626</v>
      </c>
      <c r="CVN11" t="s">
        <v>2627</v>
      </c>
      <c r="CVO11" t="s">
        <v>2628</v>
      </c>
      <c r="CVP11" t="s">
        <v>2629</v>
      </c>
      <c r="CVQ11" t="s">
        <v>2630</v>
      </c>
      <c r="CVR11" t="s">
        <v>2631</v>
      </c>
      <c r="CVS11" t="s">
        <v>2632</v>
      </c>
      <c r="CVT11" t="s">
        <v>2633</v>
      </c>
      <c r="CVU11" t="s">
        <v>2634</v>
      </c>
      <c r="CVV11" t="s">
        <v>2635</v>
      </c>
      <c r="CVW11" t="s">
        <v>2636</v>
      </c>
      <c r="CVX11" t="s">
        <v>2637</v>
      </c>
      <c r="CVY11" t="s">
        <v>2638</v>
      </c>
      <c r="CVZ11" t="s">
        <v>2639</v>
      </c>
      <c r="CWA11" t="s">
        <v>2640</v>
      </c>
      <c r="CWB11" t="s">
        <v>2641</v>
      </c>
      <c r="CWC11" t="s">
        <v>2642</v>
      </c>
      <c r="CWD11" t="s">
        <v>2643</v>
      </c>
      <c r="CWE11" t="s">
        <v>2644</v>
      </c>
      <c r="CWF11" t="s">
        <v>2645</v>
      </c>
      <c r="CWG11" t="s">
        <v>2646</v>
      </c>
      <c r="CWH11" t="s">
        <v>2647</v>
      </c>
      <c r="CWI11" t="s">
        <v>2648</v>
      </c>
      <c r="CWJ11" t="s">
        <v>2649</v>
      </c>
      <c r="CWK11" t="s">
        <v>2650</v>
      </c>
      <c r="CWL11" t="s">
        <v>2651</v>
      </c>
      <c r="CWM11" t="s">
        <v>2652</v>
      </c>
      <c r="CWN11" t="s">
        <v>2653</v>
      </c>
      <c r="CWO11" t="s">
        <v>2654</v>
      </c>
      <c r="CWP11" t="s">
        <v>2655</v>
      </c>
      <c r="CWQ11" t="s">
        <v>2656</v>
      </c>
      <c r="CWR11" t="s">
        <v>2657</v>
      </c>
      <c r="CWS11" t="s">
        <v>2658</v>
      </c>
      <c r="CWT11" t="s">
        <v>2659</v>
      </c>
      <c r="CWU11" t="s">
        <v>2660</v>
      </c>
      <c r="CWV11" t="s">
        <v>2661</v>
      </c>
      <c r="CWW11" t="s">
        <v>2662</v>
      </c>
      <c r="CWX11" t="s">
        <v>2663</v>
      </c>
      <c r="CWY11" t="s">
        <v>2664</v>
      </c>
      <c r="CWZ11" t="s">
        <v>2665</v>
      </c>
      <c r="CXA11" t="s">
        <v>2666</v>
      </c>
      <c r="CXB11" t="s">
        <v>2667</v>
      </c>
      <c r="CXC11" t="s">
        <v>2668</v>
      </c>
      <c r="CXD11" t="s">
        <v>2669</v>
      </c>
      <c r="CXE11" t="s">
        <v>2670</v>
      </c>
      <c r="CXF11" t="s">
        <v>2671</v>
      </c>
      <c r="CXG11" t="s">
        <v>2672</v>
      </c>
      <c r="CXH11" t="s">
        <v>2673</v>
      </c>
      <c r="CXI11" t="s">
        <v>2674</v>
      </c>
      <c r="CXJ11" t="s">
        <v>2675</v>
      </c>
      <c r="CXK11" t="s">
        <v>2676</v>
      </c>
      <c r="CXL11" t="s">
        <v>2677</v>
      </c>
      <c r="CXM11" t="s">
        <v>2678</v>
      </c>
      <c r="CXN11" t="s">
        <v>2679</v>
      </c>
      <c r="CXO11" t="s">
        <v>2680</v>
      </c>
      <c r="CXP11" t="s">
        <v>2681</v>
      </c>
      <c r="CXQ11" t="s">
        <v>2682</v>
      </c>
      <c r="CXR11" t="s">
        <v>2683</v>
      </c>
      <c r="CXS11" t="s">
        <v>2684</v>
      </c>
      <c r="CXT11" t="s">
        <v>2685</v>
      </c>
      <c r="CXU11" t="s">
        <v>2686</v>
      </c>
      <c r="CXV11" t="s">
        <v>2687</v>
      </c>
      <c r="CXW11" t="s">
        <v>2688</v>
      </c>
      <c r="CXX11" t="s">
        <v>2689</v>
      </c>
      <c r="CXY11" t="s">
        <v>2690</v>
      </c>
      <c r="CXZ11" t="s">
        <v>2691</v>
      </c>
      <c r="CYA11" t="s">
        <v>2692</v>
      </c>
      <c r="CYB11" t="s">
        <v>2693</v>
      </c>
      <c r="CYC11" t="s">
        <v>2694</v>
      </c>
      <c r="CYD11" t="s">
        <v>2695</v>
      </c>
      <c r="CYE11" t="s">
        <v>2696</v>
      </c>
      <c r="CYF11" t="s">
        <v>2697</v>
      </c>
      <c r="CYG11" t="s">
        <v>2698</v>
      </c>
      <c r="CYH11" t="s">
        <v>2699</v>
      </c>
      <c r="CYI11" t="s">
        <v>2700</v>
      </c>
      <c r="CYJ11" t="s">
        <v>2701</v>
      </c>
      <c r="CYK11" t="s">
        <v>2702</v>
      </c>
      <c r="CYL11" t="s">
        <v>2703</v>
      </c>
      <c r="CYM11" t="s">
        <v>2704</v>
      </c>
      <c r="CYN11" t="s">
        <v>2705</v>
      </c>
      <c r="CYO11" t="s">
        <v>2706</v>
      </c>
      <c r="CYP11" t="s">
        <v>2707</v>
      </c>
      <c r="CYQ11" t="s">
        <v>2708</v>
      </c>
      <c r="CYR11" t="s">
        <v>2709</v>
      </c>
      <c r="CYS11" t="s">
        <v>2710</v>
      </c>
      <c r="CYT11" t="s">
        <v>2711</v>
      </c>
      <c r="CYU11" t="s">
        <v>2712</v>
      </c>
      <c r="CYV11" t="s">
        <v>2713</v>
      </c>
      <c r="CYW11" t="s">
        <v>2714</v>
      </c>
      <c r="CYX11" t="s">
        <v>2715</v>
      </c>
      <c r="CYY11" t="s">
        <v>2716</v>
      </c>
      <c r="CYZ11" t="s">
        <v>2717</v>
      </c>
      <c r="CZA11" t="s">
        <v>2718</v>
      </c>
      <c r="CZB11" t="s">
        <v>2719</v>
      </c>
      <c r="CZC11" t="s">
        <v>2720</v>
      </c>
      <c r="CZD11" t="s">
        <v>2721</v>
      </c>
      <c r="CZE11" t="s">
        <v>2722</v>
      </c>
      <c r="CZF11" t="s">
        <v>2723</v>
      </c>
      <c r="CZG11" t="s">
        <v>2724</v>
      </c>
      <c r="CZH11" t="s">
        <v>2725</v>
      </c>
      <c r="CZI11" t="s">
        <v>2726</v>
      </c>
      <c r="CZJ11" t="s">
        <v>2727</v>
      </c>
      <c r="CZK11" t="s">
        <v>2728</v>
      </c>
      <c r="CZL11" t="s">
        <v>2729</v>
      </c>
      <c r="CZM11" t="s">
        <v>2730</v>
      </c>
      <c r="CZN11" t="s">
        <v>2731</v>
      </c>
      <c r="CZO11" t="s">
        <v>2732</v>
      </c>
      <c r="CZP11" t="s">
        <v>2733</v>
      </c>
      <c r="CZQ11" t="s">
        <v>2734</v>
      </c>
      <c r="CZR11" t="s">
        <v>2735</v>
      </c>
      <c r="CZS11" t="s">
        <v>2736</v>
      </c>
      <c r="CZT11" t="s">
        <v>2737</v>
      </c>
      <c r="CZU11" t="s">
        <v>2738</v>
      </c>
      <c r="CZV11" t="s">
        <v>2739</v>
      </c>
      <c r="CZW11" t="s">
        <v>2740</v>
      </c>
      <c r="CZX11" t="s">
        <v>2741</v>
      </c>
      <c r="CZY11" t="s">
        <v>2742</v>
      </c>
      <c r="CZZ11" t="s">
        <v>2743</v>
      </c>
      <c r="DAA11" t="s">
        <v>2744</v>
      </c>
      <c r="DAB11" t="s">
        <v>2745</v>
      </c>
      <c r="DAC11" t="s">
        <v>2746</v>
      </c>
      <c r="DAD11" t="s">
        <v>2747</v>
      </c>
      <c r="DAE11" t="s">
        <v>2748</v>
      </c>
      <c r="DAF11" t="s">
        <v>2749</v>
      </c>
      <c r="DAG11" t="s">
        <v>2750</v>
      </c>
      <c r="DAH11" t="s">
        <v>2751</v>
      </c>
      <c r="DAI11" t="s">
        <v>2752</v>
      </c>
      <c r="DAJ11" t="s">
        <v>2753</v>
      </c>
      <c r="DAK11" t="s">
        <v>2754</v>
      </c>
      <c r="DAL11" t="s">
        <v>2755</v>
      </c>
      <c r="DAM11" t="s">
        <v>2756</v>
      </c>
      <c r="DAN11" t="s">
        <v>2757</v>
      </c>
      <c r="DAO11" t="s">
        <v>2758</v>
      </c>
      <c r="DAP11" t="s">
        <v>2759</v>
      </c>
      <c r="DAQ11" t="s">
        <v>2760</v>
      </c>
      <c r="DAR11" t="s">
        <v>2761</v>
      </c>
      <c r="DAS11" t="s">
        <v>2762</v>
      </c>
      <c r="DAT11" t="s">
        <v>2763</v>
      </c>
      <c r="DAU11" t="s">
        <v>2764</v>
      </c>
      <c r="DAV11" t="s">
        <v>2765</v>
      </c>
      <c r="DAW11" t="s">
        <v>2766</v>
      </c>
      <c r="DAX11" t="s">
        <v>2767</v>
      </c>
      <c r="DAY11" t="s">
        <v>2768</v>
      </c>
      <c r="DAZ11" t="s">
        <v>2769</v>
      </c>
      <c r="DBA11" t="s">
        <v>2770</v>
      </c>
      <c r="DBB11" t="s">
        <v>2771</v>
      </c>
      <c r="DBC11" t="s">
        <v>2772</v>
      </c>
      <c r="DBD11" t="s">
        <v>2773</v>
      </c>
      <c r="DBE11" t="s">
        <v>2774</v>
      </c>
      <c r="DBF11" t="s">
        <v>2775</v>
      </c>
      <c r="DBG11" t="s">
        <v>2776</v>
      </c>
      <c r="DBH11" t="s">
        <v>2777</v>
      </c>
      <c r="DBI11" t="s">
        <v>2778</v>
      </c>
      <c r="DBJ11" t="s">
        <v>2779</v>
      </c>
      <c r="DBK11" t="s">
        <v>2780</v>
      </c>
      <c r="DBL11" t="s">
        <v>2781</v>
      </c>
      <c r="DBM11" t="s">
        <v>2782</v>
      </c>
      <c r="DBN11" t="s">
        <v>2783</v>
      </c>
      <c r="DBO11" t="s">
        <v>2784</v>
      </c>
      <c r="DBP11" t="s">
        <v>2785</v>
      </c>
      <c r="DBQ11" t="s">
        <v>2786</v>
      </c>
      <c r="DBR11" t="s">
        <v>2787</v>
      </c>
      <c r="DBS11" t="s">
        <v>2788</v>
      </c>
      <c r="DBT11" t="s">
        <v>2789</v>
      </c>
      <c r="DBU11" t="s">
        <v>2790</v>
      </c>
      <c r="DBV11" t="s">
        <v>2791</v>
      </c>
      <c r="DBW11" t="s">
        <v>2792</v>
      </c>
      <c r="DBX11" t="s">
        <v>2793</v>
      </c>
      <c r="DBY11" t="s">
        <v>2794</v>
      </c>
      <c r="DBZ11" t="s">
        <v>2795</v>
      </c>
      <c r="DCA11" t="s">
        <v>2796</v>
      </c>
      <c r="DCB11" t="s">
        <v>2797</v>
      </c>
      <c r="DCC11" t="s">
        <v>2798</v>
      </c>
      <c r="DCD11" t="s">
        <v>2799</v>
      </c>
      <c r="DCE11" t="s">
        <v>2800</v>
      </c>
      <c r="DCF11" t="s">
        <v>2801</v>
      </c>
      <c r="DCG11" t="s">
        <v>2802</v>
      </c>
      <c r="DCH11" t="s">
        <v>2803</v>
      </c>
      <c r="DCI11" t="s">
        <v>2804</v>
      </c>
      <c r="DCJ11" t="s">
        <v>2805</v>
      </c>
      <c r="DCK11" t="s">
        <v>2806</v>
      </c>
      <c r="DCL11" t="s">
        <v>2807</v>
      </c>
      <c r="DCM11" t="s">
        <v>2808</v>
      </c>
      <c r="DCN11" t="s">
        <v>2809</v>
      </c>
      <c r="DCO11" t="s">
        <v>2810</v>
      </c>
      <c r="DCP11" t="s">
        <v>2811</v>
      </c>
      <c r="DCQ11" t="s">
        <v>2812</v>
      </c>
      <c r="DCR11" t="s">
        <v>2813</v>
      </c>
      <c r="DCS11" t="s">
        <v>2814</v>
      </c>
      <c r="DCT11" t="s">
        <v>2815</v>
      </c>
      <c r="DCU11" t="s">
        <v>2816</v>
      </c>
      <c r="DCV11" t="s">
        <v>2817</v>
      </c>
      <c r="DCW11" t="s">
        <v>2818</v>
      </c>
      <c r="DCX11" t="s">
        <v>2819</v>
      </c>
      <c r="DCY11" t="s">
        <v>2820</v>
      </c>
      <c r="DCZ11" t="s">
        <v>2821</v>
      </c>
      <c r="DDA11" t="s">
        <v>2822</v>
      </c>
      <c r="DDB11" t="s">
        <v>2823</v>
      </c>
      <c r="DDC11" t="s">
        <v>2824</v>
      </c>
      <c r="DDD11" t="s">
        <v>2825</v>
      </c>
      <c r="DDE11" t="s">
        <v>2826</v>
      </c>
      <c r="DDF11" t="s">
        <v>2827</v>
      </c>
      <c r="DDG11" t="s">
        <v>2828</v>
      </c>
      <c r="DDH11" t="s">
        <v>2829</v>
      </c>
      <c r="DDI11" t="s">
        <v>2830</v>
      </c>
      <c r="DDJ11" t="s">
        <v>2831</v>
      </c>
      <c r="DDK11" t="s">
        <v>2832</v>
      </c>
      <c r="DDL11" t="s">
        <v>2833</v>
      </c>
      <c r="DDM11" t="s">
        <v>2834</v>
      </c>
      <c r="DDN11" t="s">
        <v>2835</v>
      </c>
      <c r="DDO11" t="s">
        <v>2836</v>
      </c>
      <c r="DDP11" t="s">
        <v>2837</v>
      </c>
      <c r="DDQ11" t="s">
        <v>2838</v>
      </c>
      <c r="DDR11" t="s">
        <v>2839</v>
      </c>
      <c r="DDS11" t="s">
        <v>2840</v>
      </c>
      <c r="DDT11" t="s">
        <v>2841</v>
      </c>
      <c r="DDU11" t="s">
        <v>2842</v>
      </c>
      <c r="DDV11" t="s">
        <v>2843</v>
      </c>
      <c r="DDW11" t="s">
        <v>2844</v>
      </c>
      <c r="DDX11" t="s">
        <v>2845</v>
      </c>
      <c r="DDY11" t="s">
        <v>2846</v>
      </c>
      <c r="DDZ11" t="s">
        <v>2847</v>
      </c>
      <c r="DEA11" t="s">
        <v>2848</v>
      </c>
      <c r="DEB11" t="s">
        <v>2849</v>
      </c>
      <c r="DEC11" t="s">
        <v>2850</v>
      </c>
      <c r="DED11" t="s">
        <v>2851</v>
      </c>
      <c r="DEE11" t="s">
        <v>2852</v>
      </c>
      <c r="DEF11" t="s">
        <v>2853</v>
      </c>
      <c r="DEG11" t="s">
        <v>2854</v>
      </c>
      <c r="DEH11" t="s">
        <v>2855</v>
      </c>
      <c r="DEI11" t="s">
        <v>2856</v>
      </c>
      <c r="DEJ11" t="s">
        <v>2857</v>
      </c>
      <c r="DEK11" t="s">
        <v>2858</v>
      </c>
      <c r="DEL11" t="s">
        <v>2859</v>
      </c>
      <c r="DEM11" t="s">
        <v>2860</v>
      </c>
      <c r="DEN11" t="s">
        <v>2861</v>
      </c>
      <c r="DEO11" t="s">
        <v>2862</v>
      </c>
      <c r="DEP11" t="s">
        <v>2863</v>
      </c>
      <c r="DEQ11" t="s">
        <v>2864</v>
      </c>
      <c r="DER11" t="s">
        <v>2865</v>
      </c>
      <c r="DES11" t="s">
        <v>2866</v>
      </c>
      <c r="DET11" t="s">
        <v>2867</v>
      </c>
      <c r="DEU11" t="s">
        <v>2868</v>
      </c>
      <c r="DEV11" t="s">
        <v>2869</v>
      </c>
      <c r="DEW11" t="s">
        <v>2870</v>
      </c>
      <c r="DEX11" t="s">
        <v>2871</v>
      </c>
      <c r="DEY11" t="s">
        <v>2872</v>
      </c>
      <c r="DEZ11" t="s">
        <v>2873</v>
      </c>
      <c r="DFA11" t="s">
        <v>2874</v>
      </c>
      <c r="DFB11" t="s">
        <v>2875</v>
      </c>
      <c r="DFC11" t="s">
        <v>2876</v>
      </c>
      <c r="DFD11" t="s">
        <v>2877</v>
      </c>
      <c r="DFE11" t="s">
        <v>2878</v>
      </c>
      <c r="DFF11" t="s">
        <v>2879</v>
      </c>
      <c r="DFG11" t="s">
        <v>2880</v>
      </c>
      <c r="DFH11" t="s">
        <v>2881</v>
      </c>
      <c r="DFI11" t="s">
        <v>2882</v>
      </c>
      <c r="DFJ11" t="s">
        <v>2883</v>
      </c>
      <c r="DFK11" t="s">
        <v>2884</v>
      </c>
      <c r="DFL11" t="s">
        <v>2885</v>
      </c>
      <c r="DFM11" t="s">
        <v>2886</v>
      </c>
      <c r="DFN11" t="s">
        <v>2887</v>
      </c>
      <c r="DFO11" t="s">
        <v>2888</v>
      </c>
      <c r="DFP11" t="s">
        <v>2889</v>
      </c>
      <c r="DFQ11" t="s">
        <v>2890</v>
      </c>
      <c r="DFR11" t="s">
        <v>2891</v>
      </c>
      <c r="DFS11" t="s">
        <v>2892</v>
      </c>
      <c r="DFT11" t="s">
        <v>2893</v>
      </c>
      <c r="DFU11" t="s">
        <v>2894</v>
      </c>
      <c r="DFV11" t="s">
        <v>2895</v>
      </c>
      <c r="DFW11" t="s">
        <v>2896</v>
      </c>
      <c r="DFX11" t="s">
        <v>2897</v>
      </c>
      <c r="DFY11" t="s">
        <v>2898</v>
      </c>
      <c r="DFZ11" t="s">
        <v>2899</v>
      </c>
      <c r="DGA11" t="s">
        <v>2900</v>
      </c>
      <c r="DGB11" t="s">
        <v>2901</v>
      </c>
      <c r="DGC11" t="s">
        <v>2902</v>
      </c>
      <c r="DGD11" t="s">
        <v>2903</v>
      </c>
      <c r="DGE11" t="s">
        <v>2904</v>
      </c>
      <c r="DGF11" t="s">
        <v>2905</v>
      </c>
      <c r="DGG11" t="s">
        <v>2906</v>
      </c>
      <c r="DGH11" t="s">
        <v>2907</v>
      </c>
      <c r="DGI11" t="s">
        <v>2908</v>
      </c>
      <c r="DGJ11" t="s">
        <v>2909</v>
      </c>
      <c r="DGK11" t="s">
        <v>2910</v>
      </c>
      <c r="DGL11" t="s">
        <v>2911</v>
      </c>
      <c r="DGM11" t="s">
        <v>2912</v>
      </c>
      <c r="DGN11" t="s">
        <v>2913</v>
      </c>
      <c r="DGO11" t="s">
        <v>2914</v>
      </c>
      <c r="DGP11" t="s">
        <v>2915</v>
      </c>
      <c r="DGQ11" t="s">
        <v>2916</v>
      </c>
      <c r="DGR11" t="s">
        <v>2917</v>
      </c>
      <c r="DGS11" t="s">
        <v>2918</v>
      </c>
      <c r="DGT11" t="s">
        <v>2919</v>
      </c>
      <c r="DGU11" t="s">
        <v>2920</v>
      </c>
      <c r="DGV11" t="s">
        <v>2921</v>
      </c>
      <c r="DGW11" t="s">
        <v>2922</v>
      </c>
      <c r="DGX11" t="s">
        <v>2923</v>
      </c>
      <c r="DGY11" t="s">
        <v>2924</v>
      </c>
      <c r="DGZ11" t="s">
        <v>2925</v>
      </c>
      <c r="DHA11" t="s">
        <v>2926</v>
      </c>
      <c r="DHB11" t="s">
        <v>2927</v>
      </c>
      <c r="DHC11" t="s">
        <v>2928</v>
      </c>
      <c r="DHD11" t="s">
        <v>2929</v>
      </c>
      <c r="DHE11" t="s">
        <v>2930</v>
      </c>
      <c r="DHF11" t="s">
        <v>2931</v>
      </c>
      <c r="DHG11" t="s">
        <v>2932</v>
      </c>
      <c r="DHH11" t="s">
        <v>2933</v>
      </c>
      <c r="DHI11" t="s">
        <v>2934</v>
      </c>
      <c r="DHJ11" t="s">
        <v>2935</v>
      </c>
      <c r="DHK11" t="s">
        <v>2936</v>
      </c>
      <c r="DHL11" t="s">
        <v>2937</v>
      </c>
      <c r="DHM11" t="s">
        <v>2938</v>
      </c>
      <c r="DHN11" t="s">
        <v>2939</v>
      </c>
      <c r="DHO11" t="s">
        <v>2940</v>
      </c>
      <c r="DHP11" t="s">
        <v>2941</v>
      </c>
      <c r="DHQ11" t="s">
        <v>2942</v>
      </c>
      <c r="DHR11" t="s">
        <v>2943</v>
      </c>
      <c r="DHS11" t="s">
        <v>2944</v>
      </c>
      <c r="DHT11" t="s">
        <v>2945</v>
      </c>
      <c r="DHU11" t="s">
        <v>2946</v>
      </c>
      <c r="DHV11" t="s">
        <v>2947</v>
      </c>
      <c r="DHW11" t="s">
        <v>2948</v>
      </c>
      <c r="DHX11" t="s">
        <v>2949</v>
      </c>
      <c r="DHY11" t="s">
        <v>2950</v>
      </c>
      <c r="DHZ11" t="s">
        <v>2951</v>
      </c>
      <c r="DIA11" t="s">
        <v>2952</v>
      </c>
      <c r="DIB11" t="s">
        <v>2953</v>
      </c>
      <c r="DIC11" t="s">
        <v>2954</v>
      </c>
      <c r="DID11" t="s">
        <v>2955</v>
      </c>
      <c r="DIE11" t="s">
        <v>2956</v>
      </c>
      <c r="DIF11" t="s">
        <v>2957</v>
      </c>
      <c r="DIG11" t="s">
        <v>2958</v>
      </c>
      <c r="DIH11" t="s">
        <v>2959</v>
      </c>
      <c r="DII11" t="s">
        <v>2960</v>
      </c>
      <c r="DIJ11" t="s">
        <v>2961</v>
      </c>
      <c r="DIK11" t="s">
        <v>2962</v>
      </c>
      <c r="DIL11" t="s">
        <v>2963</v>
      </c>
      <c r="DIM11" t="s">
        <v>2964</v>
      </c>
      <c r="DIN11" t="s">
        <v>2965</v>
      </c>
      <c r="DIO11" t="s">
        <v>2966</v>
      </c>
      <c r="DIP11" t="s">
        <v>2967</v>
      </c>
      <c r="DIQ11" t="s">
        <v>2968</v>
      </c>
      <c r="DIR11" t="s">
        <v>2969</v>
      </c>
      <c r="DIS11" t="s">
        <v>2970</v>
      </c>
      <c r="DIT11" t="s">
        <v>2971</v>
      </c>
      <c r="DIU11" t="s">
        <v>2972</v>
      </c>
      <c r="DIV11" t="s">
        <v>2973</v>
      </c>
      <c r="DIW11" t="s">
        <v>2974</v>
      </c>
      <c r="DIX11" t="s">
        <v>2975</v>
      </c>
      <c r="DIY11" t="s">
        <v>2976</v>
      </c>
      <c r="DIZ11" t="s">
        <v>2977</v>
      </c>
      <c r="DJA11" t="s">
        <v>2978</v>
      </c>
      <c r="DJB11" t="s">
        <v>2979</v>
      </c>
      <c r="DJC11" t="s">
        <v>2980</v>
      </c>
      <c r="DJD11" t="s">
        <v>2981</v>
      </c>
      <c r="DJE11" t="s">
        <v>2982</v>
      </c>
      <c r="DJF11" t="s">
        <v>2983</v>
      </c>
      <c r="DJG11" t="s">
        <v>2984</v>
      </c>
      <c r="DJH11" t="s">
        <v>2985</v>
      </c>
      <c r="DJI11" t="s">
        <v>2986</v>
      </c>
      <c r="DJJ11" t="s">
        <v>2987</v>
      </c>
      <c r="DJK11" t="s">
        <v>2988</v>
      </c>
      <c r="DJL11" t="s">
        <v>2989</v>
      </c>
      <c r="DJM11" t="s">
        <v>2990</v>
      </c>
      <c r="DJN11" t="s">
        <v>2991</v>
      </c>
      <c r="DJO11" t="s">
        <v>2992</v>
      </c>
      <c r="DJP11" t="s">
        <v>2993</v>
      </c>
      <c r="DJQ11" t="s">
        <v>2994</v>
      </c>
      <c r="DJR11" t="s">
        <v>2995</v>
      </c>
      <c r="DJS11" t="s">
        <v>2996</v>
      </c>
      <c r="DJT11" t="s">
        <v>2997</v>
      </c>
      <c r="DJU11" t="s">
        <v>2998</v>
      </c>
      <c r="DJV11" t="s">
        <v>2999</v>
      </c>
      <c r="DJW11" t="s">
        <v>3000</v>
      </c>
      <c r="DJX11" t="s">
        <v>3001</v>
      </c>
      <c r="DJY11" t="s">
        <v>3002</v>
      </c>
      <c r="DJZ11" t="s">
        <v>3003</v>
      </c>
      <c r="DKA11" t="s">
        <v>3004</v>
      </c>
      <c r="DKB11" t="s">
        <v>3005</v>
      </c>
      <c r="DKC11" t="s">
        <v>3006</v>
      </c>
      <c r="DKD11" t="s">
        <v>3007</v>
      </c>
      <c r="DKE11" t="s">
        <v>3008</v>
      </c>
      <c r="DKF11" t="s">
        <v>3009</v>
      </c>
      <c r="DKG11" t="s">
        <v>3010</v>
      </c>
      <c r="DKH11" t="s">
        <v>3011</v>
      </c>
      <c r="DKI11" t="s">
        <v>3012</v>
      </c>
      <c r="DKJ11" t="s">
        <v>3013</v>
      </c>
      <c r="DKK11" t="s">
        <v>3014</v>
      </c>
      <c r="DKL11" t="s">
        <v>3015</v>
      </c>
      <c r="DKM11" t="s">
        <v>3016</v>
      </c>
      <c r="DKN11" t="s">
        <v>3017</v>
      </c>
      <c r="DKO11" t="s">
        <v>3018</v>
      </c>
      <c r="DKP11" t="s">
        <v>3019</v>
      </c>
      <c r="DKQ11" t="s">
        <v>3020</v>
      </c>
      <c r="DKR11" t="s">
        <v>3021</v>
      </c>
      <c r="DKS11" t="s">
        <v>3022</v>
      </c>
      <c r="DKT11" t="s">
        <v>3023</v>
      </c>
      <c r="DKU11" t="s">
        <v>3024</v>
      </c>
      <c r="DKV11" t="s">
        <v>3025</v>
      </c>
      <c r="DKW11" t="s">
        <v>3026</v>
      </c>
      <c r="DKX11" t="s">
        <v>3027</v>
      </c>
      <c r="DKY11" t="s">
        <v>3028</v>
      </c>
      <c r="DKZ11" t="s">
        <v>3029</v>
      </c>
      <c r="DLA11" t="s">
        <v>3030</v>
      </c>
      <c r="DLB11" t="s">
        <v>3031</v>
      </c>
      <c r="DLC11" t="s">
        <v>3032</v>
      </c>
      <c r="DLD11" t="s">
        <v>3033</v>
      </c>
      <c r="DLE11" t="s">
        <v>3034</v>
      </c>
      <c r="DLF11" t="s">
        <v>3035</v>
      </c>
      <c r="DLG11" t="s">
        <v>3036</v>
      </c>
      <c r="DLH11" t="s">
        <v>3037</v>
      </c>
      <c r="DLI11" t="s">
        <v>3038</v>
      </c>
      <c r="DLJ11" t="s">
        <v>3039</v>
      </c>
      <c r="DLK11" t="s">
        <v>3040</v>
      </c>
      <c r="DLL11" t="s">
        <v>3041</v>
      </c>
      <c r="DLM11" t="s">
        <v>3042</v>
      </c>
      <c r="DLN11" t="s">
        <v>3043</v>
      </c>
      <c r="DLO11" t="s">
        <v>3044</v>
      </c>
      <c r="DLP11" t="s">
        <v>3045</v>
      </c>
      <c r="DLQ11" t="s">
        <v>3046</v>
      </c>
      <c r="DLR11" t="s">
        <v>3047</v>
      </c>
      <c r="DLS11" t="s">
        <v>3048</v>
      </c>
      <c r="DLT11" t="s">
        <v>3049</v>
      </c>
      <c r="DLU11" t="s">
        <v>3050</v>
      </c>
      <c r="DLV11" t="s">
        <v>3051</v>
      </c>
      <c r="DLW11" t="s">
        <v>3052</v>
      </c>
      <c r="DLX11" t="s">
        <v>3053</v>
      </c>
      <c r="DLY11" t="s">
        <v>3054</v>
      </c>
      <c r="DLZ11" t="s">
        <v>3055</v>
      </c>
      <c r="DMA11" t="s">
        <v>3056</v>
      </c>
      <c r="DMB11" t="s">
        <v>3057</v>
      </c>
      <c r="DMC11" t="s">
        <v>3058</v>
      </c>
      <c r="DMD11" t="s">
        <v>3059</v>
      </c>
      <c r="DME11" t="s">
        <v>3060</v>
      </c>
      <c r="DMF11" t="s">
        <v>3061</v>
      </c>
      <c r="DMG11" t="s">
        <v>3062</v>
      </c>
      <c r="DMH11" t="s">
        <v>3063</v>
      </c>
      <c r="DMI11" t="s">
        <v>3064</v>
      </c>
      <c r="DMJ11" t="s">
        <v>3065</v>
      </c>
      <c r="DMK11" t="s">
        <v>3066</v>
      </c>
      <c r="DML11" t="s">
        <v>3067</v>
      </c>
      <c r="DMM11" t="s">
        <v>3068</v>
      </c>
      <c r="DMN11" t="s">
        <v>3069</v>
      </c>
      <c r="DMO11" t="s">
        <v>3070</v>
      </c>
      <c r="DMP11" t="s">
        <v>3071</v>
      </c>
      <c r="DMQ11" t="s">
        <v>3072</v>
      </c>
      <c r="DMR11" t="s">
        <v>3073</v>
      </c>
      <c r="DMS11" t="s">
        <v>3074</v>
      </c>
      <c r="DMT11" t="s">
        <v>3075</v>
      </c>
      <c r="DMU11" t="s">
        <v>3076</v>
      </c>
      <c r="DMV11" t="s">
        <v>3077</v>
      </c>
      <c r="DMW11" t="s">
        <v>3078</v>
      </c>
      <c r="DMX11" t="s">
        <v>3079</v>
      </c>
      <c r="DMY11" t="s">
        <v>3080</v>
      </c>
      <c r="DMZ11" t="s">
        <v>3081</v>
      </c>
      <c r="DNA11" t="s">
        <v>3082</v>
      </c>
      <c r="DNB11" t="s">
        <v>3083</v>
      </c>
      <c r="DNC11" t="s">
        <v>3084</v>
      </c>
      <c r="DND11" t="s">
        <v>3085</v>
      </c>
      <c r="DNE11" t="s">
        <v>3086</v>
      </c>
      <c r="DNF11" t="s">
        <v>3087</v>
      </c>
      <c r="DNG11" t="s">
        <v>3088</v>
      </c>
      <c r="DNH11" t="s">
        <v>3089</v>
      </c>
      <c r="DNI11" t="s">
        <v>3090</v>
      </c>
      <c r="DNJ11" t="s">
        <v>3091</v>
      </c>
      <c r="DNK11" t="s">
        <v>3092</v>
      </c>
      <c r="DNL11" t="s">
        <v>3093</v>
      </c>
      <c r="DNM11" t="s">
        <v>3094</v>
      </c>
      <c r="DNN11" t="s">
        <v>3095</v>
      </c>
      <c r="DNO11" t="s">
        <v>3096</v>
      </c>
      <c r="DNP11" t="s">
        <v>3097</v>
      </c>
      <c r="DNQ11" t="s">
        <v>3098</v>
      </c>
      <c r="DNR11" t="s">
        <v>3099</v>
      </c>
      <c r="DNS11" t="s">
        <v>3100</v>
      </c>
      <c r="DNT11" t="s">
        <v>3101</v>
      </c>
      <c r="DNU11" t="s">
        <v>3102</v>
      </c>
      <c r="DNV11" t="s">
        <v>3103</v>
      </c>
      <c r="DNW11" t="s">
        <v>3104</v>
      </c>
      <c r="DNX11" t="s">
        <v>3105</v>
      </c>
      <c r="DNY11" t="s">
        <v>3106</v>
      </c>
      <c r="DNZ11" t="s">
        <v>3107</v>
      </c>
      <c r="DOA11" t="s">
        <v>3108</v>
      </c>
      <c r="DOB11" t="s">
        <v>3109</v>
      </c>
      <c r="DOC11" t="s">
        <v>3110</v>
      </c>
      <c r="DOD11" t="s">
        <v>3111</v>
      </c>
      <c r="DOE11" t="s">
        <v>3112</v>
      </c>
      <c r="DOF11" t="s">
        <v>3113</v>
      </c>
      <c r="DOG11" t="s">
        <v>3114</v>
      </c>
      <c r="DOH11" t="s">
        <v>3115</v>
      </c>
      <c r="DOI11" t="s">
        <v>3116</v>
      </c>
      <c r="DOJ11" t="s">
        <v>3117</v>
      </c>
      <c r="DOK11" t="s">
        <v>3118</v>
      </c>
      <c r="DOL11" t="s">
        <v>3119</v>
      </c>
      <c r="DOM11" t="s">
        <v>3120</v>
      </c>
      <c r="DON11" t="s">
        <v>3121</v>
      </c>
      <c r="DOO11" t="s">
        <v>3122</v>
      </c>
      <c r="DOP11" t="s">
        <v>3123</v>
      </c>
      <c r="DOQ11" t="s">
        <v>3124</v>
      </c>
      <c r="DOR11" t="s">
        <v>3125</v>
      </c>
      <c r="DOS11" t="s">
        <v>3126</v>
      </c>
      <c r="DOT11" t="s">
        <v>3127</v>
      </c>
      <c r="DOU11" t="s">
        <v>3128</v>
      </c>
      <c r="DOV11" t="s">
        <v>3129</v>
      </c>
      <c r="DOW11" t="s">
        <v>3130</v>
      </c>
      <c r="DOX11" t="s">
        <v>3131</v>
      </c>
      <c r="DOY11" t="s">
        <v>3132</v>
      </c>
      <c r="DOZ11" t="s">
        <v>3133</v>
      </c>
      <c r="DPA11" t="s">
        <v>3134</v>
      </c>
      <c r="DPB11" t="s">
        <v>3135</v>
      </c>
      <c r="DPC11" t="s">
        <v>3136</v>
      </c>
      <c r="DPD11" t="s">
        <v>3137</v>
      </c>
      <c r="DPE11" t="s">
        <v>3138</v>
      </c>
      <c r="DPF11" t="s">
        <v>3139</v>
      </c>
      <c r="DPG11" t="s">
        <v>3140</v>
      </c>
      <c r="DPH11" t="s">
        <v>3141</v>
      </c>
      <c r="DPI11" t="s">
        <v>3142</v>
      </c>
      <c r="DPJ11" t="s">
        <v>3143</v>
      </c>
      <c r="DPK11" t="s">
        <v>3144</v>
      </c>
      <c r="DPL11" t="s">
        <v>3145</v>
      </c>
      <c r="DPM11" t="s">
        <v>3146</v>
      </c>
      <c r="DPN11" t="s">
        <v>3147</v>
      </c>
      <c r="DPO11" t="s">
        <v>3148</v>
      </c>
      <c r="DPP11" t="s">
        <v>3149</v>
      </c>
      <c r="DPQ11" t="s">
        <v>3150</v>
      </c>
      <c r="DPR11" t="s">
        <v>3151</v>
      </c>
      <c r="DPS11" t="s">
        <v>3152</v>
      </c>
      <c r="DPT11" t="s">
        <v>3153</v>
      </c>
      <c r="DPU11" t="s">
        <v>3154</v>
      </c>
      <c r="DPV11" t="s">
        <v>3155</v>
      </c>
      <c r="DPW11" t="s">
        <v>3156</v>
      </c>
      <c r="DPX11" t="s">
        <v>3157</v>
      </c>
      <c r="DPY11" t="s">
        <v>3158</v>
      </c>
      <c r="DPZ11" t="s">
        <v>3159</v>
      </c>
      <c r="DQA11" t="s">
        <v>3160</v>
      </c>
      <c r="DQB11" t="s">
        <v>3161</v>
      </c>
      <c r="DQC11" t="s">
        <v>3162</v>
      </c>
      <c r="DQD11" t="s">
        <v>3163</v>
      </c>
      <c r="DQE11" t="s">
        <v>3164</v>
      </c>
      <c r="DQF11" t="s">
        <v>3165</v>
      </c>
      <c r="DQG11" t="s">
        <v>3166</v>
      </c>
      <c r="DQH11" t="s">
        <v>3167</v>
      </c>
      <c r="DQI11" t="s">
        <v>3168</v>
      </c>
      <c r="DQJ11" t="s">
        <v>3169</v>
      </c>
      <c r="DQK11" t="s">
        <v>3170</v>
      </c>
      <c r="DQL11" t="s">
        <v>3171</v>
      </c>
      <c r="DQM11" t="s">
        <v>3172</v>
      </c>
      <c r="DQN11" t="s">
        <v>3173</v>
      </c>
      <c r="DQO11" t="s">
        <v>3174</v>
      </c>
      <c r="DQP11" t="s">
        <v>3175</v>
      </c>
      <c r="DQQ11" t="s">
        <v>3176</v>
      </c>
      <c r="DQR11" t="s">
        <v>3177</v>
      </c>
      <c r="DQS11" t="s">
        <v>3178</v>
      </c>
      <c r="DQT11" t="s">
        <v>3179</v>
      </c>
      <c r="DQU11" t="s">
        <v>3180</v>
      </c>
      <c r="DQV11" t="s">
        <v>3181</v>
      </c>
      <c r="DQW11" t="s">
        <v>3182</v>
      </c>
      <c r="DQX11" t="s">
        <v>3183</v>
      </c>
      <c r="DQY11" t="s">
        <v>3184</v>
      </c>
      <c r="DQZ11" t="s">
        <v>3185</v>
      </c>
      <c r="DRA11" t="s">
        <v>3186</v>
      </c>
      <c r="DRB11" t="s">
        <v>3187</v>
      </c>
      <c r="DRC11" t="s">
        <v>3188</v>
      </c>
      <c r="DRD11" t="s">
        <v>3189</v>
      </c>
      <c r="DRE11" t="s">
        <v>3190</v>
      </c>
      <c r="DRF11" t="s">
        <v>3191</v>
      </c>
      <c r="DRG11" t="s">
        <v>3192</v>
      </c>
      <c r="DRH11" t="s">
        <v>3193</v>
      </c>
      <c r="DRI11" t="s">
        <v>3194</v>
      </c>
      <c r="DRJ11" t="s">
        <v>3195</v>
      </c>
      <c r="DRK11" t="s">
        <v>3196</v>
      </c>
      <c r="DRL11" t="s">
        <v>3197</v>
      </c>
      <c r="DRM11" t="s">
        <v>3198</v>
      </c>
      <c r="DRN11" t="s">
        <v>3199</v>
      </c>
      <c r="DRO11" t="s">
        <v>3200</v>
      </c>
      <c r="DRP11" t="s">
        <v>3201</v>
      </c>
      <c r="DRQ11" t="s">
        <v>3202</v>
      </c>
      <c r="DRR11" t="s">
        <v>3203</v>
      </c>
      <c r="DRS11" t="s">
        <v>3204</v>
      </c>
      <c r="DRT11" t="s">
        <v>3205</v>
      </c>
      <c r="DRU11" t="s">
        <v>3206</v>
      </c>
      <c r="DRV11" t="s">
        <v>3207</v>
      </c>
      <c r="DRW11" t="s">
        <v>3208</v>
      </c>
      <c r="DRX11" t="s">
        <v>3209</v>
      </c>
      <c r="DRY11" t="s">
        <v>3210</v>
      </c>
      <c r="DRZ11" t="s">
        <v>3211</v>
      </c>
      <c r="DSA11" t="s">
        <v>3212</v>
      </c>
      <c r="DSB11" t="s">
        <v>3213</v>
      </c>
      <c r="DSC11" t="s">
        <v>3214</v>
      </c>
      <c r="DSD11" t="s">
        <v>3215</v>
      </c>
      <c r="DSE11" t="s">
        <v>3216</v>
      </c>
      <c r="DSF11" t="s">
        <v>3217</v>
      </c>
      <c r="DSG11" t="s">
        <v>3218</v>
      </c>
      <c r="DSH11" t="s">
        <v>3219</v>
      </c>
      <c r="DSI11" t="s">
        <v>3220</v>
      </c>
      <c r="DSJ11" t="s">
        <v>3221</v>
      </c>
      <c r="DSK11" t="s">
        <v>3222</v>
      </c>
      <c r="DSL11" t="s">
        <v>3223</v>
      </c>
      <c r="DSM11" t="s">
        <v>3224</v>
      </c>
      <c r="DSN11" t="s">
        <v>3225</v>
      </c>
      <c r="DSO11" t="s">
        <v>3226</v>
      </c>
      <c r="DSP11" t="s">
        <v>3227</v>
      </c>
      <c r="DSQ11" t="s">
        <v>3228</v>
      </c>
      <c r="DSR11" t="s">
        <v>3229</v>
      </c>
      <c r="DSS11" t="s">
        <v>3230</v>
      </c>
      <c r="DST11" t="s">
        <v>3231</v>
      </c>
      <c r="DSU11" t="s">
        <v>3232</v>
      </c>
      <c r="DSV11" t="s">
        <v>3233</v>
      </c>
      <c r="DSW11" t="s">
        <v>3234</v>
      </c>
      <c r="DSX11" t="s">
        <v>3235</v>
      </c>
      <c r="DSY11" t="s">
        <v>3236</v>
      </c>
      <c r="DSZ11" t="s">
        <v>3237</v>
      </c>
      <c r="DTA11" t="s">
        <v>3238</v>
      </c>
      <c r="DTB11" t="s">
        <v>3239</v>
      </c>
      <c r="DTC11" t="s">
        <v>3240</v>
      </c>
      <c r="DTD11" t="s">
        <v>3241</v>
      </c>
      <c r="DTE11" t="s">
        <v>3242</v>
      </c>
      <c r="DTF11" t="s">
        <v>3243</v>
      </c>
      <c r="DTG11" t="s">
        <v>3244</v>
      </c>
      <c r="DTH11" t="s">
        <v>3245</v>
      </c>
      <c r="DTI11" t="s">
        <v>3246</v>
      </c>
      <c r="DTJ11" t="s">
        <v>3247</v>
      </c>
      <c r="DTK11" t="s">
        <v>3248</v>
      </c>
      <c r="DTL11" t="s">
        <v>3249</v>
      </c>
      <c r="DTM11" t="s">
        <v>3250</v>
      </c>
      <c r="DTN11" t="s">
        <v>3251</v>
      </c>
      <c r="DTO11" t="s">
        <v>3252</v>
      </c>
      <c r="DTP11" t="s">
        <v>3253</v>
      </c>
      <c r="DTQ11" t="s">
        <v>3254</v>
      </c>
      <c r="DTR11" t="s">
        <v>3255</v>
      </c>
      <c r="DTS11" t="s">
        <v>3256</v>
      </c>
      <c r="DTT11" t="s">
        <v>3257</v>
      </c>
      <c r="DTU11" t="s">
        <v>3258</v>
      </c>
      <c r="DTV11" t="s">
        <v>3259</v>
      </c>
      <c r="DTW11" t="s">
        <v>3260</v>
      </c>
      <c r="DTX11" t="s">
        <v>3261</v>
      </c>
      <c r="DTY11" t="s">
        <v>3262</v>
      </c>
      <c r="DTZ11" t="s">
        <v>3263</v>
      </c>
      <c r="DUA11" t="s">
        <v>3264</v>
      </c>
      <c r="DUB11" t="s">
        <v>3265</v>
      </c>
      <c r="DUC11" t="s">
        <v>3266</v>
      </c>
      <c r="DUD11" t="s">
        <v>3267</v>
      </c>
      <c r="DUE11" t="s">
        <v>3268</v>
      </c>
      <c r="DUF11" t="s">
        <v>3269</v>
      </c>
      <c r="DUG11" t="s">
        <v>3270</v>
      </c>
      <c r="DUH11" t="s">
        <v>3271</v>
      </c>
      <c r="DUI11" t="s">
        <v>3272</v>
      </c>
      <c r="DUJ11" t="s">
        <v>3273</v>
      </c>
      <c r="DUK11" t="s">
        <v>3274</v>
      </c>
      <c r="DUL11" t="s">
        <v>3275</v>
      </c>
      <c r="DUM11" t="s">
        <v>3276</v>
      </c>
      <c r="DUN11" t="s">
        <v>3277</v>
      </c>
      <c r="DUO11" t="s">
        <v>3278</v>
      </c>
      <c r="DUP11" t="s">
        <v>3279</v>
      </c>
      <c r="DUQ11" t="s">
        <v>3280</v>
      </c>
      <c r="DUR11" t="s">
        <v>3281</v>
      </c>
      <c r="DUS11" t="s">
        <v>3282</v>
      </c>
      <c r="DUT11" t="s">
        <v>3283</v>
      </c>
      <c r="DUU11" t="s">
        <v>3284</v>
      </c>
      <c r="DUV11" t="s">
        <v>3285</v>
      </c>
      <c r="DUW11" t="s">
        <v>3286</v>
      </c>
      <c r="DUX11" t="s">
        <v>3287</v>
      </c>
      <c r="DUY11" t="s">
        <v>3288</v>
      </c>
      <c r="DUZ11" t="s">
        <v>3289</v>
      </c>
      <c r="DVA11" t="s">
        <v>3290</v>
      </c>
      <c r="DVB11" t="s">
        <v>3291</v>
      </c>
      <c r="DVC11" t="s">
        <v>3292</v>
      </c>
      <c r="DVD11" t="s">
        <v>3293</v>
      </c>
      <c r="DVE11" t="s">
        <v>3294</v>
      </c>
      <c r="DVF11" t="s">
        <v>3295</v>
      </c>
      <c r="DVG11" t="s">
        <v>3296</v>
      </c>
      <c r="DVH11" t="s">
        <v>3297</v>
      </c>
      <c r="DVI11" t="s">
        <v>3298</v>
      </c>
      <c r="DVJ11" t="s">
        <v>3299</v>
      </c>
      <c r="DVK11" t="s">
        <v>3300</v>
      </c>
      <c r="DVL11" t="s">
        <v>3301</v>
      </c>
      <c r="DVM11" t="s">
        <v>3302</v>
      </c>
      <c r="DVN11" t="s">
        <v>3303</v>
      </c>
      <c r="DVO11" t="s">
        <v>3304</v>
      </c>
      <c r="DVP11" t="s">
        <v>3305</v>
      </c>
      <c r="DVQ11" t="s">
        <v>3306</v>
      </c>
      <c r="DVR11" t="s">
        <v>3307</v>
      </c>
      <c r="DVS11" t="s">
        <v>3308</v>
      </c>
      <c r="DVT11" t="s">
        <v>3309</v>
      </c>
      <c r="DVU11" t="s">
        <v>3310</v>
      </c>
      <c r="DVV11" t="s">
        <v>3311</v>
      </c>
      <c r="DVW11" t="s">
        <v>3312</v>
      </c>
      <c r="DVX11" t="s">
        <v>3313</v>
      </c>
      <c r="DVY11" t="s">
        <v>3314</v>
      </c>
      <c r="DVZ11" t="s">
        <v>3315</v>
      </c>
      <c r="DWA11" t="s">
        <v>3316</v>
      </c>
      <c r="DWB11" t="s">
        <v>3317</v>
      </c>
      <c r="DWC11" t="s">
        <v>3318</v>
      </c>
      <c r="DWD11" t="s">
        <v>3319</v>
      </c>
      <c r="DWE11" t="s">
        <v>3320</v>
      </c>
      <c r="DWF11" t="s">
        <v>3321</v>
      </c>
      <c r="DWG11" t="s">
        <v>3322</v>
      </c>
      <c r="DWH11" t="s">
        <v>3323</v>
      </c>
      <c r="DWI11" t="s">
        <v>3324</v>
      </c>
      <c r="DWJ11" t="s">
        <v>3325</v>
      </c>
      <c r="DWK11" t="s">
        <v>3326</v>
      </c>
      <c r="DWL11" t="s">
        <v>3327</v>
      </c>
      <c r="DWM11" t="s">
        <v>3328</v>
      </c>
      <c r="DWN11" t="s">
        <v>3329</v>
      </c>
      <c r="DWO11" t="s">
        <v>3330</v>
      </c>
      <c r="DWP11" t="s">
        <v>3331</v>
      </c>
      <c r="DWQ11" t="s">
        <v>3332</v>
      </c>
      <c r="DWR11" t="s">
        <v>3333</v>
      </c>
      <c r="DWS11" t="s">
        <v>3334</v>
      </c>
      <c r="DWT11" t="s">
        <v>3335</v>
      </c>
      <c r="DWU11" t="s">
        <v>3336</v>
      </c>
      <c r="DWV11" t="s">
        <v>3337</v>
      </c>
      <c r="DWW11" t="s">
        <v>3338</v>
      </c>
      <c r="DWX11" t="s">
        <v>3339</v>
      </c>
      <c r="DWY11" t="s">
        <v>3340</v>
      </c>
      <c r="DWZ11" t="s">
        <v>3341</v>
      </c>
      <c r="DXA11" t="s">
        <v>3342</v>
      </c>
      <c r="DXB11" t="s">
        <v>3343</v>
      </c>
      <c r="DXC11" t="s">
        <v>3344</v>
      </c>
      <c r="DXD11" t="s">
        <v>3345</v>
      </c>
      <c r="DXE11" t="s">
        <v>3346</v>
      </c>
      <c r="DXF11" t="s">
        <v>3347</v>
      </c>
      <c r="DXG11" t="s">
        <v>3348</v>
      </c>
      <c r="DXH11" t="s">
        <v>3349</v>
      </c>
      <c r="DXI11" t="s">
        <v>3350</v>
      </c>
      <c r="DXJ11" t="s">
        <v>3351</v>
      </c>
      <c r="DXK11" t="s">
        <v>3352</v>
      </c>
      <c r="DXL11" t="s">
        <v>3353</v>
      </c>
      <c r="DXM11" t="s">
        <v>3354</v>
      </c>
      <c r="DXN11" t="s">
        <v>3355</v>
      </c>
      <c r="DXO11" t="s">
        <v>3356</v>
      </c>
      <c r="DXP11" t="s">
        <v>3357</v>
      </c>
      <c r="DXQ11" t="s">
        <v>3358</v>
      </c>
      <c r="DXR11" t="s">
        <v>3359</v>
      </c>
      <c r="DXS11" t="s">
        <v>3360</v>
      </c>
      <c r="DXT11" t="s">
        <v>3361</v>
      </c>
      <c r="DXU11" t="s">
        <v>3362</v>
      </c>
      <c r="DXV11" t="s">
        <v>3363</v>
      </c>
      <c r="DXW11" t="s">
        <v>3364</v>
      </c>
      <c r="DXX11" t="s">
        <v>3365</v>
      </c>
      <c r="DXY11" t="s">
        <v>3366</v>
      </c>
      <c r="DXZ11" t="s">
        <v>3367</v>
      </c>
      <c r="DYA11" t="s">
        <v>3368</v>
      </c>
      <c r="DYB11" t="s">
        <v>3369</v>
      </c>
      <c r="DYC11" t="s">
        <v>3370</v>
      </c>
      <c r="DYD11" t="s">
        <v>3371</v>
      </c>
      <c r="DYE11" t="s">
        <v>3372</v>
      </c>
      <c r="DYF11" t="s">
        <v>3373</v>
      </c>
      <c r="DYG11" t="s">
        <v>3374</v>
      </c>
      <c r="DYH11" t="s">
        <v>3375</v>
      </c>
      <c r="DYI11" t="s">
        <v>3376</v>
      </c>
      <c r="DYJ11" t="s">
        <v>3377</v>
      </c>
      <c r="DYK11" t="s">
        <v>3378</v>
      </c>
      <c r="DYL11" t="s">
        <v>3379</v>
      </c>
      <c r="DYM11" t="s">
        <v>3380</v>
      </c>
      <c r="DYN11" t="s">
        <v>3381</v>
      </c>
      <c r="DYO11" t="s">
        <v>3382</v>
      </c>
      <c r="DYP11" t="s">
        <v>3383</v>
      </c>
      <c r="DYQ11" t="s">
        <v>3384</v>
      </c>
      <c r="DYR11" t="s">
        <v>3385</v>
      </c>
      <c r="DYS11" t="s">
        <v>3386</v>
      </c>
      <c r="DYT11" t="s">
        <v>3387</v>
      </c>
      <c r="DYU11" t="s">
        <v>3388</v>
      </c>
      <c r="DYV11" t="s">
        <v>3389</v>
      </c>
      <c r="DYW11" t="s">
        <v>3390</v>
      </c>
      <c r="DYX11" t="s">
        <v>3391</v>
      </c>
      <c r="DYY11" t="s">
        <v>3392</v>
      </c>
      <c r="DYZ11" t="s">
        <v>3393</v>
      </c>
      <c r="DZA11" t="s">
        <v>3394</v>
      </c>
      <c r="DZB11" t="s">
        <v>3395</v>
      </c>
      <c r="DZC11" t="s">
        <v>3396</v>
      </c>
      <c r="DZD11" t="s">
        <v>3397</v>
      </c>
      <c r="DZE11" t="s">
        <v>3398</v>
      </c>
      <c r="DZF11" t="s">
        <v>3399</v>
      </c>
      <c r="DZG11" t="s">
        <v>3400</v>
      </c>
      <c r="DZH11" t="s">
        <v>3401</v>
      </c>
      <c r="DZI11" t="s">
        <v>3402</v>
      </c>
      <c r="DZJ11" t="s">
        <v>3403</v>
      </c>
      <c r="DZK11" t="s">
        <v>3404</v>
      </c>
      <c r="DZL11" t="s">
        <v>3405</v>
      </c>
      <c r="DZM11" t="s">
        <v>3406</v>
      </c>
      <c r="DZN11" t="s">
        <v>3407</v>
      </c>
      <c r="DZO11" t="s">
        <v>3408</v>
      </c>
      <c r="DZP11" t="s">
        <v>3409</v>
      </c>
      <c r="DZQ11" t="s">
        <v>3410</v>
      </c>
      <c r="DZR11" t="s">
        <v>3411</v>
      </c>
      <c r="DZS11" t="s">
        <v>3412</v>
      </c>
      <c r="DZT11" t="s">
        <v>3413</v>
      </c>
      <c r="DZU11" t="s">
        <v>3414</v>
      </c>
      <c r="DZV11" t="s">
        <v>3415</v>
      </c>
      <c r="DZW11" t="s">
        <v>3416</v>
      </c>
      <c r="DZX11" t="s">
        <v>3417</v>
      </c>
      <c r="DZY11" t="s">
        <v>3418</v>
      </c>
      <c r="DZZ11" t="s">
        <v>3419</v>
      </c>
      <c r="EAA11" t="s">
        <v>3420</v>
      </c>
      <c r="EAB11" t="s">
        <v>3421</v>
      </c>
      <c r="EAC11" t="s">
        <v>3422</v>
      </c>
      <c r="EAD11" t="s">
        <v>3423</v>
      </c>
      <c r="EAE11" t="s">
        <v>3424</v>
      </c>
      <c r="EAF11" t="s">
        <v>3425</v>
      </c>
      <c r="EAG11" t="s">
        <v>3426</v>
      </c>
      <c r="EAH11" t="s">
        <v>3427</v>
      </c>
      <c r="EAI11" t="s">
        <v>3428</v>
      </c>
      <c r="EAJ11" t="s">
        <v>3429</v>
      </c>
      <c r="EAK11" t="s">
        <v>3430</v>
      </c>
      <c r="EAL11" t="s">
        <v>3431</v>
      </c>
      <c r="EAM11" t="s">
        <v>3432</v>
      </c>
      <c r="EAN11" t="s">
        <v>3433</v>
      </c>
      <c r="EAO11" t="s">
        <v>3434</v>
      </c>
      <c r="EAP11" t="s">
        <v>3435</v>
      </c>
      <c r="EAQ11" t="s">
        <v>3436</v>
      </c>
      <c r="EAR11" t="s">
        <v>3437</v>
      </c>
      <c r="EAS11" t="s">
        <v>3438</v>
      </c>
      <c r="EAT11" t="s">
        <v>3439</v>
      </c>
      <c r="EAU11" t="s">
        <v>3440</v>
      </c>
      <c r="EAV11" t="s">
        <v>3441</v>
      </c>
      <c r="EAW11" t="s">
        <v>3442</v>
      </c>
      <c r="EAX11" t="s">
        <v>3443</v>
      </c>
      <c r="EAY11" t="s">
        <v>3444</v>
      </c>
      <c r="EAZ11" t="s">
        <v>3445</v>
      </c>
      <c r="EBA11" t="s">
        <v>3446</v>
      </c>
      <c r="EBB11" t="s">
        <v>3447</v>
      </c>
      <c r="EBC11" t="s">
        <v>3448</v>
      </c>
      <c r="EBD11" t="s">
        <v>3449</v>
      </c>
      <c r="EBE11" t="s">
        <v>3450</v>
      </c>
      <c r="EBF11" t="s">
        <v>3451</v>
      </c>
      <c r="EBG11" t="s">
        <v>3452</v>
      </c>
      <c r="EBH11" t="s">
        <v>3453</v>
      </c>
      <c r="EBI11" t="s">
        <v>3454</v>
      </c>
      <c r="EBJ11" t="s">
        <v>3455</v>
      </c>
      <c r="EBK11" t="s">
        <v>3456</v>
      </c>
      <c r="EBL11" t="s">
        <v>3457</v>
      </c>
      <c r="EBM11" t="s">
        <v>3458</v>
      </c>
      <c r="EBN11" t="s">
        <v>3459</v>
      </c>
      <c r="EBO11" t="s">
        <v>3460</v>
      </c>
      <c r="EBP11" t="s">
        <v>3461</v>
      </c>
      <c r="EBQ11" t="s">
        <v>3462</v>
      </c>
      <c r="EBR11" t="s">
        <v>3463</v>
      </c>
      <c r="EBS11" t="s">
        <v>3464</v>
      </c>
      <c r="EBT11" t="s">
        <v>3465</v>
      </c>
      <c r="EBU11" t="s">
        <v>3466</v>
      </c>
      <c r="EBV11" t="s">
        <v>3467</v>
      </c>
      <c r="EBW11" t="s">
        <v>3468</v>
      </c>
      <c r="EBX11" t="s">
        <v>3469</v>
      </c>
      <c r="EBY11" t="s">
        <v>3470</v>
      </c>
      <c r="EBZ11" t="s">
        <v>3471</v>
      </c>
      <c r="ECA11" t="s">
        <v>3472</v>
      </c>
      <c r="ECB11" t="s">
        <v>3473</v>
      </c>
      <c r="ECC11" t="s">
        <v>3474</v>
      </c>
      <c r="ECD11" t="s">
        <v>3475</v>
      </c>
      <c r="ECE11" t="s">
        <v>3476</v>
      </c>
      <c r="ECF11" t="s">
        <v>3477</v>
      </c>
      <c r="ECG11" t="s">
        <v>3478</v>
      </c>
      <c r="ECH11" t="s">
        <v>3479</v>
      </c>
      <c r="ECI11" t="s">
        <v>3480</v>
      </c>
      <c r="ECJ11" t="s">
        <v>3481</v>
      </c>
      <c r="ECK11" t="s">
        <v>3482</v>
      </c>
      <c r="ECL11" t="s">
        <v>3483</v>
      </c>
      <c r="ECM11" t="s">
        <v>3484</v>
      </c>
      <c r="ECN11" t="s">
        <v>3485</v>
      </c>
      <c r="ECO11" t="s">
        <v>3486</v>
      </c>
      <c r="ECP11" t="s">
        <v>3487</v>
      </c>
      <c r="ECQ11" t="s">
        <v>3488</v>
      </c>
      <c r="ECR11" t="s">
        <v>3489</v>
      </c>
      <c r="ECS11" t="s">
        <v>3490</v>
      </c>
      <c r="ECT11" t="s">
        <v>3491</v>
      </c>
      <c r="ECU11" t="s">
        <v>3492</v>
      </c>
      <c r="ECV11" t="s">
        <v>3493</v>
      </c>
      <c r="ECW11" t="s">
        <v>3494</v>
      </c>
      <c r="ECX11" t="s">
        <v>3495</v>
      </c>
      <c r="ECY11" t="s">
        <v>3496</v>
      </c>
      <c r="ECZ11" t="s">
        <v>3497</v>
      </c>
      <c r="EDA11" t="s">
        <v>3498</v>
      </c>
      <c r="EDB11" t="s">
        <v>3499</v>
      </c>
      <c r="EDC11" t="s">
        <v>3500</v>
      </c>
      <c r="EDD11" t="s">
        <v>3501</v>
      </c>
      <c r="EDE11" t="s">
        <v>3502</v>
      </c>
      <c r="EDF11" t="s">
        <v>3503</v>
      </c>
      <c r="EDG11" t="s">
        <v>3504</v>
      </c>
      <c r="EDH11" t="s">
        <v>3505</v>
      </c>
      <c r="EDI11" t="s">
        <v>3506</v>
      </c>
      <c r="EDJ11" t="s">
        <v>3507</v>
      </c>
      <c r="EDK11" t="s">
        <v>3508</v>
      </c>
      <c r="EDL11" t="s">
        <v>3509</v>
      </c>
      <c r="EDM11" t="s">
        <v>3510</v>
      </c>
      <c r="EDN11" t="s">
        <v>3511</v>
      </c>
      <c r="EDO11" t="s">
        <v>3512</v>
      </c>
      <c r="EDP11" t="s">
        <v>3513</v>
      </c>
      <c r="EDQ11" t="s">
        <v>3514</v>
      </c>
      <c r="EDR11" t="s">
        <v>3515</v>
      </c>
      <c r="EDS11" t="s">
        <v>3516</v>
      </c>
      <c r="EDT11" t="s">
        <v>3517</v>
      </c>
      <c r="EDU11" t="s">
        <v>3518</v>
      </c>
      <c r="EDV11" t="s">
        <v>3519</v>
      </c>
      <c r="EDW11" t="s">
        <v>3520</v>
      </c>
      <c r="EDX11" t="s">
        <v>3521</v>
      </c>
      <c r="EDY11" t="s">
        <v>3522</v>
      </c>
      <c r="EDZ11" t="s">
        <v>3523</v>
      </c>
      <c r="EEA11" t="s">
        <v>3524</v>
      </c>
      <c r="EEB11" t="s">
        <v>3525</v>
      </c>
      <c r="EEC11" t="s">
        <v>3526</v>
      </c>
      <c r="EED11" t="s">
        <v>3527</v>
      </c>
      <c r="EEE11" t="s">
        <v>3528</v>
      </c>
      <c r="EEF11" t="s">
        <v>3529</v>
      </c>
      <c r="EEG11" t="s">
        <v>3530</v>
      </c>
      <c r="EEH11" t="s">
        <v>3531</v>
      </c>
      <c r="EEI11" t="s">
        <v>3532</v>
      </c>
      <c r="EEJ11" t="s">
        <v>3533</v>
      </c>
      <c r="EEK11" t="s">
        <v>3534</v>
      </c>
      <c r="EEL11" t="s">
        <v>3535</v>
      </c>
      <c r="EEM11" t="s">
        <v>3536</v>
      </c>
      <c r="EEN11" t="s">
        <v>3537</v>
      </c>
      <c r="EEO11" t="s">
        <v>3538</v>
      </c>
      <c r="EEP11" t="s">
        <v>3539</v>
      </c>
      <c r="EEQ11" t="s">
        <v>3540</v>
      </c>
      <c r="EER11" t="s">
        <v>3541</v>
      </c>
      <c r="EES11" t="s">
        <v>3542</v>
      </c>
      <c r="EET11" t="s">
        <v>3543</v>
      </c>
      <c r="EEU11" t="s">
        <v>3544</v>
      </c>
      <c r="EEV11" t="s">
        <v>3545</v>
      </c>
      <c r="EEW11" t="s">
        <v>3546</v>
      </c>
      <c r="EEX11" t="s">
        <v>3547</v>
      </c>
      <c r="EEY11" t="s">
        <v>3548</v>
      </c>
      <c r="EEZ11" t="s">
        <v>3549</v>
      </c>
      <c r="EFA11" t="s">
        <v>3550</v>
      </c>
      <c r="EFB11" t="s">
        <v>3551</v>
      </c>
      <c r="EFC11" t="s">
        <v>3552</v>
      </c>
      <c r="EFD11" t="s">
        <v>3553</v>
      </c>
      <c r="EFE11" t="s">
        <v>3554</v>
      </c>
      <c r="EFF11" t="s">
        <v>3555</v>
      </c>
      <c r="EFG11" t="s">
        <v>3556</v>
      </c>
      <c r="EFH11" t="s">
        <v>3557</v>
      </c>
      <c r="EFI11" t="s">
        <v>3558</v>
      </c>
      <c r="EFJ11" t="s">
        <v>3559</v>
      </c>
      <c r="EFK11" t="s">
        <v>3560</v>
      </c>
      <c r="EFL11" t="s">
        <v>3561</v>
      </c>
      <c r="EFM11" t="s">
        <v>3562</v>
      </c>
      <c r="EFN11" t="s">
        <v>3563</v>
      </c>
      <c r="EFO11" t="s">
        <v>3564</v>
      </c>
      <c r="EFP11" t="s">
        <v>3565</v>
      </c>
      <c r="EFQ11" t="s">
        <v>3566</v>
      </c>
      <c r="EFR11" t="s">
        <v>3567</v>
      </c>
      <c r="EFS11" t="s">
        <v>3568</v>
      </c>
      <c r="EFT11" t="s">
        <v>3569</v>
      </c>
      <c r="EFU11" t="s">
        <v>3570</v>
      </c>
      <c r="EFV11" t="s">
        <v>3571</v>
      </c>
      <c r="EFW11" t="s">
        <v>3572</v>
      </c>
      <c r="EFX11" t="s">
        <v>3573</v>
      </c>
      <c r="EFY11" t="s">
        <v>3574</v>
      </c>
      <c r="EFZ11" t="s">
        <v>3575</v>
      </c>
      <c r="EGA11" t="s">
        <v>3576</v>
      </c>
      <c r="EGB11" t="s">
        <v>3577</v>
      </c>
      <c r="EGC11" t="s">
        <v>3578</v>
      </c>
      <c r="EGD11" t="s">
        <v>3579</v>
      </c>
      <c r="EGE11" t="s">
        <v>3580</v>
      </c>
      <c r="EGF11" t="s">
        <v>3581</v>
      </c>
      <c r="EGG11" t="s">
        <v>3582</v>
      </c>
      <c r="EGH11" t="s">
        <v>3583</v>
      </c>
      <c r="EGI11" t="s">
        <v>3584</v>
      </c>
      <c r="EGJ11" t="s">
        <v>3585</v>
      </c>
      <c r="EGK11" t="s">
        <v>3586</v>
      </c>
      <c r="EGL11" t="s">
        <v>3587</v>
      </c>
      <c r="EGM11" t="s">
        <v>3588</v>
      </c>
      <c r="EGN11" t="s">
        <v>3589</v>
      </c>
      <c r="EGO11" t="s">
        <v>3590</v>
      </c>
      <c r="EGP11" t="s">
        <v>3591</v>
      </c>
      <c r="EGQ11" t="s">
        <v>3592</v>
      </c>
      <c r="EGR11" t="s">
        <v>3593</v>
      </c>
      <c r="EGS11" t="s">
        <v>3594</v>
      </c>
      <c r="EGT11" t="s">
        <v>3595</v>
      </c>
      <c r="EGU11" t="s">
        <v>3596</v>
      </c>
      <c r="EGV11" t="s">
        <v>3597</v>
      </c>
      <c r="EGW11" t="s">
        <v>3598</v>
      </c>
      <c r="EGX11" t="s">
        <v>3599</v>
      </c>
      <c r="EGY11" t="s">
        <v>3600</v>
      </c>
      <c r="EGZ11" t="s">
        <v>3601</v>
      </c>
      <c r="EHA11" t="s">
        <v>3602</v>
      </c>
      <c r="EHB11" t="s">
        <v>3603</v>
      </c>
      <c r="EHC11" t="s">
        <v>3604</v>
      </c>
      <c r="EHD11" t="s">
        <v>3605</v>
      </c>
      <c r="EHE11" t="s">
        <v>3606</v>
      </c>
      <c r="EHF11" t="s">
        <v>3607</v>
      </c>
      <c r="EHG11" t="s">
        <v>3608</v>
      </c>
      <c r="EHH11" t="s">
        <v>3609</v>
      </c>
      <c r="EHI11" t="s">
        <v>3610</v>
      </c>
      <c r="EHJ11" t="s">
        <v>3611</v>
      </c>
      <c r="EHK11" t="s">
        <v>3612</v>
      </c>
      <c r="EHL11" t="s">
        <v>3613</v>
      </c>
      <c r="EHM11" t="s">
        <v>3614</v>
      </c>
      <c r="EHN11" t="s">
        <v>3615</v>
      </c>
      <c r="EHO11" t="s">
        <v>3616</v>
      </c>
      <c r="EHP11" t="s">
        <v>3617</v>
      </c>
      <c r="EHQ11" t="s">
        <v>3618</v>
      </c>
      <c r="EHR11" t="s">
        <v>3619</v>
      </c>
      <c r="EHS11" t="s">
        <v>3620</v>
      </c>
      <c r="EHT11" t="s">
        <v>3621</v>
      </c>
      <c r="EHU11" t="s">
        <v>3622</v>
      </c>
      <c r="EHV11" t="s">
        <v>3623</v>
      </c>
      <c r="EHW11" t="s">
        <v>3624</v>
      </c>
      <c r="EHX11" t="s">
        <v>3625</v>
      </c>
      <c r="EHY11" t="s">
        <v>3626</v>
      </c>
      <c r="EHZ11" t="s">
        <v>3627</v>
      </c>
      <c r="EIA11" t="s">
        <v>3628</v>
      </c>
      <c r="EIB11" t="s">
        <v>3629</v>
      </c>
      <c r="EIC11" t="s">
        <v>3630</v>
      </c>
      <c r="EID11" t="s">
        <v>3631</v>
      </c>
      <c r="EIE11" t="s">
        <v>3632</v>
      </c>
      <c r="EIF11" t="s">
        <v>3633</v>
      </c>
      <c r="EIG11" t="s">
        <v>3634</v>
      </c>
      <c r="EIH11" t="s">
        <v>3635</v>
      </c>
      <c r="EII11" t="s">
        <v>3636</v>
      </c>
      <c r="EIJ11" t="s">
        <v>3637</v>
      </c>
      <c r="EIK11" t="s">
        <v>3638</v>
      </c>
      <c r="EIL11" t="s">
        <v>3639</v>
      </c>
      <c r="EIM11" t="s">
        <v>3640</v>
      </c>
      <c r="EIN11" t="s">
        <v>3641</v>
      </c>
      <c r="EIO11" t="s">
        <v>3642</v>
      </c>
      <c r="EIP11" t="s">
        <v>3643</v>
      </c>
      <c r="EIQ11" t="s">
        <v>3644</v>
      </c>
      <c r="EIR11" t="s">
        <v>3645</v>
      </c>
      <c r="EIS11" t="s">
        <v>3646</v>
      </c>
      <c r="EIT11" t="s">
        <v>3647</v>
      </c>
      <c r="EIU11" t="s">
        <v>3648</v>
      </c>
      <c r="EIV11" t="s">
        <v>3649</v>
      </c>
      <c r="EIW11" t="s">
        <v>3650</v>
      </c>
      <c r="EIX11" t="s">
        <v>3651</v>
      </c>
      <c r="EIY11" t="s">
        <v>3652</v>
      </c>
      <c r="EIZ11" t="s">
        <v>3653</v>
      </c>
      <c r="EJA11" t="s">
        <v>3654</v>
      </c>
      <c r="EJB11" t="s">
        <v>3655</v>
      </c>
      <c r="EJC11" t="s">
        <v>3656</v>
      </c>
      <c r="EJD11" t="s">
        <v>3657</v>
      </c>
      <c r="EJE11" t="s">
        <v>3658</v>
      </c>
      <c r="EJF11" t="s">
        <v>3659</v>
      </c>
      <c r="EJG11" t="s">
        <v>3660</v>
      </c>
      <c r="EJH11" t="s">
        <v>3661</v>
      </c>
      <c r="EJI11" t="s">
        <v>3662</v>
      </c>
      <c r="EJJ11" t="s">
        <v>3663</v>
      </c>
      <c r="EJK11" t="s">
        <v>3664</v>
      </c>
      <c r="EJL11" t="s">
        <v>3665</v>
      </c>
      <c r="EJM11" t="s">
        <v>3666</v>
      </c>
      <c r="EJN11" t="s">
        <v>3667</v>
      </c>
      <c r="EJO11" t="s">
        <v>3668</v>
      </c>
      <c r="EJP11" t="s">
        <v>3669</v>
      </c>
      <c r="EJQ11" t="s">
        <v>3670</v>
      </c>
      <c r="EJR11" t="s">
        <v>3671</v>
      </c>
      <c r="EJS11" t="s">
        <v>3672</v>
      </c>
      <c r="EJT11" t="s">
        <v>3673</v>
      </c>
      <c r="EJU11" t="s">
        <v>3674</v>
      </c>
      <c r="EJV11" t="s">
        <v>3675</v>
      </c>
      <c r="EJW11" t="s">
        <v>3676</v>
      </c>
      <c r="EJX11" t="s">
        <v>3677</v>
      </c>
      <c r="EJY11" t="s">
        <v>3678</v>
      </c>
      <c r="EJZ11" t="s">
        <v>3679</v>
      </c>
      <c r="EKA11" t="s">
        <v>3680</v>
      </c>
      <c r="EKB11" t="s">
        <v>3681</v>
      </c>
      <c r="EKC11" t="s">
        <v>3682</v>
      </c>
      <c r="EKD11" t="s">
        <v>3683</v>
      </c>
      <c r="EKE11" t="s">
        <v>3684</v>
      </c>
      <c r="EKF11" t="s">
        <v>3685</v>
      </c>
      <c r="EKG11" t="s">
        <v>3686</v>
      </c>
      <c r="EKH11" t="s">
        <v>3687</v>
      </c>
      <c r="EKI11" t="s">
        <v>3688</v>
      </c>
      <c r="EKJ11" t="s">
        <v>3689</v>
      </c>
      <c r="EKK11" t="s">
        <v>3690</v>
      </c>
      <c r="EKL11" t="s">
        <v>3691</v>
      </c>
      <c r="EKM11" t="s">
        <v>3692</v>
      </c>
      <c r="EKN11" t="s">
        <v>3693</v>
      </c>
      <c r="EKO11" t="s">
        <v>3694</v>
      </c>
      <c r="EKP11" t="s">
        <v>3695</v>
      </c>
      <c r="EKQ11" t="s">
        <v>3696</v>
      </c>
      <c r="EKR11" t="s">
        <v>3697</v>
      </c>
      <c r="EKS11" t="s">
        <v>3698</v>
      </c>
      <c r="EKT11" t="s">
        <v>3699</v>
      </c>
      <c r="EKU11" t="s">
        <v>3700</v>
      </c>
      <c r="EKV11" t="s">
        <v>3701</v>
      </c>
      <c r="EKW11" t="s">
        <v>3702</v>
      </c>
      <c r="EKX11" t="s">
        <v>3703</v>
      </c>
      <c r="EKY11" t="s">
        <v>3704</v>
      </c>
      <c r="EKZ11" t="s">
        <v>3705</v>
      </c>
      <c r="ELA11" t="s">
        <v>3706</v>
      </c>
      <c r="ELB11" t="s">
        <v>3707</v>
      </c>
      <c r="ELC11" t="s">
        <v>3708</v>
      </c>
      <c r="ELD11" t="s">
        <v>3709</v>
      </c>
      <c r="ELE11" t="s">
        <v>3710</v>
      </c>
      <c r="ELF11" t="s">
        <v>3711</v>
      </c>
      <c r="ELG11" t="s">
        <v>3712</v>
      </c>
      <c r="ELH11" t="s">
        <v>3713</v>
      </c>
      <c r="ELI11" t="s">
        <v>3714</v>
      </c>
      <c r="ELJ11" t="s">
        <v>3715</v>
      </c>
      <c r="ELK11" t="s">
        <v>3716</v>
      </c>
      <c r="ELL11" t="s">
        <v>3717</v>
      </c>
      <c r="ELM11" t="s">
        <v>3718</v>
      </c>
      <c r="ELN11" t="s">
        <v>3719</v>
      </c>
      <c r="ELO11" t="s">
        <v>3720</v>
      </c>
      <c r="ELP11" t="s">
        <v>3721</v>
      </c>
      <c r="ELQ11" t="s">
        <v>3722</v>
      </c>
      <c r="ELR11" t="s">
        <v>3723</v>
      </c>
      <c r="ELS11" t="s">
        <v>3724</v>
      </c>
      <c r="ELT11" t="s">
        <v>3725</v>
      </c>
      <c r="ELU11" t="s">
        <v>3726</v>
      </c>
      <c r="ELV11" t="s">
        <v>3727</v>
      </c>
      <c r="ELW11" t="s">
        <v>3728</v>
      </c>
      <c r="ELX11" t="s">
        <v>3729</v>
      </c>
      <c r="ELY11" t="s">
        <v>3730</v>
      </c>
      <c r="ELZ11" t="s">
        <v>3731</v>
      </c>
      <c r="EMA11" t="s">
        <v>3732</v>
      </c>
      <c r="EMB11" t="s">
        <v>3733</v>
      </c>
      <c r="EMC11" t="s">
        <v>3734</v>
      </c>
      <c r="EMD11" t="s">
        <v>3735</v>
      </c>
      <c r="EME11" t="s">
        <v>3736</v>
      </c>
      <c r="EMF11" t="s">
        <v>3737</v>
      </c>
      <c r="EMG11" t="s">
        <v>3738</v>
      </c>
      <c r="EMH11" t="s">
        <v>3739</v>
      </c>
      <c r="EMI11" t="s">
        <v>3740</v>
      </c>
      <c r="EMJ11" t="s">
        <v>3741</v>
      </c>
      <c r="EMK11" t="s">
        <v>3742</v>
      </c>
      <c r="EML11" t="s">
        <v>3743</v>
      </c>
      <c r="EMM11" t="s">
        <v>3744</v>
      </c>
      <c r="EMN11" t="s">
        <v>3745</v>
      </c>
      <c r="EMO11" t="s">
        <v>3746</v>
      </c>
      <c r="EMP11" t="s">
        <v>3747</v>
      </c>
      <c r="EMQ11" t="s">
        <v>3748</v>
      </c>
      <c r="EMR11" t="s">
        <v>3749</v>
      </c>
      <c r="EMS11" t="s">
        <v>3750</v>
      </c>
      <c r="EMT11" t="s">
        <v>3751</v>
      </c>
      <c r="EMU11" t="s">
        <v>3752</v>
      </c>
      <c r="EMV11" t="s">
        <v>3753</v>
      </c>
      <c r="EMW11" t="s">
        <v>3754</v>
      </c>
      <c r="EMX11" t="s">
        <v>3755</v>
      </c>
      <c r="EMY11" t="s">
        <v>3756</v>
      </c>
      <c r="EMZ11" t="s">
        <v>3757</v>
      </c>
      <c r="ENA11" t="s">
        <v>3758</v>
      </c>
      <c r="ENB11" t="s">
        <v>3759</v>
      </c>
      <c r="ENC11" t="s">
        <v>3760</v>
      </c>
      <c r="END11" t="s">
        <v>3761</v>
      </c>
      <c r="ENE11" t="s">
        <v>3762</v>
      </c>
      <c r="ENF11" t="s">
        <v>3763</v>
      </c>
      <c r="ENG11" t="s">
        <v>3764</v>
      </c>
      <c r="ENH11" t="s">
        <v>3765</v>
      </c>
      <c r="ENI11" t="s">
        <v>3766</v>
      </c>
      <c r="ENJ11" t="s">
        <v>3767</v>
      </c>
      <c r="ENK11" t="s">
        <v>3768</v>
      </c>
      <c r="ENL11" t="s">
        <v>3769</v>
      </c>
      <c r="ENM11" t="s">
        <v>3770</v>
      </c>
      <c r="ENN11" t="s">
        <v>3771</v>
      </c>
      <c r="ENO11" t="s">
        <v>3772</v>
      </c>
      <c r="ENP11" t="s">
        <v>3773</v>
      </c>
      <c r="ENQ11" t="s">
        <v>3774</v>
      </c>
      <c r="ENR11" t="s">
        <v>3775</v>
      </c>
      <c r="ENS11" t="s">
        <v>3776</v>
      </c>
      <c r="ENT11" t="s">
        <v>3777</v>
      </c>
      <c r="ENU11" t="s">
        <v>3778</v>
      </c>
      <c r="ENV11" t="s">
        <v>3779</v>
      </c>
      <c r="ENW11" t="s">
        <v>3780</v>
      </c>
      <c r="ENX11" t="s">
        <v>3781</v>
      </c>
      <c r="ENY11" t="s">
        <v>3782</v>
      </c>
      <c r="ENZ11" t="s">
        <v>3783</v>
      </c>
      <c r="EOA11" t="s">
        <v>3784</v>
      </c>
      <c r="EOB11" t="s">
        <v>3785</v>
      </c>
      <c r="EOC11" t="s">
        <v>3786</v>
      </c>
      <c r="EOD11" t="s">
        <v>3787</v>
      </c>
      <c r="EOE11" t="s">
        <v>3788</v>
      </c>
      <c r="EOF11" t="s">
        <v>3789</v>
      </c>
      <c r="EOG11" t="s">
        <v>3790</v>
      </c>
      <c r="EOH11" t="s">
        <v>3791</v>
      </c>
      <c r="EOI11" t="s">
        <v>3792</v>
      </c>
      <c r="EOJ11" t="s">
        <v>3793</v>
      </c>
      <c r="EOK11" t="s">
        <v>3794</v>
      </c>
      <c r="EOL11" t="s">
        <v>3795</v>
      </c>
      <c r="EOM11" t="s">
        <v>3796</v>
      </c>
      <c r="EON11" t="s">
        <v>3797</v>
      </c>
      <c r="EOO11" t="s">
        <v>3798</v>
      </c>
      <c r="EOP11" t="s">
        <v>3799</v>
      </c>
      <c r="EOQ11" t="s">
        <v>3800</v>
      </c>
      <c r="EOR11" t="s">
        <v>3801</v>
      </c>
      <c r="EOS11" t="s">
        <v>3802</v>
      </c>
      <c r="EOT11" t="s">
        <v>3803</v>
      </c>
      <c r="EOU11" t="s">
        <v>3804</v>
      </c>
      <c r="EOV11" t="s">
        <v>3805</v>
      </c>
      <c r="EOW11" t="s">
        <v>3806</v>
      </c>
      <c r="EOX11" t="s">
        <v>3807</v>
      </c>
      <c r="EOY11" t="s">
        <v>3808</v>
      </c>
      <c r="EOZ11" t="s">
        <v>3809</v>
      </c>
      <c r="EPA11" t="s">
        <v>3810</v>
      </c>
      <c r="EPB11" t="s">
        <v>3811</v>
      </c>
      <c r="EPC11" t="s">
        <v>3812</v>
      </c>
      <c r="EPD11" t="s">
        <v>3813</v>
      </c>
      <c r="EPE11" t="s">
        <v>3814</v>
      </c>
      <c r="EPF11" t="s">
        <v>3815</v>
      </c>
      <c r="EPG11" t="s">
        <v>3816</v>
      </c>
      <c r="EPH11" t="s">
        <v>3817</v>
      </c>
      <c r="EPI11" t="s">
        <v>3818</v>
      </c>
      <c r="EPJ11" t="s">
        <v>3819</v>
      </c>
      <c r="EPK11" t="s">
        <v>3820</v>
      </c>
      <c r="EPL11" t="s">
        <v>3821</v>
      </c>
      <c r="EPM11" t="s">
        <v>3822</v>
      </c>
      <c r="EPN11" t="s">
        <v>3823</v>
      </c>
      <c r="EPO11" t="s">
        <v>3824</v>
      </c>
      <c r="EPP11" t="s">
        <v>3825</v>
      </c>
      <c r="EPQ11" t="s">
        <v>3826</v>
      </c>
      <c r="EPR11" t="s">
        <v>3827</v>
      </c>
      <c r="EPS11" t="s">
        <v>3828</v>
      </c>
      <c r="EPT11" t="s">
        <v>3829</v>
      </c>
      <c r="EPU11" t="s">
        <v>3830</v>
      </c>
      <c r="EPV11" t="s">
        <v>3831</v>
      </c>
      <c r="EPW11" t="s">
        <v>3832</v>
      </c>
      <c r="EPX11" t="s">
        <v>3833</v>
      </c>
      <c r="EPY11" t="s">
        <v>3834</v>
      </c>
      <c r="EPZ11" t="s">
        <v>3835</v>
      </c>
      <c r="EQA11" t="s">
        <v>3836</v>
      </c>
      <c r="EQB11" t="s">
        <v>3837</v>
      </c>
      <c r="EQC11" t="s">
        <v>3838</v>
      </c>
      <c r="EQD11" t="s">
        <v>3839</v>
      </c>
      <c r="EQE11" t="s">
        <v>3840</v>
      </c>
      <c r="EQF11" t="s">
        <v>3841</v>
      </c>
      <c r="EQG11" t="s">
        <v>3842</v>
      </c>
      <c r="EQH11" t="s">
        <v>3843</v>
      </c>
      <c r="EQI11" t="s">
        <v>3844</v>
      </c>
      <c r="EQJ11" t="s">
        <v>3845</v>
      </c>
      <c r="EQK11" t="s">
        <v>3846</v>
      </c>
      <c r="EQL11" t="s">
        <v>3847</v>
      </c>
      <c r="EQM11" t="s">
        <v>3848</v>
      </c>
      <c r="EQN11" t="s">
        <v>3849</v>
      </c>
      <c r="EQO11" t="s">
        <v>3850</v>
      </c>
      <c r="EQP11" t="s">
        <v>3851</v>
      </c>
      <c r="EQQ11" t="s">
        <v>3852</v>
      </c>
      <c r="EQR11" t="s">
        <v>3853</v>
      </c>
      <c r="EQS11" t="s">
        <v>3854</v>
      </c>
      <c r="EQT11" t="s">
        <v>3855</v>
      </c>
      <c r="EQU11" t="s">
        <v>3856</v>
      </c>
      <c r="EQV11" t="s">
        <v>3857</v>
      </c>
      <c r="EQW11" t="s">
        <v>3858</v>
      </c>
      <c r="EQX11" t="s">
        <v>3859</v>
      </c>
      <c r="EQY11" t="s">
        <v>3860</v>
      </c>
      <c r="EQZ11" t="s">
        <v>3861</v>
      </c>
      <c r="ERA11" t="s">
        <v>3862</v>
      </c>
      <c r="ERB11" t="s">
        <v>3863</v>
      </c>
      <c r="ERC11" t="s">
        <v>3864</v>
      </c>
      <c r="ERD11" t="s">
        <v>3865</v>
      </c>
      <c r="ERE11" t="s">
        <v>3866</v>
      </c>
      <c r="ERF11" t="s">
        <v>3867</v>
      </c>
      <c r="ERG11" t="s">
        <v>3868</v>
      </c>
      <c r="ERH11" t="s">
        <v>3869</v>
      </c>
      <c r="ERI11" t="s">
        <v>3870</v>
      </c>
      <c r="ERJ11" t="s">
        <v>3871</v>
      </c>
      <c r="ERK11" t="s">
        <v>3872</v>
      </c>
      <c r="ERL11" t="s">
        <v>3873</v>
      </c>
      <c r="ERM11" t="s">
        <v>3874</v>
      </c>
      <c r="ERN11" t="s">
        <v>3875</v>
      </c>
      <c r="ERO11" t="s">
        <v>3876</v>
      </c>
      <c r="ERP11" t="s">
        <v>3877</v>
      </c>
      <c r="ERQ11" t="s">
        <v>3878</v>
      </c>
      <c r="ERR11" t="s">
        <v>3879</v>
      </c>
      <c r="ERS11" t="s">
        <v>3880</v>
      </c>
      <c r="ERT11" t="s">
        <v>3881</v>
      </c>
      <c r="ERU11" t="s">
        <v>3882</v>
      </c>
      <c r="ERV11" t="s">
        <v>3883</v>
      </c>
      <c r="ERW11" t="s">
        <v>3884</v>
      </c>
      <c r="ERX11" t="s">
        <v>3885</v>
      </c>
      <c r="ERY11" t="s">
        <v>3886</v>
      </c>
      <c r="ERZ11" t="s">
        <v>3887</v>
      </c>
      <c r="ESA11" t="s">
        <v>3888</v>
      </c>
      <c r="ESB11" t="s">
        <v>3889</v>
      </c>
      <c r="ESC11" t="s">
        <v>3890</v>
      </c>
      <c r="ESD11" t="s">
        <v>3891</v>
      </c>
      <c r="ESE11" t="s">
        <v>3892</v>
      </c>
      <c r="ESF11" t="s">
        <v>3893</v>
      </c>
      <c r="ESG11" t="s">
        <v>3894</v>
      </c>
      <c r="ESH11" t="s">
        <v>3895</v>
      </c>
      <c r="ESI11" t="s">
        <v>3896</v>
      </c>
      <c r="ESJ11" t="s">
        <v>3897</v>
      </c>
      <c r="ESK11" t="s">
        <v>3898</v>
      </c>
      <c r="ESL11" t="s">
        <v>3899</v>
      </c>
      <c r="ESM11" t="s">
        <v>3900</v>
      </c>
      <c r="ESN11" t="s">
        <v>3901</v>
      </c>
      <c r="ESO11" t="s">
        <v>3902</v>
      </c>
      <c r="ESP11" t="s">
        <v>3903</v>
      </c>
      <c r="ESQ11" t="s">
        <v>3904</v>
      </c>
      <c r="ESR11" t="s">
        <v>3905</v>
      </c>
      <c r="ESS11" t="s">
        <v>3906</v>
      </c>
      <c r="EST11" t="s">
        <v>3907</v>
      </c>
      <c r="ESU11" t="s">
        <v>3908</v>
      </c>
      <c r="ESV11" t="s">
        <v>3909</v>
      </c>
      <c r="ESW11" t="s">
        <v>3910</v>
      </c>
      <c r="ESX11" t="s">
        <v>3911</v>
      </c>
      <c r="ESY11" t="s">
        <v>3912</v>
      </c>
      <c r="ESZ11" t="s">
        <v>3913</v>
      </c>
      <c r="ETA11" t="s">
        <v>3914</v>
      </c>
      <c r="ETB11" t="s">
        <v>3915</v>
      </c>
      <c r="ETC11" t="s">
        <v>3916</v>
      </c>
      <c r="ETD11" t="s">
        <v>3917</v>
      </c>
      <c r="ETE11" t="s">
        <v>3918</v>
      </c>
      <c r="ETF11" t="s">
        <v>3919</v>
      </c>
      <c r="ETG11" t="s">
        <v>3920</v>
      </c>
      <c r="ETH11" t="s">
        <v>3921</v>
      </c>
      <c r="ETI11" t="s">
        <v>3922</v>
      </c>
      <c r="ETJ11" t="s">
        <v>3923</v>
      </c>
      <c r="ETK11" t="s">
        <v>3924</v>
      </c>
      <c r="ETL11" t="s">
        <v>3925</v>
      </c>
      <c r="ETM11" t="s">
        <v>3926</v>
      </c>
      <c r="ETN11" t="s">
        <v>3927</v>
      </c>
      <c r="ETO11" t="s">
        <v>3928</v>
      </c>
      <c r="ETP11" t="s">
        <v>3929</v>
      </c>
      <c r="ETQ11" t="s">
        <v>3930</v>
      </c>
      <c r="ETR11" t="s">
        <v>3931</v>
      </c>
      <c r="ETS11" t="s">
        <v>3932</v>
      </c>
      <c r="ETT11" t="s">
        <v>3933</v>
      </c>
      <c r="ETU11" t="s">
        <v>3934</v>
      </c>
      <c r="ETV11" t="s">
        <v>3935</v>
      </c>
      <c r="ETW11" t="s">
        <v>3936</v>
      </c>
      <c r="ETX11" t="s">
        <v>3937</v>
      </c>
      <c r="ETY11" t="s">
        <v>3938</v>
      </c>
      <c r="ETZ11" t="s">
        <v>3939</v>
      </c>
      <c r="EUA11" t="s">
        <v>3940</v>
      </c>
      <c r="EUB11" t="s">
        <v>3941</v>
      </c>
      <c r="EUC11" t="s">
        <v>3942</v>
      </c>
      <c r="EUD11" t="s">
        <v>3943</v>
      </c>
      <c r="EUE11" t="s">
        <v>3944</v>
      </c>
      <c r="EUF11" t="s">
        <v>3945</v>
      </c>
      <c r="EUG11" t="s">
        <v>3946</v>
      </c>
      <c r="EUH11" t="s">
        <v>3947</v>
      </c>
      <c r="EUI11" t="s">
        <v>3948</v>
      </c>
      <c r="EUJ11" t="s">
        <v>3949</v>
      </c>
      <c r="EUK11" t="s">
        <v>3950</v>
      </c>
      <c r="EUL11" t="s">
        <v>3951</v>
      </c>
      <c r="EUM11" t="s">
        <v>3952</v>
      </c>
      <c r="EUN11" t="s">
        <v>3953</v>
      </c>
      <c r="EUO11" t="s">
        <v>3954</v>
      </c>
      <c r="EUP11" t="s">
        <v>3955</v>
      </c>
      <c r="EUQ11" t="s">
        <v>3956</v>
      </c>
      <c r="EUR11" t="s">
        <v>3957</v>
      </c>
      <c r="EUS11" t="s">
        <v>3958</v>
      </c>
      <c r="EUT11" t="s">
        <v>3959</v>
      </c>
      <c r="EUU11" t="s">
        <v>3960</v>
      </c>
      <c r="EUV11" t="s">
        <v>3961</v>
      </c>
      <c r="EUW11" t="s">
        <v>3962</v>
      </c>
      <c r="EUX11" t="s">
        <v>3963</v>
      </c>
      <c r="EUY11" t="s">
        <v>3964</v>
      </c>
      <c r="EUZ11" t="s">
        <v>3965</v>
      </c>
      <c r="EVA11" t="s">
        <v>3966</v>
      </c>
      <c r="EVB11" t="s">
        <v>3967</v>
      </c>
      <c r="EVC11" t="s">
        <v>3968</v>
      </c>
      <c r="EVD11" t="s">
        <v>3969</v>
      </c>
      <c r="EVE11" t="s">
        <v>3970</v>
      </c>
      <c r="EVF11" t="s">
        <v>3971</v>
      </c>
      <c r="EVG11" t="s">
        <v>3972</v>
      </c>
      <c r="EVH11" t="s">
        <v>3973</v>
      </c>
      <c r="EVI11" t="s">
        <v>3974</v>
      </c>
      <c r="EVJ11" t="s">
        <v>3975</v>
      </c>
      <c r="EVK11" t="s">
        <v>3976</v>
      </c>
      <c r="EVL11" t="s">
        <v>3977</v>
      </c>
      <c r="EVM11" t="s">
        <v>3978</v>
      </c>
      <c r="EVN11" t="s">
        <v>3979</v>
      </c>
      <c r="EVO11" t="s">
        <v>3980</v>
      </c>
      <c r="EVP11" t="s">
        <v>3981</v>
      </c>
      <c r="EVQ11" t="s">
        <v>3982</v>
      </c>
      <c r="EVR11" t="s">
        <v>3983</v>
      </c>
      <c r="EVS11" t="s">
        <v>3984</v>
      </c>
      <c r="EVT11" t="s">
        <v>3985</v>
      </c>
      <c r="EVU11" t="s">
        <v>3986</v>
      </c>
      <c r="EVV11" t="s">
        <v>3987</v>
      </c>
      <c r="EVW11" t="s">
        <v>3988</v>
      </c>
      <c r="EVX11" t="s">
        <v>3989</v>
      </c>
      <c r="EVY11" t="s">
        <v>3990</v>
      </c>
      <c r="EVZ11" t="s">
        <v>3991</v>
      </c>
      <c r="EWA11" t="s">
        <v>3992</v>
      </c>
      <c r="EWB11" t="s">
        <v>3993</v>
      </c>
      <c r="EWC11" t="s">
        <v>3994</v>
      </c>
      <c r="EWD11" t="s">
        <v>3995</v>
      </c>
      <c r="EWE11" t="s">
        <v>3996</v>
      </c>
      <c r="EWF11" t="s">
        <v>3997</v>
      </c>
      <c r="EWG11" t="s">
        <v>3998</v>
      </c>
      <c r="EWH11" t="s">
        <v>3999</v>
      </c>
      <c r="EWI11" t="s">
        <v>4000</v>
      </c>
      <c r="EWJ11" t="s">
        <v>4001</v>
      </c>
      <c r="EWK11" t="s">
        <v>4002</v>
      </c>
      <c r="EWL11" t="s">
        <v>4003</v>
      </c>
      <c r="EWM11" t="s">
        <v>4004</v>
      </c>
      <c r="EWN11" t="s">
        <v>4005</v>
      </c>
      <c r="EWO11" t="s">
        <v>4006</v>
      </c>
      <c r="EWP11" t="s">
        <v>4007</v>
      </c>
      <c r="EWQ11" t="s">
        <v>4008</v>
      </c>
      <c r="EWR11" t="s">
        <v>4009</v>
      </c>
      <c r="EWS11" t="s">
        <v>4010</v>
      </c>
      <c r="EWT11" t="s">
        <v>4011</v>
      </c>
      <c r="EWU11" t="s">
        <v>4012</v>
      </c>
      <c r="EWV11" t="s">
        <v>4013</v>
      </c>
      <c r="EWW11" t="s">
        <v>4014</v>
      </c>
      <c r="EWX11" t="s">
        <v>4015</v>
      </c>
      <c r="EWY11" t="s">
        <v>4016</v>
      </c>
      <c r="EWZ11" t="s">
        <v>4017</v>
      </c>
      <c r="EXA11" t="s">
        <v>4018</v>
      </c>
      <c r="EXB11" t="s">
        <v>4019</v>
      </c>
      <c r="EXC11" t="s">
        <v>4020</v>
      </c>
      <c r="EXD11" t="s">
        <v>4021</v>
      </c>
      <c r="EXE11" t="s">
        <v>4022</v>
      </c>
      <c r="EXF11" t="s">
        <v>4023</v>
      </c>
      <c r="EXG11" t="s">
        <v>4024</v>
      </c>
      <c r="EXH11" t="s">
        <v>4025</v>
      </c>
      <c r="EXI11" t="s">
        <v>4026</v>
      </c>
      <c r="EXJ11" t="s">
        <v>4027</v>
      </c>
      <c r="EXK11" t="s">
        <v>4028</v>
      </c>
      <c r="EXL11" t="s">
        <v>4029</v>
      </c>
      <c r="EXM11" t="s">
        <v>4030</v>
      </c>
      <c r="EXN11" t="s">
        <v>4031</v>
      </c>
      <c r="EXO11" t="s">
        <v>4032</v>
      </c>
      <c r="EXP11" t="s">
        <v>4033</v>
      </c>
      <c r="EXQ11" t="s">
        <v>4034</v>
      </c>
      <c r="EXR11" t="s">
        <v>4035</v>
      </c>
      <c r="EXS11" t="s">
        <v>4036</v>
      </c>
      <c r="EXT11" t="s">
        <v>4037</v>
      </c>
      <c r="EXU11" t="s">
        <v>4038</v>
      </c>
      <c r="EXV11" t="s">
        <v>4039</v>
      </c>
      <c r="EXW11" t="s">
        <v>4040</v>
      </c>
      <c r="EXX11" t="s">
        <v>4041</v>
      </c>
      <c r="EXY11" t="s">
        <v>4042</v>
      </c>
      <c r="EXZ11" t="s">
        <v>4043</v>
      </c>
      <c r="EYA11" t="s">
        <v>4044</v>
      </c>
      <c r="EYB11" t="s">
        <v>4045</v>
      </c>
      <c r="EYC11" t="s">
        <v>4046</v>
      </c>
      <c r="EYD11" t="s">
        <v>4047</v>
      </c>
      <c r="EYE11" t="s">
        <v>4048</v>
      </c>
      <c r="EYF11" t="s">
        <v>4049</v>
      </c>
      <c r="EYG11" t="s">
        <v>4050</v>
      </c>
      <c r="EYH11" t="s">
        <v>4051</v>
      </c>
      <c r="EYI11" t="s">
        <v>4052</v>
      </c>
      <c r="EYJ11" t="s">
        <v>4053</v>
      </c>
      <c r="EYK11" t="s">
        <v>4054</v>
      </c>
      <c r="EYL11" t="s">
        <v>4055</v>
      </c>
      <c r="EYM11" t="s">
        <v>4056</v>
      </c>
      <c r="EYN11" t="s">
        <v>4057</v>
      </c>
      <c r="EYO11" t="s">
        <v>4058</v>
      </c>
      <c r="EYP11" t="s">
        <v>4059</v>
      </c>
      <c r="EYQ11" t="s">
        <v>4060</v>
      </c>
      <c r="EYR11" t="s">
        <v>4061</v>
      </c>
      <c r="EYS11" t="s">
        <v>4062</v>
      </c>
      <c r="EYT11" t="s">
        <v>4063</v>
      </c>
      <c r="EYU11" t="s">
        <v>4064</v>
      </c>
      <c r="EYV11" t="s">
        <v>4065</v>
      </c>
      <c r="EYW11" t="s">
        <v>4066</v>
      </c>
      <c r="EYX11" t="s">
        <v>4067</v>
      </c>
      <c r="EYY11" t="s">
        <v>4068</v>
      </c>
      <c r="EYZ11" t="s">
        <v>4069</v>
      </c>
      <c r="EZA11" t="s">
        <v>4070</v>
      </c>
      <c r="EZB11" t="s">
        <v>4071</v>
      </c>
      <c r="EZC11" t="s">
        <v>4072</v>
      </c>
      <c r="EZD11" t="s">
        <v>4073</v>
      </c>
      <c r="EZE11" t="s">
        <v>4074</v>
      </c>
      <c r="EZF11" t="s">
        <v>4075</v>
      </c>
      <c r="EZG11" t="s">
        <v>4076</v>
      </c>
      <c r="EZH11" t="s">
        <v>4077</v>
      </c>
      <c r="EZI11" t="s">
        <v>4078</v>
      </c>
      <c r="EZJ11" t="s">
        <v>4079</v>
      </c>
      <c r="EZK11" t="s">
        <v>4080</v>
      </c>
      <c r="EZL11" t="s">
        <v>4081</v>
      </c>
      <c r="EZM11" t="s">
        <v>4082</v>
      </c>
      <c r="EZN11" t="s">
        <v>4083</v>
      </c>
      <c r="EZO11" t="s">
        <v>4084</v>
      </c>
      <c r="EZP11" t="s">
        <v>4085</v>
      </c>
      <c r="EZQ11" t="s">
        <v>4086</v>
      </c>
      <c r="EZR11" t="s">
        <v>4087</v>
      </c>
      <c r="EZS11" t="s">
        <v>4088</v>
      </c>
      <c r="EZT11" t="s">
        <v>4089</v>
      </c>
      <c r="EZU11" t="s">
        <v>4090</v>
      </c>
      <c r="EZV11" t="s">
        <v>4091</v>
      </c>
      <c r="EZW11" t="s">
        <v>4092</v>
      </c>
      <c r="EZX11" t="s">
        <v>4093</v>
      </c>
      <c r="EZY11" t="s">
        <v>4094</v>
      </c>
      <c r="EZZ11" t="s">
        <v>4095</v>
      </c>
      <c r="FAA11" t="s">
        <v>4096</v>
      </c>
      <c r="FAB11" t="s">
        <v>4097</v>
      </c>
      <c r="FAC11" t="s">
        <v>4098</v>
      </c>
      <c r="FAD11" t="s">
        <v>4099</v>
      </c>
      <c r="FAE11" t="s">
        <v>4100</v>
      </c>
      <c r="FAF11" t="s">
        <v>4101</v>
      </c>
      <c r="FAG11" t="s">
        <v>4102</v>
      </c>
      <c r="FAH11" t="s">
        <v>4103</v>
      </c>
      <c r="FAI11" t="s">
        <v>4104</v>
      </c>
      <c r="FAJ11" t="s">
        <v>4105</v>
      </c>
      <c r="FAK11" t="s">
        <v>4106</v>
      </c>
      <c r="FAL11" t="s">
        <v>4107</v>
      </c>
      <c r="FAM11" t="s">
        <v>4108</v>
      </c>
      <c r="FAN11" t="s">
        <v>4109</v>
      </c>
      <c r="FAO11" t="s">
        <v>4110</v>
      </c>
      <c r="FAP11" t="s">
        <v>4111</v>
      </c>
      <c r="FAQ11" t="s">
        <v>4112</v>
      </c>
      <c r="FAR11" t="s">
        <v>4113</v>
      </c>
      <c r="FAS11" t="s">
        <v>4114</v>
      </c>
      <c r="FAT11" t="s">
        <v>4115</v>
      </c>
      <c r="FAU11" t="s">
        <v>4116</v>
      </c>
      <c r="FAV11" t="s">
        <v>4117</v>
      </c>
      <c r="FAW11" t="s">
        <v>4118</v>
      </c>
      <c r="FAX11" t="s">
        <v>4119</v>
      </c>
      <c r="FAY11" t="s">
        <v>4120</v>
      </c>
      <c r="FAZ11" t="s">
        <v>4121</v>
      </c>
      <c r="FBA11" t="s">
        <v>4122</v>
      </c>
      <c r="FBB11" t="s">
        <v>4123</v>
      </c>
      <c r="FBC11" t="s">
        <v>4124</v>
      </c>
      <c r="FBD11" t="s">
        <v>4125</v>
      </c>
      <c r="FBE11" t="s">
        <v>4126</v>
      </c>
      <c r="FBF11" t="s">
        <v>4127</v>
      </c>
      <c r="FBG11" t="s">
        <v>4128</v>
      </c>
      <c r="FBH11" t="s">
        <v>4129</v>
      </c>
      <c r="FBI11" t="s">
        <v>4130</v>
      </c>
      <c r="FBJ11" t="s">
        <v>4131</v>
      </c>
      <c r="FBK11" t="s">
        <v>4132</v>
      </c>
      <c r="FBL11" t="s">
        <v>4133</v>
      </c>
      <c r="FBM11" t="s">
        <v>4134</v>
      </c>
      <c r="FBN11" t="s">
        <v>4135</v>
      </c>
      <c r="FBO11" t="s">
        <v>4136</v>
      </c>
      <c r="FBP11" t="s">
        <v>4137</v>
      </c>
      <c r="FBQ11" t="s">
        <v>4138</v>
      </c>
      <c r="FBR11" t="s">
        <v>4139</v>
      </c>
      <c r="FBS11" t="s">
        <v>4140</v>
      </c>
      <c r="FBT11" t="s">
        <v>4141</v>
      </c>
      <c r="FBU11" t="s">
        <v>4142</v>
      </c>
      <c r="FBV11" t="s">
        <v>4143</v>
      </c>
      <c r="FBW11" t="s">
        <v>4144</v>
      </c>
      <c r="FBX11" t="s">
        <v>4145</v>
      </c>
      <c r="FBY11" t="s">
        <v>4146</v>
      </c>
      <c r="FBZ11" t="s">
        <v>4147</v>
      </c>
      <c r="FCA11" t="s">
        <v>4148</v>
      </c>
      <c r="FCB11" t="s">
        <v>4149</v>
      </c>
      <c r="FCC11" t="s">
        <v>4150</v>
      </c>
      <c r="FCD11" t="s">
        <v>4151</v>
      </c>
      <c r="FCE11" t="s">
        <v>4152</v>
      </c>
      <c r="FCF11" t="s">
        <v>4153</v>
      </c>
      <c r="FCG11" t="s">
        <v>4154</v>
      </c>
      <c r="FCH11" t="s">
        <v>4155</v>
      </c>
      <c r="FCI11" t="s">
        <v>4156</v>
      </c>
      <c r="FCJ11" t="s">
        <v>4157</v>
      </c>
      <c r="FCK11" t="s">
        <v>4158</v>
      </c>
      <c r="FCL11" t="s">
        <v>4159</v>
      </c>
      <c r="FCM11" t="s">
        <v>4160</v>
      </c>
      <c r="FCN11" t="s">
        <v>4161</v>
      </c>
      <c r="FCO11" t="s">
        <v>4162</v>
      </c>
      <c r="FCP11" t="s">
        <v>4163</v>
      </c>
      <c r="FCQ11" t="s">
        <v>4164</v>
      </c>
      <c r="FCR11" t="s">
        <v>4165</v>
      </c>
      <c r="FCS11" t="s">
        <v>4166</v>
      </c>
      <c r="FCT11" t="s">
        <v>4167</v>
      </c>
      <c r="FCU11" t="s">
        <v>4168</v>
      </c>
      <c r="FCV11" t="s">
        <v>4169</v>
      </c>
      <c r="FCW11" t="s">
        <v>4170</v>
      </c>
      <c r="FCX11" t="s">
        <v>4171</v>
      </c>
      <c r="FCY11" t="s">
        <v>4172</v>
      </c>
      <c r="FCZ11" t="s">
        <v>4173</v>
      </c>
      <c r="FDA11" t="s">
        <v>4174</v>
      </c>
      <c r="FDB11" t="s">
        <v>4175</v>
      </c>
      <c r="FDC11" t="s">
        <v>4176</v>
      </c>
      <c r="FDD11" t="s">
        <v>4177</v>
      </c>
      <c r="FDE11" t="s">
        <v>4178</v>
      </c>
      <c r="FDF11" t="s">
        <v>4179</v>
      </c>
      <c r="FDG11" t="s">
        <v>4180</v>
      </c>
      <c r="FDH11" t="s">
        <v>4181</v>
      </c>
      <c r="FDI11" t="s">
        <v>4182</v>
      </c>
      <c r="FDJ11" t="s">
        <v>4183</v>
      </c>
      <c r="FDK11" t="s">
        <v>4184</v>
      </c>
      <c r="FDL11" t="s">
        <v>4185</v>
      </c>
      <c r="FDM11" t="s">
        <v>4186</v>
      </c>
      <c r="FDN11" t="s">
        <v>4187</v>
      </c>
      <c r="FDO11" t="s">
        <v>4188</v>
      </c>
      <c r="FDP11" t="s">
        <v>4189</v>
      </c>
      <c r="FDQ11" t="s">
        <v>4190</v>
      </c>
      <c r="FDR11" t="s">
        <v>4191</v>
      </c>
      <c r="FDS11" t="s">
        <v>4192</v>
      </c>
      <c r="FDT11" t="s">
        <v>4193</v>
      </c>
      <c r="FDU11" t="s">
        <v>4194</v>
      </c>
      <c r="FDV11" t="s">
        <v>4195</v>
      </c>
      <c r="FDW11" t="s">
        <v>4196</v>
      </c>
      <c r="FDX11" t="s">
        <v>4197</v>
      </c>
      <c r="FDY11" t="s">
        <v>4198</v>
      </c>
      <c r="FDZ11" t="s">
        <v>4199</v>
      </c>
      <c r="FEA11" t="s">
        <v>4200</v>
      </c>
      <c r="FEB11" t="s">
        <v>4201</v>
      </c>
      <c r="FEC11" t="s">
        <v>4202</v>
      </c>
      <c r="FED11" t="s">
        <v>4203</v>
      </c>
      <c r="FEE11" t="s">
        <v>4204</v>
      </c>
      <c r="FEF11" t="s">
        <v>4205</v>
      </c>
      <c r="FEG11" t="s">
        <v>4206</v>
      </c>
      <c r="FEH11" t="s">
        <v>4207</v>
      </c>
      <c r="FEI11" t="s">
        <v>4208</v>
      </c>
      <c r="FEJ11" t="s">
        <v>4209</v>
      </c>
      <c r="FEK11" t="s">
        <v>4210</v>
      </c>
      <c r="FEL11" t="s">
        <v>4211</v>
      </c>
      <c r="FEM11" t="s">
        <v>4212</v>
      </c>
      <c r="FEN11" t="s">
        <v>4213</v>
      </c>
      <c r="FEO11" t="s">
        <v>4214</v>
      </c>
      <c r="FEP11" t="s">
        <v>4215</v>
      </c>
      <c r="FEQ11" t="s">
        <v>4216</v>
      </c>
      <c r="FER11" t="s">
        <v>4217</v>
      </c>
      <c r="FES11" t="s">
        <v>4218</v>
      </c>
      <c r="FET11" t="s">
        <v>4219</v>
      </c>
      <c r="FEU11" t="s">
        <v>4220</v>
      </c>
      <c r="FEV11" t="s">
        <v>4221</v>
      </c>
      <c r="FEW11" t="s">
        <v>4222</v>
      </c>
      <c r="FEX11" t="s">
        <v>4223</v>
      </c>
      <c r="FEY11" t="s">
        <v>4224</v>
      </c>
      <c r="FEZ11" t="s">
        <v>4225</v>
      </c>
      <c r="FFA11" t="s">
        <v>4226</v>
      </c>
      <c r="FFB11" t="s">
        <v>4227</v>
      </c>
      <c r="FFC11" t="s">
        <v>4228</v>
      </c>
      <c r="FFD11" t="s">
        <v>4229</v>
      </c>
      <c r="FFE11" t="s">
        <v>4230</v>
      </c>
      <c r="FFF11" t="s">
        <v>4231</v>
      </c>
      <c r="FFG11" t="s">
        <v>4232</v>
      </c>
      <c r="FFH11" t="s">
        <v>4233</v>
      </c>
      <c r="FFI11" t="s">
        <v>4234</v>
      </c>
      <c r="FFJ11" t="s">
        <v>4235</v>
      </c>
      <c r="FFK11" t="s">
        <v>4236</v>
      </c>
      <c r="FFL11" t="s">
        <v>4237</v>
      </c>
      <c r="FFM11" t="s">
        <v>4238</v>
      </c>
      <c r="FFN11" t="s">
        <v>4239</v>
      </c>
      <c r="FFO11" t="s">
        <v>4240</v>
      </c>
      <c r="FFP11" t="s">
        <v>4241</v>
      </c>
      <c r="FFQ11" t="s">
        <v>4242</v>
      </c>
      <c r="FFR11" t="s">
        <v>4243</v>
      </c>
      <c r="FFS11" t="s">
        <v>4244</v>
      </c>
      <c r="FFT11" t="s">
        <v>4245</v>
      </c>
      <c r="FFU11" t="s">
        <v>4246</v>
      </c>
      <c r="FFV11" t="s">
        <v>4247</v>
      </c>
      <c r="FFW11" t="s">
        <v>4248</v>
      </c>
      <c r="FFX11" t="s">
        <v>4249</v>
      </c>
      <c r="FFY11" t="s">
        <v>4250</v>
      </c>
      <c r="FFZ11" t="s">
        <v>4251</v>
      </c>
      <c r="FGA11" t="s">
        <v>4252</v>
      </c>
      <c r="FGB11" t="s">
        <v>4253</v>
      </c>
      <c r="FGC11" t="s">
        <v>4254</v>
      </c>
      <c r="FGD11" t="s">
        <v>4255</v>
      </c>
      <c r="FGE11" t="s">
        <v>4256</v>
      </c>
      <c r="FGF11" t="s">
        <v>4257</v>
      </c>
      <c r="FGG11" t="s">
        <v>4258</v>
      </c>
      <c r="FGH11" t="s">
        <v>4259</v>
      </c>
      <c r="FGI11" t="s">
        <v>4260</v>
      </c>
      <c r="FGJ11" t="s">
        <v>4261</v>
      </c>
      <c r="FGK11" t="s">
        <v>4262</v>
      </c>
      <c r="FGL11" t="s">
        <v>4263</v>
      </c>
      <c r="FGM11" t="s">
        <v>4264</v>
      </c>
      <c r="FGN11" t="s">
        <v>4265</v>
      </c>
      <c r="FGO11" t="s">
        <v>4266</v>
      </c>
      <c r="FGP11" t="s">
        <v>4267</v>
      </c>
      <c r="FGQ11" t="s">
        <v>4268</v>
      </c>
      <c r="FGR11" t="s">
        <v>4269</v>
      </c>
      <c r="FGS11" t="s">
        <v>4270</v>
      </c>
      <c r="FGT11" t="s">
        <v>4271</v>
      </c>
      <c r="FGU11" t="s">
        <v>4272</v>
      </c>
      <c r="FGV11" t="s">
        <v>4273</v>
      </c>
      <c r="FGW11" t="s">
        <v>4274</v>
      </c>
      <c r="FGX11" t="s">
        <v>4275</v>
      </c>
      <c r="FGY11" t="s">
        <v>4276</v>
      </c>
      <c r="FGZ11" t="s">
        <v>4277</v>
      </c>
      <c r="FHA11" t="s">
        <v>4278</v>
      </c>
      <c r="FHB11" t="s">
        <v>4279</v>
      </c>
      <c r="FHC11" t="s">
        <v>4280</v>
      </c>
      <c r="FHD11" t="s">
        <v>4281</v>
      </c>
      <c r="FHE11" t="s">
        <v>4282</v>
      </c>
      <c r="FHF11" t="s">
        <v>4283</v>
      </c>
      <c r="FHG11" t="s">
        <v>4284</v>
      </c>
      <c r="FHH11" t="s">
        <v>4285</v>
      </c>
      <c r="FHI11" t="s">
        <v>4286</v>
      </c>
      <c r="FHJ11" t="s">
        <v>4287</v>
      </c>
      <c r="FHK11" t="s">
        <v>4288</v>
      </c>
      <c r="FHL11" t="s">
        <v>4289</v>
      </c>
      <c r="FHM11" t="s">
        <v>4290</v>
      </c>
      <c r="FHN11" t="s">
        <v>4291</v>
      </c>
      <c r="FHO11" t="s">
        <v>4292</v>
      </c>
      <c r="FHP11" t="s">
        <v>4293</v>
      </c>
      <c r="FHQ11" t="s">
        <v>4294</v>
      </c>
      <c r="FHR11" t="s">
        <v>4295</v>
      </c>
      <c r="FHS11" t="s">
        <v>4296</v>
      </c>
      <c r="FHT11" t="s">
        <v>4297</v>
      </c>
      <c r="FHU11" t="s">
        <v>4298</v>
      </c>
      <c r="FHV11" t="s">
        <v>4299</v>
      </c>
      <c r="FHW11" t="s">
        <v>4300</v>
      </c>
      <c r="FHX11" t="s">
        <v>4301</v>
      </c>
      <c r="FHY11" t="s">
        <v>4302</v>
      </c>
      <c r="FHZ11" t="s">
        <v>4303</v>
      </c>
      <c r="FIA11" t="s">
        <v>4304</v>
      </c>
      <c r="FIB11" t="s">
        <v>4305</v>
      </c>
      <c r="FIC11" t="s">
        <v>4306</v>
      </c>
      <c r="FID11" t="s">
        <v>4307</v>
      </c>
      <c r="FIE11" t="s">
        <v>4308</v>
      </c>
      <c r="FIF11" t="s">
        <v>4309</v>
      </c>
      <c r="FIG11" t="s">
        <v>4310</v>
      </c>
      <c r="FIH11" t="s">
        <v>4311</v>
      </c>
      <c r="FII11" t="s">
        <v>4312</v>
      </c>
      <c r="FIJ11" t="s">
        <v>4313</v>
      </c>
      <c r="FIK11" t="s">
        <v>4314</v>
      </c>
      <c r="FIL11" t="s">
        <v>4315</v>
      </c>
      <c r="FIM11" t="s">
        <v>4316</v>
      </c>
      <c r="FIN11" t="s">
        <v>4317</v>
      </c>
      <c r="FIO11" t="s">
        <v>4318</v>
      </c>
      <c r="FIP11" t="s">
        <v>4319</v>
      </c>
      <c r="FIQ11" t="s">
        <v>4320</v>
      </c>
      <c r="FIR11" t="s">
        <v>4321</v>
      </c>
      <c r="FIS11" t="s">
        <v>4322</v>
      </c>
      <c r="FIT11" t="s">
        <v>4323</v>
      </c>
      <c r="FIU11" t="s">
        <v>4324</v>
      </c>
      <c r="FIV11" t="s">
        <v>4325</v>
      </c>
      <c r="FIW11" t="s">
        <v>4326</v>
      </c>
      <c r="FIX11" t="s">
        <v>4327</v>
      </c>
      <c r="FIY11" t="s">
        <v>4328</v>
      </c>
      <c r="FIZ11" t="s">
        <v>4329</v>
      </c>
      <c r="FJA11" t="s">
        <v>4330</v>
      </c>
      <c r="FJB11" t="s">
        <v>4331</v>
      </c>
      <c r="FJC11" t="s">
        <v>4332</v>
      </c>
      <c r="FJD11" t="s">
        <v>4333</v>
      </c>
      <c r="FJE11" t="s">
        <v>4334</v>
      </c>
      <c r="FJF11" t="s">
        <v>4335</v>
      </c>
      <c r="FJG11" t="s">
        <v>4336</v>
      </c>
      <c r="FJH11" t="s">
        <v>4337</v>
      </c>
      <c r="FJI11" t="s">
        <v>4338</v>
      </c>
      <c r="FJJ11" t="s">
        <v>4339</v>
      </c>
      <c r="FJK11" t="s">
        <v>4340</v>
      </c>
      <c r="FJL11" t="s">
        <v>4341</v>
      </c>
      <c r="FJM11" t="s">
        <v>4342</v>
      </c>
      <c r="FJN11" t="s">
        <v>4343</v>
      </c>
      <c r="FJO11" t="s">
        <v>4344</v>
      </c>
      <c r="FJP11" t="s">
        <v>4345</v>
      </c>
      <c r="FJQ11" t="s">
        <v>4346</v>
      </c>
      <c r="FJR11" t="s">
        <v>4347</v>
      </c>
      <c r="FJS11" t="s">
        <v>4348</v>
      </c>
      <c r="FJT11" t="s">
        <v>4349</v>
      </c>
      <c r="FJU11" t="s">
        <v>4350</v>
      </c>
      <c r="FJV11" t="s">
        <v>4351</v>
      </c>
      <c r="FJW11" t="s">
        <v>4352</v>
      </c>
      <c r="FJX11" t="s">
        <v>4353</v>
      </c>
      <c r="FJY11" t="s">
        <v>4354</v>
      </c>
      <c r="FJZ11" t="s">
        <v>4355</v>
      </c>
      <c r="FKA11" t="s">
        <v>4356</v>
      </c>
      <c r="FKB11" t="s">
        <v>4357</v>
      </c>
      <c r="FKC11" t="s">
        <v>4358</v>
      </c>
      <c r="FKD11" t="s">
        <v>4359</v>
      </c>
      <c r="FKE11" t="s">
        <v>4360</v>
      </c>
      <c r="FKF11" t="s">
        <v>4361</v>
      </c>
      <c r="FKG11" t="s">
        <v>4362</v>
      </c>
      <c r="FKH11" t="s">
        <v>4363</v>
      </c>
      <c r="FKI11" t="s">
        <v>4364</v>
      </c>
      <c r="FKJ11" t="s">
        <v>4365</v>
      </c>
      <c r="FKK11" t="s">
        <v>4366</v>
      </c>
      <c r="FKL11" t="s">
        <v>4367</v>
      </c>
      <c r="FKM11" t="s">
        <v>4368</v>
      </c>
      <c r="FKN11" t="s">
        <v>4369</v>
      </c>
      <c r="FKO11" t="s">
        <v>4370</v>
      </c>
      <c r="FKP11" t="s">
        <v>4371</v>
      </c>
      <c r="FKQ11" t="s">
        <v>4372</v>
      </c>
      <c r="FKR11" t="s">
        <v>4373</v>
      </c>
      <c r="FKS11" t="s">
        <v>4374</v>
      </c>
      <c r="FKT11" t="s">
        <v>4375</v>
      </c>
      <c r="FKU11" t="s">
        <v>4376</v>
      </c>
      <c r="FKV11" t="s">
        <v>4377</v>
      </c>
      <c r="FKW11" t="s">
        <v>4378</v>
      </c>
      <c r="FKX11" t="s">
        <v>4379</v>
      </c>
      <c r="FKY11" t="s">
        <v>4380</v>
      </c>
      <c r="FKZ11" t="s">
        <v>4381</v>
      </c>
      <c r="FLA11" t="s">
        <v>4382</v>
      </c>
      <c r="FLB11" t="s">
        <v>4383</v>
      </c>
      <c r="FLC11" t="s">
        <v>4384</v>
      </c>
      <c r="FLD11" t="s">
        <v>4385</v>
      </c>
      <c r="FLE11" t="s">
        <v>4386</v>
      </c>
      <c r="FLF11" t="s">
        <v>4387</v>
      </c>
      <c r="FLG11" t="s">
        <v>4388</v>
      </c>
      <c r="FLH11" t="s">
        <v>4389</v>
      </c>
      <c r="FLI11" t="s">
        <v>4390</v>
      </c>
      <c r="FLJ11" t="s">
        <v>4391</v>
      </c>
      <c r="FLK11" t="s">
        <v>4392</v>
      </c>
      <c r="FLL11" t="s">
        <v>4393</v>
      </c>
      <c r="FLM11" t="s">
        <v>4394</v>
      </c>
      <c r="FLN11" t="s">
        <v>4395</v>
      </c>
      <c r="FLO11" t="s">
        <v>4396</v>
      </c>
      <c r="FLP11" t="s">
        <v>4397</v>
      </c>
      <c r="FLQ11" t="s">
        <v>4398</v>
      </c>
      <c r="FLR11" t="s">
        <v>4399</v>
      </c>
      <c r="FLS11" t="s">
        <v>4400</v>
      </c>
      <c r="FLT11" t="s">
        <v>4401</v>
      </c>
      <c r="FLU11" t="s">
        <v>4402</v>
      </c>
      <c r="FLV11" t="s">
        <v>4403</v>
      </c>
      <c r="FLW11" t="s">
        <v>4404</v>
      </c>
      <c r="FLX11" t="s">
        <v>4405</v>
      </c>
      <c r="FLY11" t="s">
        <v>4406</v>
      </c>
      <c r="FLZ11" t="s">
        <v>4407</v>
      </c>
      <c r="FMA11" t="s">
        <v>4408</v>
      </c>
      <c r="FMB11" t="s">
        <v>4409</v>
      </c>
      <c r="FMC11" t="s">
        <v>4410</v>
      </c>
      <c r="FMD11" t="s">
        <v>4411</v>
      </c>
      <c r="FME11" t="s">
        <v>4412</v>
      </c>
      <c r="FMF11" t="s">
        <v>4413</v>
      </c>
      <c r="FMG11" t="s">
        <v>4414</v>
      </c>
      <c r="FMH11" t="s">
        <v>4415</v>
      </c>
      <c r="FMI11" t="s">
        <v>4416</v>
      </c>
      <c r="FMJ11" t="s">
        <v>4417</v>
      </c>
      <c r="FMK11" t="s">
        <v>4418</v>
      </c>
      <c r="FML11" t="s">
        <v>4419</v>
      </c>
      <c r="FMM11" t="s">
        <v>4420</v>
      </c>
      <c r="FMN11" t="s">
        <v>4421</v>
      </c>
      <c r="FMO11" t="s">
        <v>4422</v>
      </c>
      <c r="FMP11" t="s">
        <v>4423</v>
      </c>
      <c r="FMQ11" t="s">
        <v>4424</v>
      </c>
      <c r="FMR11" t="s">
        <v>4425</v>
      </c>
      <c r="FMS11" t="s">
        <v>4426</v>
      </c>
      <c r="FMT11" t="s">
        <v>4427</v>
      </c>
      <c r="FMU11" t="s">
        <v>4428</v>
      </c>
      <c r="FMV11" t="s">
        <v>4429</v>
      </c>
      <c r="FMW11" t="s">
        <v>4430</v>
      </c>
      <c r="FMX11" t="s">
        <v>4431</v>
      </c>
      <c r="FMY11" t="s">
        <v>4432</v>
      </c>
      <c r="FMZ11" t="s">
        <v>4433</v>
      </c>
      <c r="FNA11" t="s">
        <v>4434</v>
      </c>
      <c r="FNB11" t="s">
        <v>4435</v>
      </c>
      <c r="FNC11" t="s">
        <v>4436</v>
      </c>
      <c r="FND11" t="s">
        <v>4437</v>
      </c>
      <c r="FNE11" t="s">
        <v>4438</v>
      </c>
      <c r="FNF11" t="s">
        <v>4439</v>
      </c>
      <c r="FNG11" t="s">
        <v>4440</v>
      </c>
      <c r="FNH11" t="s">
        <v>4441</v>
      </c>
      <c r="FNI11" t="s">
        <v>4442</v>
      </c>
      <c r="FNJ11" t="s">
        <v>4443</v>
      </c>
      <c r="FNK11" t="s">
        <v>4444</v>
      </c>
      <c r="FNL11" t="s">
        <v>4445</v>
      </c>
      <c r="FNM11" t="s">
        <v>4446</v>
      </c>
      <c r="FNN11" t="s">
        <v>4447</v>
      </c>
      <c r="FNO11" t="s">
        <v>4448</v>
      </c>
      <c r="FNP11" t="s">
        <v>4449</v>
      </c>
      <c r="FNQ11" t="s">
        <v>4450</v>
      </c>
      <c r="FNR11" t="s">
        <v>4451</v>
      </c>
      <c r="FNS11" t="s">
        <v>4452</v>
      </c>
      <c r="FNT11" t="s">
        <v>4453</v>
      </c>
      <c r="FNU11" t="s">
        <v>4454</v>
      </c>
      <c r="FNV11" t="s">
        <v>4455</v>
      </c>
      <c r="FNW11" t="s">
        <v>4456</v>
      </c>
      <c r="FNX11" t="s">
        <v>4457</v>
      </c>
      <c r="FNY11" t="s">
        <v>4458</v>
      </c>
      <c r="FNZ11" t="s">
        <v>4459</v>
      </c>
      <c r="FOA11" t="s">
        <v>4460</v>
      </c>
      <c r="FOB11" t="s">
        <v>4461</v>
      </c>
      <c r="FOC11" t="s">
        <v>4462</v>
      </c>
      <c r="FOD11" t="s">
        <v>4463</v>
      </c>
      <c r="FOE11" t="s">
        <v>4464</v>
      </c>
      <c r="FOF11" t="s">
        <v>4465</v>
      </c>
      <c r="FOG11" t="s">
        <v>4466</v>
      </c>
      <c r="FOH11" t="s">
        <v>4467</v>
      </c>
      <c r="FOI11" t="s">
        <v>4468</v>
      </c>
      <c r="FOJ11" t="s">
        <v>4469</v>
      </c>
      <c r="FOK11" t="s">
        <v>4470</v>
      </c>
      <c r="FOL11" t="s">
        <v>4471</v>
      </c>
      <c r="FOM11" t="s">
        <v>4472</v>
      </c>
      <c r="FON11" t="s">
        <v>4473</v>
      </c>
      <c r="FOO11" t="s">
        <v>4474</v>
      </c>
      <c r="FOP11" t="s">
        <v>4475</v>
      </c>
      <c r="FOQ11" t="s">
        <v>4476</v>
      </c>
      <c r="FOR11" t="s">
        <v>4477</v>
      </c>
      <c r="FOS11" t="s">
        <v>4478</v>
      </c>
      <c r="FOT11" t="s">
        <v>4479</v>
      </c>
      <c r="FOU11" t="s">
        <v>4480</v>
      </c>
      <c r="FOV11" t="s">
        <v>4481</v>
      </c>
      <c r="FOW11" t="s">
        <v>4482</v>
      </c>
      <c r="FOX11" t="s">
        <v>4483</v>
      </c>
      <c r="FOY11" t="s">
        <v>4484</v>
      </c>
      <c r="FOZ11" t="s">
        <v>4485</v>
      </c>
      <c r="FPA11" t="s">
        <v>4486</v>
      </c>
      <c r="FPB11" t="s">
        <v>4487</v>
      </c>
      <c r="FPC11" t="s">
        <v>4488</v>
      </c>
      <c r="FPD11" t="s">
        <v>4489</v>
      </c>
      <c r="FPE11" t="s">
        <v>4490</v>
      </c>
      <c r="FPF11" t="s">
        <v>4491</v>
      </c>
      <c r="FPG11" t="s">
        <v>4492</v>
      </c>
      <c r="FPH11" t="s">
        <v>4493</v>
      </c>
      <c r="FPI11" t="s">
        <v>4494</v>
      </c>
      <c r="FPJ11" t="s">
        <v>4495</v>
      </c>
      <c r="FPK11" t="s">
        <v>4496</v>
      </c>
      <c r="FPL11" t="s">
        <v>4497</v>
      </c>
      <c r="FPM11" t="s">
        <v>4498</v>
      </c>
      <c r="FPN11" t="s">
        <v>4499</v>
      </c>
      <c r="FPO11" t="s">
        <v>4500</v>
      </c>
      <c r="FPP11" t="s">
        <v>4501</v>
      </c>
      <c r="FPQ11" t="s">
        <v>4502</v>
      </c>
      <c r="FPR11" t="s">
        <v>4503</v>
      </c>
      <c r="FPS11" t="s">
        <v>4504</v>
      </c>
      <c r="FPT11" t="s">
        <v>4505</v>
      </c>
      <c r="FPU11" t="s">
        <v>4506</v>
      </c>
      <c r="FPV11" t="s">
        <v>4507</v>
      </c>
      <c r="FPW11" t="s">
        <v>4508</v>
      </c>
      <c r="FPX11" t="s">
        <v>4509</v>
      </c>
      <c r="FPY11" t="s">
        <v>4510</v>
      </c>
      <c r="FPZ11" t="s">
        <v>4511</v>
      </c>
      <c r="FQA11" t="s">
        <v>4512</v>
      </c>
      <c r="FQB11" t="s">
        <v>4513</v>
      </c>
      <c r="FQC11" t="s">
        <v>4514</v>
      </c>
      <c r="FQD11" t="s">
        <v>4515</v>
      </c>
      <c r="FQE11" t="s">
        <v>4516</v>
      </c>
      <c r="FQF11" t="s">
        <v>4517</v>
      </c>
      <c r="FQG11" t="s">
        <v>4518</v>
      </c>
      <c r="FQH11" t="s">
        <v>4519</v>
      </c>
      <c r="FQI11" t="s">
        <v>4520</v>
      </c>
      <c r="FQJ11" t="s">
        <v>4521</v>
      </c>
      <c r="FQK11" t="s">
        <v>4522</v>
      </c>
      <c r="FQL11" t="s">
        <v>4523</v>
      </c>
      <c r="FQM11" t="s">
        <v>4524</v>
      </c>
      <c r="FQN11" t="s">
        <v>4525</v>
      </c>
      <c r="FQO11" t="s">
        <v>4526</v>
      </c>
      <c r="FQP11" t="s">
        <v>4527</v>
      </c>
      <c r="FQQ11" t="s">
        <v>4528</v>
      </c>
      <c r="FQR11" t="s">
        <v>4529</v>
      </c>
      <c r="FQS11" t="s">
        <v>4530</v>
      </c>
      <c r="FQT11" t="s">
        <v>4531</v>
      </c>
      <c r="FQU11" t="s">
        <v>4532</v>
      </c>
      <c r="FQV11" t="s">
        <v>4533</v>
      </c>
      <c r="FQW11" t="s">
        <v>4534</v>
      </c>
      <c r="FQX11" t="s">
        <v>4535</v>
      </c>
      <c r="FQY11" t="s">
        <v>4536</v>
      </c>
      <c r="FQZ11" t="s">
        <v>4537</v>
      </c>
      <c r="FRA11" t="s">
        <v>4538</v>
      </c>
      <c r="FRB11" t="s">
        <v>4539</v>
      </c>
      <c r="FRC11" t="s">
        <v>4540</v>
      </c>
      <c r="FRD11" t="s">
        <v>4541</v>
      </c>
      <c r="FRE11" t="s">
        <v>4542</v>
      </c>
      <c r="FRF11" t="s">
        <v>4543</v>
      </c>
      <c r="FRG11" t="s">
        <v>4544</v>
      </c>
      <c r="FRH11" t="s">
        <v>4545</v>
      </c>
      <c r="FRI11" t="s">
        <v>4546</v>
      </c>
      <c r="FRJ11" t="s">
        <v>4547</v>
      </c>
      <c r="FRK11" t="s">
        <v>4548</v>
      </c>
      <c r="FRL11" t="s">
        <v>4549</v>
      </c>
      <c r="FRM11" t="s">
        <v>4550</v>
      </c>
      <c r="FRN11" t="s">
        <v>4551</v>
      </c>
      <c r="FRO11" t="s">
        <v>4552</v>
      </c>
      <c r="FRP11" t="s">
        <v>4553</v>
      </c>
      <c r="FRQ11" t="s">
        <v>4554</v>
      </c>
      <c r="FRR11" t="s">
        <v>4555</v>
      </c>
      <c r="FRS11" t="s">
        <v>4556</v>
      </c>
      <c r="FRT11" t="s">
        <v>4557</v>
      </c>
      <c r="FRU11" t="s">
        <v>4558</v>
      </c>
      <c r="FRV11" t="s">
        <v>4559</v>
      </c>
      <c r="FRW11" t="s">
        <v>4560</v>
      </c>
      <c r="FRX11" t="s">
        <v>4561</v>
      </c>
      <c r="FRY11" t="s">
        <v>4562</v>
      </c>
      <c r="FRZ11" t="s">
        <v>4563</v>
      </c>
      <c r="FSA11" t="s">
        <v>4564</v>
      </c>
      <c r="FSB11" t="s">
        <v>4565</v>
      </c>
      <c r="FSC11" t="s">
        <v>4566</v>
      </c>
      <c r="FSD11" t="s">
        <v>4567</v>
      </c>
      <c r="FSE11" t="s">
        <v>4568</v>
      </c>
      <c r="FSF11" t="s">
        <v>4569</v>
      </c>
      <c r="FSG11" t="s">
        <v>4570</v>
      </c>
      <c r="FSH11" t="s">
        <v>4571</v>
      </c>
      <c r="FSI11" t="s">
        <v>4572</v>
      </c>
      <c r="FSJ11" t="s">
        <v>4573</v>
      </c>
      <c r="FSK11" t="s">
        <v>4574</v>
      </c>
      <c r="FSL11" t="s">
        <v>4575</v>
      </c>
      <c r="FSM11" t="s">
        <v>4576</v>
      </c>
      <c r="FSN11" t="s">
        <v>4577</v>
      </c>
      <c r="FSO11" t="s">
        <v>4578</v>
      </c>
      <c r="FSP11" t="s">
        <v>4579</v>
      </c>
      <c r="FSQ11" t="s">
        <v>4580</v>
      </c>
      <c r="FSR11" t="s">
        <v>4581</v>
      </c>
      <c r="FSS11" t="s">
        <v>4582</v>
      </c>
      <c r="FST11" t="s">
        <v>4583</v>
      </c>
      <c r="FSU11" t="s">
        <v>4584</v>
      </c>
      <c r="FSV11" t="s">
        <v>4585</v>
      </c>
      <c r="FSW11" t="s">
        <v>4586</v>
      </c>
      <c r="FSX11" t="s">
        <v>4587</v>
      </c>
      <c r="FSY11" t="s">
        <v>4588</v>
      </c>
      <c r="FSZ11" t="s">
        <v>4589</v>
      </c>
      <c r="FTA11" t="s">
        <v>4590</v>
      </c>
      <c r="FTB11" t="s">
        <v>4591</v>
      </c>
      <c r="FTC11" t="s">
        <v>4592</v>
      </c>
      <c r="FTD11" t="s">
        <v>4593</v>
      </c>
      <c r="FTE11" t="s">
        <v>4594</v>
      </c>
      <c r="FTF11" t="s">
        <v>4595</v>
      </c>
      <c r="FTG11" t="s">
        <v>4596</v>
      </c>
      <c r="FTH11" t="s">
        <v>4597</v>
      </c>
      <c r="FTI11" t="s">
        <v>4598</v>
      </c>
      <c r="FTJ11" t="s">
        <v>4599</v>
      </c>
      <c r="FTK11" t="s">
        <v>4600</v>
      </c>
      <c r="FTL11" t="s">
        <v>4601</v>
      </c>
      <c r="FTM11" t="s">
        <v>4602</v>
      </c>
      <c r="FTN11" t="s">
        <v>4603</v>
      </c>
      <c r="FTO11" t="s">
        <v>4604</v>
      </c>
      <c r="FTP11" t="s">
        <v>4605</v>
      </c>
      <c r="FTQ11" t="s">
        <v>4606</v>
      </c>
      <c r="FTR11" t="s">
        <v>4607</v>
      </c>
      <c r="FTS11" t="s">
        <v>4608</v>
      </c>
      <c r="FTT11" t="s">
        <v>4609</v>
      </c>
      <c r="FTU11" t="s">
        <v>4610</v>
      </c>
      <c r="FTV11" t="s">
        <v>4611</v>
      </c>
      <c r="FTW11" t="s">
        <v>4612</v>
      </c>
      <c r="FTX11" t="s">
        <v>4613</v>
      </c>
      <c r="FTY11" t="s">
        <v>4614</v>
      </c>
      <c r="FTZ11" t="s">
        <v>4615</v>
      </c>
      <c r="FUA11" t="s">
        <v>4616</v>
      </c>
      <c r="FUB11" t="s">
        <v>4617</v>
      </c>
      <c r="FUC11" t="s">
        <v>4618</v>
      </c>
      <c r="FUD11" t="s">
        <v>4619</v>
      </c>
      <c r="FUE11" t="s">
        <v>4620</v>
      </c>
      <c r="FUF11" t="s">
        <v>4621</v>
      </c>
      <c r="FUG11" t="s">
        <v>4622</v>
      </c>
      <c r="FUH11" t="s">
        <v>4623</v>
      </c>
      <c r="FUI11" t="s">
        <v>4624</v>
      </c>
      <c r="FUJ11" t="s">
        <v>4625</v>
      </c>
      <c r="FUK11" t="s">
        <v>4626</v>
      </c>
      <c r="FUL11" t="s">
        <v>4627</v>
      </c>
      <c r="FUM11" t="s">
        <v>4628</v>
      </c>
      <c r="FUN11" t="s">
        <v>4629</v>
      </c>
      <c r="FUO11" t="s">
        <v>4630</v>
      </c>
      <c r="FUP11" t="s">
        <v>4631</v>
      </c>
      <c r="FUQ11" t="s">
        <v>4632</v>
      </c>
      <c r="FUR11" t="s">
        <v>4633</v>
      </c>
      <c r="FUS11" t="s">
        <v>4634</v>
      </c>
      <c r="FUT11" t="s">
        <v>4635</v>
      </c>
      <c r="FUU11" t="s">
        <v>4636</v>
      </c>
      <c r="FUV11" t="s">
        <v>4637</v>
      </c>
      <c r="FUW11" t="s">
        <v>4638</v>
      </c>
      <c r="FUX11" t="s">
        <v>4639</v>
      </c>
      <c r="FUY11" t="s">
        <v>4640</v>
      </c>
      <c r="FUZ11" t="s">
        <v>4641</v>
      </c>
      <c r="FVA11" t="s">
        <v>4642</v>
      </c>
      <c r="FVB11" t="s">
        <v>4643</v>
      </c>
      <c r="FVC11" t="s">
        <v>4644</v>
      </c>
      <c r="FVD11" t="s">
        <v>4645</v>
      </c>
      <c r="FVE11" t="s">
        <v>4646</v>
      </c>
      <c r="FVF11" t="s">
        <v>4647</v>
      </c>
      <c r="FVG11" t="s">
        <v>4648</v>
      </c>
      <c r="FVH11" t="s">
        <v>4649</v>
      </c>
      <c r="FVI11" t="s">
        <v>4650</v>
      </c>
      <c r="FVJ11" t="s">
        <v>4651</v>
      </c>
      <c r="FVK11" t="s">
        <v>4652</v>
      </c>
      <c r="FVL11" t="s">
        <v>4653</v>
      </c>
      <c r="FVM11" t="s">
        <v>4654</v>
      </c>
      <c r="FVN11" t="s">
        <v>4655</v>
      </c>
      <c r="FVO11" t="s">
        <v>4656</v>
      </c>
      <c r="FVP11" t="s">
        <v>4657</v>
      </c>
      <c r="FVQ11" t="s">
        <v>4658</v>
      </c>
      <c r="FVR11" t="s">
        <v>4659</v>
      </c>
      <c r="FVS11" t="s">
        <v>4660</v>
      </c>
      <c r="FVT11" t="s">
        <v>4661</v>
      </c>
      <c r="FVU11" t="s">
        <v>4662</v>
      </c>
      <c r="FVV11" t="s">
        <v>4663</v>
      </c>
      <c r="FVW11" t="s">
        <v>4664</v>
      </c>
      <c r="FVX11" t="s">
        <v>4665</v>
      </c>
      <c r="FVY11" t="s">
        <v>4666</v>
      </c>
      <c r="FVZ11" t="s">
        <v>4667</v>
      </c>
      <c r="FWA11" t="s">
        <v>4668</v>
      </c>
      <c r="FWB11" t="s">
        <v>4669</v>
      </c>
      <c r="FWC11" t="s">
        <v>4670</v>
      </c>
      <c r="FWD11" t="s">
        <v>4671</v>
      </c>
      <c r="FWE11" t="s">
        <v>4672</v>
      </c>
      <c r="FWF11" t="s">
        <v>4673</v>
      </c>
      <c r="FWG11" t="s">
        <v>4674</v>
      </c>
      <c r="FWH11" t="s">
        <v>4675</v>
      </c>
      <c r="FWI11" t="s">
        <v>4676</v>
      </c>
      <c r="FWJ11" t="s">
        <v>4677</v>
      </c>
      <c r="FWK11" t="s">
        <v>4678</v>
      </c>
      <c r="FWL11" t="s">
        <v>4679</v>
      </c>
      <c r="FWM11" t="s">
        <v>4680</v>
      </c>
      <c r="FWN11" t="s">
        <v>4681</v>
      </c>
      <c r="FWO11" t="s">
        <v>4682</v>
      </c>
      <c r="FWP11" t="s">
        <v>4683</v>
      </c>
      <c r="FWQ11" t="s">
        <v>4684</v>
      </c>
      <c r="FWR11" t="s">
        <v>4685</v>
      </c>
      <c r="FWS11" t="s">
        <v>4686</v>
      </c>
      <c r="FWT11" t="s">
        <v>4687</v>
      </c>
      <c r="FWU11" t="s">
        <v>4688</v>
      </c>
      <c r="FWV11" t="s">
        <v>4689</v>
      </c>
      <c r="FWW11" t="s">
        <v>4690</v>
      </c>
      <c r="FWX11" t="s">
        <v>4691</v>
      </c>
      <c r="FWY11" t="s">
        <v>4692</v>
      </c>
      <c r="FWZ11" t="s">
        <v>4693</v>
      </c>
      <c r="FXA11" t="s">
        <v>4694</v>
      </c>
      <c r="FXB11" t="s">
        <v>4695</v>
      </c>
      <c r="FXC11" t="s">
        <v>4696</v>
      </c>
      <c r="FXD11" t="s">
        <v>4697</v>
      </c>
      <c r="FXE11" t="s">
        <v>4698</v>
      </c>
      <c r="FXF11" t="s">
        <v>4699</v>
      </c>
      <c r="FXG11" t="s">
        <v>4700</v>
      </c>
      <c r="FXH11" t="s">
        <v>4701</v>
      </c>
      <c r="FXI11" t="s">
        <v>4702</v>
      </c>
      <c r="FXJ11" t="s">
        <v>4703</v>
      </c>
      <c r="FXK11" t="s">
        <v>4704</v>
      </c>
      <c r="FXL11" t="s">
        <v>4705</v>
      </c>
      <c r="FXM11" t="s">
        <v>4706</v>
      </c>
      <c r="FXN11" t="s">
        <v>4707</v>
      </c>
      <c r="FXO11" t="s">
        <v>4708</v>
      </c>
      <c r="FXP11" t="s">
        <v>4709</v>
      </c>
      <c r="FXQ11" t="s">
        <v>4710</v>
      </c>
      <c r="FXR11" t="s">
        <v>4711</v>
      </c>
      <c r="FXS11" t="s">
        <v>4712</v>
      </c>
      <c r="FXT11" t="s">
        <v>4713</v>
      </c>
      <c r="FXU11" t="s">
        <v>4714</v>
      </c>
      <c r="FXV11" t="s">
        <v>4715</v>
      </c>
      <c r="FXW11" t="s">
        <v>4716</v>
      </c>
      <c r="FXX11" t="s">
        <v>4717</v>
      </c>
      <c r="FXY11" t="s">
        <v>4718</v>
      </c>
      <c r="FXZ11" t="s">
        <v>4719</v>
      </c>
      <c r="FYA11" t="s">
        <v>4720</v>
      </c>
      <c r="FYB11" t="s">
        <v>4721</v>
      </c>
      <c r="FYC11" t="s">
        <v>4722</v>
      </c>
      <c r="FYD11" t="s">
        <v>4723</v>
      </c>
      <c r="FYE11" t="s">
        <v>4724</v>
      </c>
      <c r="FYF11" t="s">
        <v>4725</v>
      </c>
      <c r="FYG11" t="s">
        <v>4726</v>
      </c>
      <c r="FYH11" t="s">
        <v>4727</v>
      </c>
      <c r="FYI11" t="s">
        <v>4728</v>
      </c>
      <c r="FYJ11" t="s">
        <v>4729</v>
      </c>
      <c r="FYK11" t="s">
        <v>4730</v>
      </c>
      <c r="FYL11" t="s">
        <v>4731</v>
      </c>
      <c r="FYM11" t="s">
        <v>4732</v>
      </c>
      <c r="FYN11" t="s">
        <v>4733</v>
      </c>
      <c r="FYO11" t="s">
        <v>4734</v>
      </c>
      <c r="FYP11" t="s">
        <v>4735</v>
      </c>
      <c r="FYQ11" t="s">
        <v>4736</v>
      </c>
      <c r="FYR11" t="s">
        <v>4737</v>
      </c>
      <c r="FYS11" t="s">
        <v>4738</v>
      </c>
      <c r="FYT11" t="s">
        <v>4739</v>
      </c>
      <c r="FYU11" t="s">
        <v>4740</v>
      </c>
      <c r="FYV11" t="s">
        <v>4741</v>
      </c>
      <c r="FYW11" t="s">
        <v>4742</v>
      </c>
      <c r="FYX11" t="s">
        <v>4743</v>
      </c>
      <c r="FYY11" t="s">
        <v>4744</v>
      </c>
      <c r="FYZ11" t="s">
        <v>4745</v>
      </c>
      <c r="FZA11" t="s">
        <v>4746</v>
      </c>
      <c r="FZB11" t="s">
        <v>4747</v>
      </c>
      <c r="FZC11" t="s">
        <v>4748</v>
      </c>
      <c r="FZD11" t="s">
        <v>4749</v>
      </c>
      <c r="FZE11" t="s">
        <v>4750</v>
      </c>
      <c r="FZF11" t="s">
        <v>4751</v>
      </c>
      <c r="FZG11" t="s">
        <v>4752</v>
      </c>
      <c r="FZH11" t="s">
        <v>4753</v>
      </c>
      <c r="FZI11" t="s">
        <v>4754</v>
      </c>
      <c r="FZJ11" t="s">
        <v>4755</v>
      </c>
      <c r="FZK11" t="s">
        <v>4756</v>
      </c>
      <c r="FZL11" t="s">
        <v>4757</v>
      </c>
      <c r="FZM11" t="s">
        <v>4758</v>
      </c>
      <c r="FZN11" t="s">
        <v>4759</v>
      </c>
      <c r="FZO11" t="s">
        <v>4760</v>
      </c>
      <c r="FZP11" t="s">
        <v>4761</v>
      </c>
      <c r="FZQ11" t="s">
        <v>4762</v>
      </c>
      <c r="FZR11" t="s">
        <v>4763</v>
      </c>
      <c r="FZS11" t="s">
        <v>4764</v>
      </c>
      <c r="FZT11" t="s">
        <v>4765</v>
      </c>
      <c r="FZU11" t="s">
        <v>4766</v>
      </c>
      <c r="FZV11" t="s">
        <v>4767</v>
      </c>
      <c r="FZW11" t="s">
        <v>4768</v>
      </c>
      <c r="FZX11" t="s">
        <v>4769</v>
      </c>
      <c r="FZY11" t="s">
        <v>4770</v>
      </c>
      <c r="FZZ11" t="s">
        <v>4771</v>
      </c>
      <c r="GAA11" t="s">
        <v>4772</v>
      </c>
      <c r="GAB11" t="s">
        <v>4773</v>
      </c>
      <c r="GAC11" t="s">
        <v>4774</v>
      </c>
      <c r="GAD11" t="s">
        <v>4775</v>
      </c>
      <c r="GAE11" t="s">
        <v>4776</v>
      </c>
      <c r="GAF11" t="s">
        <v>4777</v>
      </c>
      <c r="GAG11" t="s">
        <v>4778</v>
      </c>
      <c r="GAH11" t="s">
        <v>4779</v>
      </c>
      <c r="GAI11" t="s">
        <v>4780</v>
      </c>
      <c r="GAJ11" t="s">
        <v>4781</v>
      </c>
      <c r="GAK11" t="s">
        <v>4782</v>
      </c>
      <c r="GAL11" t="s">
        <v>4783</v>
      </c>
      <c r="GAM11" t="s">
        <v>4784</v>
      </c>
      <c r="GAN11" t="s">
        <v>4785</v>
      </c>
      <c r="GAO11" t="s">
        <v>4786</v>
      </c>
      <c r="GAP11" t="s">
        <v>4787</v>
      </c>
      <c r="GAQ11" t="s">
        <v>4788</v>
      </c>
      <c r="GAR11" t="s">
        <v>4789</v>
      </c>
      <c r="GAS11" t="s">
        <v>4790</v>
      </c>
      <c r="GAT11" t="s">
        <v>4791</v>
      </c>
      <c r="GAU11" t="s">
        <v>4792</v>
      </c>
      <c r="GAV11" t="s">
        <v>4793</v>
      </c>
      <c r="GAW11" t="s">
        <v>4794</v>
      </c>
      <c r="GAX11" t="s">
        <v>4795</v>
      </c>
      <c r="GAY11" t="s">
        <v>4796</v>
      </c>
      <c r="GAZ11" t="s">
        <v>4797</v>
      </c>
      <c r="GBA11" t="s">
        <v>4798</v>
      </c>
      <c r="GBB11" t="s">
        <v>4799</v>
      </c>
      <c r="GBC11" t="s">
        <v>4800</v>
      </c>
      <c r="GBD11" t="s">
        <v>4801</v>
      </c>
      <c r="GBE11" t="s">
        <v>4802</v>
      </c>
      <c r="GBF11" t="s">
        <v>4803</v>
      </c>
      <c r="GBG11" t="s">
        <v>4804</v>
      </c>
      <c r="GBH11" t="s">
        <v>4805</v>
      </c>
      <c r="GBI11" t="s">
        <v>4806</v>
      </c>
      <c r="GBJ11" t="s">
        <v>4807</v>
      </c>
      <c r="GBK11" t="s">
        <v>4808</v>
      </c>
      <c r="GBL11" t="s">
        <v>4809</v>
      </c>
      <c r="GBM11" t="s">
        <v>4810</v>
      </c>
      <c r="GBN11" t="s">
        <v>4811</v>
      </c>
      <c r="GBO11" t="s">
        <v>4812</v>
      </c>
      <c r="GBP11" t="s">
        <v>4813</v>
      </c>
      <c r="GBQ11" t="s">
        <v>4814</v>
      </c>
      <c r="GBR11" t="s">
        <v>4815</v>
      </c>
      <c r="GBS11" t="s">
        <v>4816</v>
      </c>
      <c r="GBT11" t="s">
        <v>4817</v>
      </c>
      <c r="GBU11" t="s">
        <v>4818</v>
      </c>
      <c r="GBV11" t="s">
        <v>4819</v>
      </c>
      <c r="GBW11" t="s">
        <v>4820</v>
      </c>
      <c r="GBX11" t="s">
        <v>4821</v>
      </c>
      <c r="GBY11" t="s">
        <v>4822</v>
      </c>
      <c r="GBZ11" t="s">
        <v>4823</v>
      </c>
      <c r="GCA11" t="s">
        <v>4824</v>
      </c>
      <c r="GCB11" t="s">
        <v>4825</v>
      </c>
      <c r="GCC11" t="s">
        <v>4826</v>
      </c>
      <c r="GCD11" t="s">
        <v>4827</v>
      </c>
      <c r="GCE11" t="s">
        <v>4828</v>
      </c>
      <c r="GCF11" t="s">
        <v>4829</v>
      </c>
      <c r="GCG11" t="s">
        <v>4830</v>
      </c>
      <c r="GCH11" t="s">
        <v>4831</v>
      </c>
      <c r="GCI11" t="s">
        <v>4832</v>
      </c>
      <c r="GCJ11" t="s">
        <v>4833</v>
      </c>
      <c r="GCK11" t="s">
        <v>4834</v>
      </c>
      <c r="GCL11" t="s">
        <v>4835</v>
      </c>
      <c r="GCM11" t="s">
        <v>4836</v>
      </c>
      <c r="GCN11" t="s">
        <v>4837</v>
      </c>
      <c r="GCO11" t="s">
        <v>4838</v>
      </c>
      <c r="GCP11" t="s">
        <v>4839</v>
      </c>
      <c r="GCQ11" t="s">
        <v>4840</v>
      </c>
      <c r="GCR11" t="s">
        <v>4841</v>
      </c>
      <c r="GCS11" t="s">
        <v>4842</v>
      </c>
      <c r="GCT11" t="s">
        <v>4843</v>
      </c>
      <c r="GCU11" t="s">
        <v>4844</v>
      </c>
      <c r="GCV11" t="s">
        <v>4845</v>
      </c>
      <c r="GCW11" t="s">
        <v>4846</v>
      </c>
      <c r="GCX11" t="s">
        <v>4847</v>
      </c>
      <c r="GCY11" t="s">
        <v>4848</v>
      </c>
      <c r="GCZ11" t="s">
        <v>4849</v>
      </c>
      <c r="GDA11" t="s">
        <v>4850</v>
      </c>
      <c r="GDB11" t="s">
        <v>4851</v>
      </c>
      <c r="GDC11" t="s">
        <v>4852</v>
      </c>
      <c r="GDD11" t="s">
        <v>4853</v>
      </c>
      <c r="GDE11" t="s">
        <v>4854</v>
      </c>
      <c r="GDF11" t="s">
        <v>4855</v>
      </c>
      <c r="GDG11" t="s">
        <v>4856</v>
      </c>
      <c r="GDH11" t="s">
        <v>4857</v>
      </c>
      <c r="GDI11" t="s">
        <v>4858</v>
      </c>
      <c r="GDJ11" t="s">
        <v>4859</v>
      </c>
      <c r="GDK11" t="s">
        <v>4860</v>
      </c>
      <c r="GDL11" t="s">
        <v>4861</v>
      </c>
      <c r="GDM11" t="s">
        <v>4862</v>
      </c>
      <c r="GDN11" t="s">
        <v>4863</v>
      </c>
      <c r="GDO11" t="s">
        <v>4864</v>
      </c>
      <c r="GDP11" t="s">
        <v>4865</v>
      </c>
      <c r="GDQ11" t="s">
        <v>4866</v>
      </c>
      <c r="GDR11" t="s">
        <v>4867</v>
      </c>
      <c r="GDS11" t="s">
        <v>4868</v>
      </c>
      <c r="GDT11" t="s">
        <v>4869</v>
      </c>
      <c r="GDU11" t="s">
        <v>4870</v>
      </c>
      <c r="GDV11" t="s">
        <v>4871</v>
      </c>
      <c r="GDW11" t="s">
        <v>4872</v>
      </c>
      <c r="GDX11" t="s">
        <v>4873</v>
      </c>
      <c r="GDY11" t="s">
        <v>4874</v>
      </c>
      <c r="GDZ11" t="s">
        <v>4875</v>
      </c>
      <c r="GEA11" t="s">
        <v>4876</v>
      </c>
      <c r="GEB11" t="s">
        <v>4877</v>
      </c>
      <c r="GEC11" t="s">
        <v>4878</v>
      </c>
      <c r="GED11" t="s">
        <v>4879</v>
      </c>
      <c r="GEE11" t="s">
        <v>4880</v>
      </c>
      <c r="GEF11" t="s">
        <v>4881</v>
      </c>
      <c r="GEG11" t="s">
        <v>4882</v>
      </c>
      <c r="GEH11" t="s">
        <v>4883</v>
      </c>
      <c r="GEI11" t="s">
        <v>4884</v>
      </c>
      <c r="GEJ11" t="s">
        <v>4885</v>
      </c>
      <c r="GEK11" t="s">
        <v>4886</v>
      </c>
      <c r="GEL11" t="s">
        <v>4887</v>
      </c>
      <c r="GEM11" t="s">
        <v>4888</v>
      </c>
      <c r="GEN11" t="s">
        <v>4889</v>
      </c>
      <c r="GEO11" t="s">
        <v>4890</v>
      </c>
      <c r="GEP11" t="s">
        <v>4891</v>
      </c>
      <c r="GEQ11" t="s">
        <v>4892</v>
      </c>
      <c r="GER11" t="s">
        <v>4893</v>
      </c>
      <c r="GES11" t="s">
        <v>4894</v>
      </c>
      <c r="GET11" t="s">
        <v>4895</v>
      </c>
      <c r="GEU11" t="s">
        <v>4896</v>
      </c>
      <c r="GEV11" t="s">
        <v>4897</v>
      </c>
      <c r="GEW11" t="s">
        <v>4898</v>
      </c>
      <c r="GEX11" t="s">
        <v>4899</v>
      </c>
      <c r="GEY11" t="s">
        <v>4900</v>
      </c>
      <c r="GEZ11" t="s">
        <v>4901</v>
      </c>
      <c r="GFA11" t="s">
        <v>4902</v>
      </c>
      <c r="GFB11" t="s">
        <v>4903</v>
      </c>
      <c r="GFC11" t="s">
        <v>4904</v>
      </c>
      <c r="GFD11" t="s">
        <v>4905</v>
      </c>
      <c r="GFE11" t="s">
        <v>4906</v>
      </c>
      <c r="GFF11" t="s">
        <v>4907</v>
      </c>
      <c r="GFG11" t="s">
        <v>4908</v>
      </c>
      <c r="GFH11" t="s">
        <v>4909</v>
      </c>
      <c r="GFI11" t="s">
        <v>4910</v>
      </c>
      <c r="GFJ11" t="s">
        <v>4911</v>
      </c>
      <c r="GFK11" t="s">
        <v>4912</v>
      </c>
      <c r="GFL11" t="s">
        <v>4913</v>
      </c>
      <c r="GFM11" t="s">
        <v>4914</v>
      </c>
      <c r="GFN11" t="s">
        <v>4915</v>
      </c>
      <c r="GFO11" t="s">
        <v>4916</v>
      </c>
      <c r="GFP11" t="s">
        <v>4917</v>
      </c>
      <c r="GFQ11" t="s">
        <v>4918</v>
      </c>
      <c r="GFR11" t="s">
        <v>4919</v>
      </c>
      <c r="GFS11" t="s">
        <v>4920</v>
      </c>
      <c r="GFT11" t="s">
        <v>4921</v>
      </c>
      <c r="GFU11" t="s">
        <v>4922</v>
      </c>
      <c r="GFV11" t="s">
        <v>4923</v>
      </c>
      <c r="GFW11" t="s">
        <v>4924</v>
      </c>
      <c r="GFX11" t="s">
        <v>4925</v>
      </c>
      <c r="GFY11" t="s">
        <v>4926</v>
      </c>
      <c r="GFZ11" t="s">
        <v>4927</v>
      </c>
      <c r="GGA11" t="s">
        <v>4928</v>
      </c>
      <c r="GGB11" t="s">
        <v>4929</v>
      </c>
      <c r="GGC11" t="s">
        <v>4930</v>
      </c>
      <c r="GGD11" t="s">
        <v>4931</v>
      </c>
      <c r="GGE11" t="s">
        <v>4932</v>
      </c>
      <c r="GGF11" t="s">
        <v>4933</v>
      </c>
      <c r="GGG11" t="s">
        <v>4934</v>
      </c>
      <c r="GGH11" t="s">
        <v>4935</v>
      </c>
      <c r="GGI11" t="s">
        <v>4936</v>
      </c>
      <c r="GGJ11" t="s">
        <v>4937</v>
      </c>
      <c r="GGK11" t="s">
        <v>4938</v>
      </c>
      <c r="GGL11" t="s">
        <v>4939</v>
      </c>
      <c r="GGM11" t="s">
        <v>4940</v>
      </c>
      <c r="GGN11" t="s">
        <v>4941</v>
      </c>
      <c r="GGO11" t="s">
        <v>4942</v>
      </c>
      <c r="GGP11" t="s">
        <v>4943</v>
      </c>
      <c r="GGQ11" t="s">
        <v>4944</v>
      </c>
      <c r="GGR11" t="s">
        <v>4945</v>
      </c>
      <c r="GGS11" t="s">
        <v>4946</v>
      </c>
      <c r="GGT11" t="s">
        <v>4947</v>
      </c>
      <c r="GGU11" t="s">
        <v>4948</v>
      </c>
      <c r="GGV11" t="s">
        <v>4949</v>
      </c>
      <c r="GGW11" t="s">
        <v>4950</v>
      </c>
      <c r="GGX11" t="s">
        <v>4951</v>
      </c>
      <c r="GGY11" t="s">
        <v>4952</v>
      </c>
      <c r="GGZ11" t="s">
        <v>4953</v>
      </c>
      <c r="GHA11" t="s">
        <v>4954</v>
      </c>
      <c r="GHB11" t="s">
        <v>4955</v>
      </c>
      <c r="GHC11" t="s">
        <v>4956</v>
      </c>
      <c r="GHD11" t="s">
        <v>4957</v>
      </c>
      <c r="GHE11" t="s">
        <v>4958</v>
      </c>
      <c r="GHF11" t="s">
        <v>4959</v>
      </c>
      <c r="GHG11" t="s">
        <v>4960</v>
      </c>
      <c r="GHH11" t="s">
        <v>4961</v>
      </c>
      <c r="GHI11" t="s">
        <v>4962</v>
      </c>
      <c r="GHJ11" t="s">
        <v>4963</v>
      </c>
      <c r="GHK11" t="s">
        <v>4964</v>
      </c>
      <c r="GHL11" t="s">
        <v>4965</v>
      </c>
      <c r="GHM11" t="s">
        <v>4966</v>
      </c>
      <c r="GHN11" t="s">
        <v>4967</v>
      </c>
      <c r="GHO11" t="s">
        <v>4968</v>
      </c>
      <c r="GHP11" t="s">
        <v>4969</v>
      </c>
      <c r="GHQ11" t="s">
        <v>4970</v>
      </c>
      <c r="GHR11" t="s">
        <v>4971</v>
      </c>
      <c r="GHS11" t="s">
        <v>4972</v>
      </c>
      <c r="GHT11" t="s">
        <v>4973</v>
      </c>
      <c r="GHU11" t="s">
        <v>4974</v>
      </c>
      <c r="GHV11" t="s">
        <v>4975</v>
      </c>
      <c r="GHW11" t="s">
        <v>4976</v>
      </c>
      <c r="GHX11" t="s">
        <v>4977</v>
      </c>
      <c r="GHY11" t="s">
        <v>4978</v>
      </c>
      <c r="GHZ11" t="s">
        <v>4979</v>
      </c>
      <c r="GIA11" t="s">
        <v>4980</v>
      </c>
      <c r="GIB11" t="s">
        <v>4981</v>
      </c>
      <c r="GIC11" t="s">
        <v>4982</v>
      </c>
      <c r="GID11" t="s">
        <v>4983</v>
      </c>
      <c r="GIE11" t="s">
        <v>4984</v>
      </c>
      <c r="GIF11" t="s">
        <v>4985</v>
      </c>
      <c r="GIG11" t="s">
        <v>4986</v>
      </c>
      <c r="GIH11" t="s">
        <v>4987</v>
      </c>
      <c r="GII11" t="s">
        <v>4988</v>
      </c>
      <c r="GIJ11" t="s">
        <v>4989</v>
      </c>
      <c r="GIK11" t="s">
        <v>4990</v>
      </c>
      <c r="GIL11" t="s">
        <v>4991</v>
      </c>
      <c r="GIM11" t="s">
        <v>4992</v>
      </c>
      <c r="GIN11" t="s">
        <v>4993</v>
      </c>
      <c r="GIO11" t="s">
        <v>4994</v>
      </c>
      <c r="GIP11" t="s">
        <v>4995</v>
      </c>
      <c r="GIQ11" t="s">
        <v>4996</v>
      </c>
      <c r="GIR11" t="s">
        <v>4997</v>
      </c>
      <c r="GIS11" t="s">
        <v>4998</v>
      </c>
      <c r="GIT11" t="s">
        <v>4999</v>
      </c>
      <c r="GIU11" t="s">
        <v>5000</v>
      </c>
      <c r="GIV11" t="s">
        <v>5001</v>
      </c>
      <c r="GIW11" t="s">
        <v>5002</v>
      </c>
      <c r="GIX11" t="s">
        <v>5003</v>
      </c>
      <c r="GIY11" t="s">
        <v>5004</v>
      </c>
      <c r="GIZ11" t="s">
        <v>5005</v>
      </c>
      <c r="GJA11" t="s">
        <v>5006</v>
      </c>
      <c r="GJB11" t="s">
        <v>5007</v>
      </c>
      <c r="GJC11" t="s">
        <v>5008</v>
      </c>
      <c r="GJD11" t="s">
        <v>5009</v>
      </c>
      <c r="GJE11" t="s">
        <v>5010</v>
      </c>
      <c r="GJF11" t="s">
        <v>5011</v>
      </c>
      <c r="GJG11" t="s">
        <v>5012</v>
      </c>
      <c r="GJH11" t="s">
        <v>5013</v>
      </c>
      <c r="GJI11" t="s">
        <v>5014</v>
      </c>
      <c r="GJJ11" t="s">
        <v>5015</v>
      </c>
      <c r="GJK11" t="s">
        <v>5016</v>
      </c>
      <c r="GJL11" t="s">
        <v>5017</v>
      </c>
      <c r="GJM11" t="s">
        <v>5018</v>
      </c>
      <c r="GJN11" t="s">
        <v>5019</v>
      </c>
      <c r="GJO11" t="s">
        <v>5020</v>
      </c>
      <c r="GJP11" t="s">
        <v>5021</v>
      </c>
      <c r="GJQ11" t="s">
        <v>5022</v>
      </c>
      <c r="GJR11" t="s">
        <v>5023</v>
      </c>
      <c r="GJS11" t="s">
        <v>5024</v>
      </c>
      <c r="GJT11" t="s">
        <v>5025</v>
      </c>
      <c r="GJU11" t="s">
        <v>5026</v>
      </c>
      <c r="GJV11" t="s">
        <v>5027</v>
      </c>
      <c r="GJW11" t="s">
        <v>5028</v>
      </c>
      <c r="GJX11" t="s">
        <v>5029</v>
      </c>
      <c r="GJY11" t="s">
        <v>5030</v>
      </c>
      <c r="GJZ11" t="s">
        <v>5031</v>
      </c>
      <c r="GKA11" t="s">
        <v>5032</v>
      </c>
      <c r="GKB11" t="s">
        <v>5033</v>
      </c>
      <c r="GKC11" t="s">
        <v>5034</v>
      </c>
      <c r="GKD11" t="s">
        <v>5035</v>
      </c>
      <c r="GKE11" t="s">
        <v>5036</v>
      </c>
      <c r="GKF11" t="s">
        <v>5037</v>
      </c>
      <c r="GKG11" t="s">
        <v>5038</v>
      </c>
      <c r="GKH11" t="s">
        <v>5039</v>
      </c>
      <c r="GKI11" t="s">
        <v>5040</v>
      </c>
      <c r="GKJ11" t="s">
        <v>5041</v>
      </c>
      <c r="GKK11" t="s">
        <v>5042</v>
      </c>
      <c r="GKL11" t="s">
        <v>5043</v>
      </c>
      <c r="GKM11" t="s">
        <v>5044</v>
      </c>
      <c r="GKN11" t="s">
        <v>5045</v>
      </c>
      <c r="GKO11" t="s">
        <v>5046</v>
      </c>
      <c r="GKP11" t="s">
        <v>5047</v>
      </c>
      <c r="GKQ11" t="s">
        <v>5048</v>
      </c>
      <c r="GKR11" t="s">
        <v>5049</v>
      </c>
      <c r="GKS11" t="s">
        <v>5050</v>
      </c>
      <c r="GKT11" t="s">
        <v>5051</v>
      </c>
      <c r="GKU11" t="s">
        <v>5052</v>
      </c>
      <c r="GKV11" t="s">
        <v>5053</v>
      </c>
      <c r="GKW11" t="s">
        <v>5054</v>
      </c>
      <c r="GKX11" t="s">
        <v>5055</v>
      </c>
      <c r="GKY11" t="s">
        <v>5056</v>
      </c>
      <c r="GKZ11" t="s">
        <v>5057</v>
      </c>
      <c r="GLA11" t="s">
        <v>5058</v>
      </c>
      <c r="GLB11" t="s">
        <v>5059</v>
      </c>
      <c r="GLC11" t="s">
        <v>5060</v>
      </c>
      <c r="GLD11" t="s">
        <v>5061</v>
      </c>
      <c r="GLE11" t="s">
        <v>5062</v>
      </c>
      <c r="GLF11" t="s">
        <v>5063</v>
      </c>
      <c r="GLG11" t="s">
        <v>5064</v>
      </c>
      <c r="GLH11" t="s">
        <v>5065</v>
      </c>
      <c r="GLI11" t="s">
        <v>5066</v>
      </c>
      <c r="GLJ11" t="s">
        <v>5067</v>
      </c>
      <c r="GLK11" t="s">
        <v>5068</v>
      </c>
      <c r="GLL11" t="s">
        <v>5069</v>
      </c>
      <c r="GLM11" t="s">
        <v>5070</v>
      </c>
      <c r="GLN11" t="s">
        <v>5071</v>
      </c>
      <c r="GLO11" t="s">
        <v>5072</v>
      </c>
      <c r="GLP11" t="s">
        <v>5073</v>
      </c>
      <c r="GLQ11" t="s">
        <v>5074</v>
      </c>
      <c r="GLR11" t="s">
        <v>5075</v>
      </c>
      <c r="GLS11" t="s">
        <v>5076</v>
      </c>
      <c r="GLT11" t="s">
        <v>5077</v>
      </c>
      <c r="GLU11" t="s">
        <v>5078</v>
      </c>
      <c r="GLV11" t="s">
        <v>5079</v>
      </c>
      <c r="GLW11" t="s">
        <v>5080</v>
      </c>
      <c r="GLX11" t="s">
        <v>5081</v>
      </c>
      <c r="GLY11" t="s">
        <v>5082</v>
      </c>
      <c r="GLZ11" t="s">
        <v>5083</v>
      </c>
      <c r="GMA11" t="s">
        <v>5084</v>
      </c>
      <c r="GMB11" t="s">
        <v>5085</v>
      </c>
      <c r="GMC11" t="s">
        <v>5086</v>
      </c>
      <c r="GMD11" t="s">
        <v>5087</v>
      </c>
      <c r="GME11" t="s">
        <v>5088</v>
      </c>
      <c r="GMF11" t="s">
        <v>5089</v>
      </c>
      <c r="GMG11" t="s">
        <v>5090</v>
      </c>
      <c r="GMH11" t="s">
        <v>5091</v>
      </c>
      <c r="GMI11" t="s">
        <v>5092</v>
      </c>
      <c r="GMJ11" t="s">
        <v>5093</v>
      </c>
      <c r="GMK11" t="s">
        <v>5094</v>
      </c>
      <c r="GML11" t="s">
        <v>5095</v>
      </c>
      <c r="GMM11" t="s">
        <v>5096</v>
      </c>
      <c r="GMN11" t="s">
        <v>5097</v>
      </c>
      <c r="GMO11" t="s">
        <v>5098</v>
      </c>
      <c r="GMP11" t="s">
        <v>5099</v>
      </c>
      <c r="GMQ11" t="s">
        <v>5100</v>
      </c>
      <c r="GMR11" t="s">
        <v>5101</v>
      </c>
      <c r="GMS11" t="s">
        <v>5102</v>
      </c>
      <c r="GMT11" t="s">
        <v>5103</v>
      </c>
      <c r="GMU11" t="s">
        <v>5104</v>
      </c>
      <c r="GMV11" t="s">
        <v>5105</v>
      </c>
      <c r="GMW11" t="s">
        <v>5106</v>
      </c>
      <c r="GMX11" t="s">
        <v>5107</v>
      </c>
      <c r="GMY11" t="s">
        <v>5108</v>
      </c>
      <c r="GMZ11" t="s">
        <v>5109</v>
      </c>
      <c r="GNA11" t="s">
        <v>5110</v>
      </c>
      <c r="GNB11" t="s">
        <v>5111</v>
      </c>
      <c r="GNC11" t="s">
        <v>5112</v>
      </c>
      <c r="GND11" t="s">
        <v>5113</v>
      </c>
      <c r="GNE11" t="s">
        <v>5114</v>
      </c>
      <c r="GNF11" t="s">
        <v>5115</v>
      </c>
      <c r="GNG11" t="s">
        <v>5116</v>
      </c>
      <c r="GNH11" t="s">
        <v>5117</v>
      </c>
      <c r="GNI11" t="s">
        <v>5118</v>
      </c>
      <c r="GNJ11" t="s">
        <v>5119</v>
      </c>
      <c r="GNK11" t="s">
        <v>5120</v>
      </c>
      <c r="GNL11" t="s">
        <v>5121</v>
      </c>
      <c r="GNM11" t="s">
        <v>5122</v>
      </c>
      <c r="GNN11" t="s">
        <v>5123</v>
      </c>
      <c r="GNO11" t="s">
        <v>5124</v>
      </c>
      <c r="GNP11" t="s">
        <v>5125</v>
      </c>
      <c r="GNQ11" t="s">
        <v>5126</v>
      </c>
      <c r="GNR11" t="s">
        <v>5127</v>
      </c>
      <c r="GNS11" t="s">
        <v>5128</v>
      </c>
      <c r="GNT11" t="s">
        <v>5129</v>
      </c>
      <c r="GNU11" t="s">
        <v>5130</v>
      </c>
      <c r="GNV11" t="s">
        <v>5131</v>
      </c>
      <c r="GNW11" t="s">
        <v>5132</v>
      </c>
      <c r="GNX11" t="s">
        <v>5133</v>
      </c>
      <c r="GNY11" t="s">
        <v>5134</v>
      </c>
      <c r="GNZ11" t="s">
        <v>5135</v>
      </c>
      <c r="GOA11" t="s">
        <v>5136</v>
      </c>
      <c r="GOB11" t="s">
        <v>5137</v>
      </c>
      <c r="GOC11" t="s">
        <v>5138</v>
      </c>
      <c r="GOD11" t="s">
        <v>5139</v>
      </c>
      <c r="GOE11" t="s">
        <v>5140</v>
      </c>
      <c r="GOF11" t="s">
        <v>5141</v>
      </c>
      <c r="GOG11" t="s">
        <v>5142</v>
      </c>
      <c r="GOH11" t="s">
        <v>5143</v>
      </c>
      <c r="GOI11" t="s">
        <v>5144</v>
      </c>
      <c r="GOJ11" t="s">
        <v>5145</v>
      </c>
      <c r="GOK11" t="s">
        <v>5146</v>
      </c>
      <c r="GOL11" t="s">
        <v>5147</v>
      </c>
      <c r="GOM11" t="s">
        <v>5148</v>
      </c>
      <c r="GON11" t="s">
        <v>5149</v>
      </c>
      <c r="GOO11" t="s">
        <v>5150</v>
      </c>
      <c r="GOP11" t="s">
        <v>5151</v>
      </c>
      <c r="GOQ11" t="s">
        <v>5152</v>
      </c>
      <c r="GOR11" t="s">
        <v>5153</v>
      </c>
      <c r="GOS11" t="s">
        <v>5154</v>
      </c>
      <c r="GOT11" t="s">
        <v>5155</v>
      </c>
      <c r="GOU11" t="s">
        <v>5156</v>
      </c>
      <c r="GOV11" t="s">
        <v>5157</v>
      </c>
      <c r="GOW11" t="s">
        <v>5158</v>
      </c>
      <c r="GOX11" t="s">
        <v>5159</v>
      </c>
      <c r="GOY11" t="s">
        <v>5160</v>
      </c>
      <c r="GOZ11" t="s">
        <v>5161</v>
      </c>
      <c r="GPA11" t="s">
        <v>5162</v>
      </c>
      <c r="GPB11" t="s">
        <v>5163</v>
      </c>
      <c r="GPC11" t="s">
        <v>5164</v>
      </c>
      <c r="GPD11" t="s">
        <v>5165</v>
      </c>
      <c r="GPE11" t="s">
        <v>5166</v>
      </c>
      <c r="GPF11" t="s">
        <v>5167</v>
      </c>
      <c r="GPG11" t="s">
        <v>5168</v>
      </c>
      <c r="GPH11" t="s">
        <v>5169</v>
      </c>
      <c r="GPI11" t="s">
        <v>5170</v>
      </c>
      <c r="GPJ11" t="s">
        <v>5171</v>
      </c>
      <c r="GPK11" t="s">
        <v>5172</v>
      </c>
      <c r="GPL11" t="s">
        <v>5173</v>
      </c>
      <c r="GPM11" t="s">
        <v>5174</v>
      </c>
      <c r="GPN11" t="s">
        <v>5175</v>
      </c>
      <c r="GPO11" t="s">
        <v>5176</v>
      </c>
      <c r="GPP11" t="s">
        <v>5177</v>
      </c>
      <c r="GPQ11" t="s">
        <v>5178</v>
      </c>
      <c r="GPR11" t="s">
        <v>5179</v>
      </c>
      <c r="GPS11" t="s">
        <v>5180</v>
      </c>
      <c r="GPT11" t="s">
        <v>5181</v>
      </c>
      <c r="GPU11" t="s">
        <v>5182</v>
      </c>
      <c r="GPV11" t="s">
        <v>5183</v>
      </c>
      <c r="GPW11" t="s">
        <v>5184</v>
      </c>
      <c r="GPX11" t="s">
        <v>5185</v>
      </c>
      <c r="GPY11" t="s">
        <v>5186</v>
      </c>
      <c r="GPZ11" t="s">
        <v>5187</v>
      </c>
      <c r="GQA11" t="s">
        <v>5188</v>
      </c>
      <c r="GQB11" t="s">
        <v>5189</v>
      </c>
      <c r="GQC11" t="s">
        <v>5190</v>
      </c>
      <c r="GQD11" t="s">
        <v>5191</v>
      </c>
      <c r="GQE11" t="s">
        <v>5192</v>
      </c>
      <c r="GQF11" t="s">
        <v>5193</v>
      </c>
      <c r="GQG11" t="s">
        <v>5194</v>
      </c>
      <c r="GQH11" t="s">
        <v>5195</v>
      </c>
      <c r="GQI11" t="s">
        <v>5196</v>
      </c>
      <c r="GQJ11" t="s">
        <v>5197</v>
      </c>
      <c r="GQK11" t="s">
        <v>5198</v>
      </c>
      <c r="GQL11" t="s">
        <v>5199</v>
      </c>
      <c r="GQM11" t="s">
        <v>5200</v>
      </c>
      <c r="GQN11" t="s">
        <v>5201</v>
      </c>
      <c r="GQO11" t="s">
        <v>5202</v>
      </c>
      <c r="GQP11" t="s">
        <v>5203</v>
      </c>
      <c r="GQQ11" t="s">
        <v>5204</v>
      </c>
      <c r="GQR11" t="s">
        <v>5205</v>
      </c>
      <c r="GQS11" t="s">
        <v>5206</v>
      </c>
      <c r="GQT11" t="s">
        <v>5207</v>
      </c>
      <c r="GQU11" t="s">
        <v>5208</v>
      </c>
      <c r="GQV11" t="s">
        <v>5209</v>
      </c>
      <c r="GQW11" t="s">
        <v>5210</v>
      </c>
      <c r="GQX11" t="s">
        <v>5211</v>
      </c>
      <c r="GQY11" t="s">
        <v>5212</v>
      </c>
      <c r="GQZ11" t="s">
        <v>5213</v>
      </c>
      <c r="GRA11" t="s">
        <v>5214</v>
      </c>
      <c r="GRB11" t="s">
        <v>5215</v>
      </c>
      <c r="GRC11" t="s">
        <v>5216</v>
      </c>
      <c r="GRD11" t="s">
        <v>5217</v>
      </c>
      <c r="GRE11" t="s">
        <v>5218</v>
      </c>
      <c r="GRF11" t="s">
        <v>5219</v>
      </c>
      <c r="GRG11" t="s">
        <v>5220</v>
      </c>
      <c r="GRH11" t="s">
        <v>5221</v>
      </c>
      <c r="GRI11" t="s">
        <v>5222</v>
      </c>
      <c r="GRJ11" t="s">
        <v>5223</v>
      </c>
      <c r="GRK11" t="s">
        <v>5224</v>
      </c>
      <c r="GRL11" t="s">
        <v>5225</v>
      </c>
      <c r="GRM11" t="s">
        <v>5226</v>
      </c>
      <c r="GRN11" t="s">
        <v>5227</v>
      </c>
      <c r="GRO11" t="s">
        <v>5228</v>
      </c>
      <c r="GRP11" t="s">
        <v>5229</v>
      </c>
      <c r="GRQ11" t="s">
        <v>5230</v>
      </c>
      <c r="GRR11" t="s">
        <v>5231</v>
      </c>
      <c r="GRS11" t="s">
        <v>5232</v>
      </c>
      <c r="GRT11" t="s">
        <v>5233</v>
      </c>
      <c r="GRU11" t="s">
        <v>5234</v>
      </c>
      <c r="GRV11" t="s">
        <v>5235</v>
      </c>
      <c r="GRW11" t="s">
        <v>5236</v>
      </c>
      <c r="GRX11" t="s">
        <v>5237</v>
      </c>
      <c r="GRY11" t="s">
        <v>5238</v>
      </c>
      <c r="GRZ11" t="s">
        <v>5239</v>
      </c>
      <c r="GSA11" t="s">
        <v>5240</v>
      </c>
      <c r="GSB11" t="s">
        <v>5241</v>
      </c>
      <c r="GSC11" t="s">
        <v>5242</v>
      </c>
      <c r="GSD11" t="s">
        <v>5243</v>
      </c>
      <c r="GSE11" t="s">
        <v>5244</v>
      </c>
      <c r="GSF11" t="s">
        <v>5245</v>
      </c>
      <c r="GSG11" t="s">
        <v>5246</v>
      </c>
      <c r="GSH11" t="s">
        <v>5247</v>
      </c>
      <c r="GSI11" t="s">
        <v>5248</v>
      </c>
      <c r="GSJ11" t="s">
        <v>5249</v>
      </c>
      <c r="GSK11" t="s">
        <v>5250</v>
      </c>
      <c r="GSL11" t="s">
        <v>5251</v>
      </c>
      <c r="GSM11" t="s">
        <v>5252</v>
      </c>
      <c r="GSN11" t="s">
        <v>5253</v>
      </c>
      <c r="GSO11" t="s">
        <v>5254</v>
      </c>
      <c r="GSP11" t="s">
        <v>5255</v>
      </c>
      <c r="GSQ11" t="s">
        <v>5256</v>
      </c>
      <c r="GSR11" t="s">
        <v>5257</v>
      </c>
      <c r="GSS11" t="s">
        <v>5258</v>
      </c>
      <c r="GST11" t="s">
        <v>5259</v>
      </c>
      <c r="GSU11" t="s">
        <v>5260</v>
      </c>
      <c r="GSV11" t="s">
        <v>5261</v>
      </c>
      <c r="GSW11" t="s">
        <v>5262</v>
      </c>
      <c r="GSX11" t="s">
        <v>5263</v>
      </c>
      <c r="GSY11" t="s">
        <v>5264</v>
      </c>
      <c r="GSZ11" t="s">
        <v>5265</v>
      </c>
      <c r="GTA11" t="s">
        <v>5266</v>
      </c>
      <c r="GTB11" t="s">
        <v>5267</v>
      </c>
      <c r="GTC11" t="s">
        <v>5268</v>
      </c>
      <c r="GTD11" t="s">
        <v>5269</v>
      </c>
      <c r="GTE11" t="s">
        <v>5270</v>
      </c>
      <c r="GTF11" t="s">
        <v>5271</v>
      </c>
      <c r="GTG11" t="s">
        <v>5272</v>
      </c>
      <c r="GTH11" t="s">
        <v>5273</v>
      </c>
      <c r="GTI11" t="s">
        <v>5274</v>
      </c>
      <c r="GTJ11" t="s">
        <v>5275</v>
      </c>
      <c r="GTK11" t="s">
        <v>5276</v>
      </c>
      <c r="GTL11" t="s">
        <v>5277</v>
      </c>
      <c r="GTM11" t="s">
        <v>5278</v>
      </c>
      <c r="GTN11" t="s">
        <v>5279</v>
      </c>
      <c r="GTO11" t="s">
        <v>5280</v>
      </c>
      <c r="GTP11" t="s">
        <v>5281</v>
      </c>
      <c r="GTQ11" t="s">
        <v>5282</v>
      </c>
      <c r="GTR11" t="s">
        <v>5283</v>
      </c>
      <c r="GTS11" t="s">
        <v>5284</v>
      </c>
      <c r="GTT11" t="s">
        <v>5285</v>
      </c>
      <c r="GTU11" t="s">
        <v>5286</v>
      </c>
      <c r="GTV11" t="s">
        <v>5287</v>
      </c>
      <c r="GTW11" t="s">
        <v>5288</v>
      </c>
      <c r="GTX11" t="s">
        <v>5289</v>
      </c>
      <c r="GTY11" t="s">
        <v>5290</v>
      </c>
      <c r="GTZ11" t="s">
        <v>5291</v>
      </c>
      <c r="GUA11" t="s">
        <v>5292</v>
      </c>
      <c r="GUB11" t="s">
        <v>5293</v>
      </c>
      <c r="GUC11" t="s">
        <v>5294</v>
      </c>
      <c r="GUD11" t="s">
        <v>5295</v>
      </c>
      <c r="GUE11" t="s">
        <v>5296</v>
      </c>
      <c r="GUF11" t="s">
        <v>5297</v>
      </c>
      <c r="GUG11" t="s">
        <v>5298</v>
      </c>
      <c r="GUH11" t="s">
        <v>5299</v>
      </c>
      <c r="GUI11" t="s">
        <v>5300</v>
      </c>
      <c r="GUJ11" t="s">
        <v>5301</v>
      </c>
      <c r="GUK11" t="s">
        <v>5302</v>
      </c>
      <c r="GUL11" t="s">
        <v>5303</v>
      </c>
      <c r="GUM11" t="s">
        <v>5304</v>
      </c>
      <c r="GUN11" t="s">
        <v>5305</v>
      </c>
      <c r="GUO11" t="s">
        <v>5306</v>
      </c>
      <c r="GUP11" t="s">
        <v>5307</v>
      </c>
      <c r="GUQ11" t="s">
        <v>5308</v>
      </c>
      <c r="GUR11" t="s">
        <v>5309</v>
      </c>
      <c r="GUS11" t="s">
        <v>5310</v>
      </c>
      <c r="GUT11" t="s">
        <v>5311</v>
      </c>
      <c r="GUU11" t="s">
        <v>5312</v>
      </c>
      <c r="GUV11" t="s">
        <v>5313</v>
      </c>
      <c r="GUW11" t="s">
        <v>5314</v>
      </c>
      <c r="GUX11" t="s">
        <v>5315</v>
      </c>
      <c r="GUY11" t="s">
        <v>5316</v>
      </c>
      <c r="GUZ11" t="s">
        <v>5317</v>
      </c>
      <c r="GVA11" t="s">
        <v>5318</v>
      </c>
      <c r="GVB11" t="s">
        <v>5319</v>
      </c>
      <c r="GVC11" t="s">
        <v>5320</v>
      </c>
      <c r="GVD11" t="s">
        <v>5321</v>
      </c>
      <c r="GVE11" t="s">
        <v>5322</v>
      </c>
      <c r="GVF11" t="s">
        <v>5323</v>
      </c>
      <c r="GVG11" t="s">
        <v>5324</v>
      </c>
      <c r="GVH11" t="s">
        <v>5325</v>
      </c>
      <c r="GVI11" t="s">
        <v>5326</v>
      </c>
      <c r="GVJ11" t="s">
        <v>5327</v>
      </c>
      <c r="GVK11" t="s">
        <v>5328</v>
      </c>
      <c r="GVL11" t="s">
        <v>5329</v>
      </c>
      <c r="GVM11" t="s">
        <v>5330</v>
      </c>
      <c r="GVN11" t="s">
        <v>5331</v>
      </c>
      <c r="GVO11" t="s">
        <v>5332</v>
      </c>
      <c r="GVP11" t="s">
        <v>5333</v>
      </c>
      <c r="GVQ11" t="s">
        <v>5334</v>
      </c>
      <c r="GVR11" t="s">
        <v>5335</v>
      </c>
      <c r="GVS11" t="s">
        <v>5336</v>
      </c>
      <c r="GVT11" t="s">
        <v>5337</v>
      </c>
      <c r="GVU11" t="s">
        <v>5338</v>
      </c>
      <c r="GVV11" t="s">
        <v>5339</v>
      </c>
      <c r="GVW11" t="s">
        <v>5340</v>
      </c>
      <c r="GVX11" t="s">
        <v>5341</v>
      </c>
      <c r="GVY11" t="s">
        <v>5342</v>
      </c>
      <c r="GVZ11" t="s">
        <v>5343</v>
      </c>
      <c r="GWA11" t="s">
        <v>5344</v>
      </c>
      <c r="GWB11" t="s">
        <v>5345</v>
      </c>
      <c r="GWC11" t="s">
        <v>5346</v>
      </c>
      <c r="GWD11" t="s">
        <v>5347</v>
      </c>
      <c r="GWE11" t="s">
        <v>5348</v>
      </c>
      <c r="GWF11" t="s">
        <v>5349</v>
      </c>
      <c r="GWG11" t="s">
        <v>5350</v>
      </c>
      <c r="GWH11" t="s">
        <v>5351</v>
      </c>
      <c r="GWI11" t="s">
        <v>5352</v>
      </c>
      <c r="GWJ11" t="s">
        <v>5353</v>
      </c>
      <c r="GWK11" t="s">
        <v>5354</v>
      </c>
      <c r="GWL11" t="s">
        <v>5355</v>
      </c>
      <c r="GWM11" t="s">
        <v>5356</v>
      </c>
      <c r="GWN11" t="s">
        <v>5357</v>
      </c>
      <c r="GWO11" t="s">
        <v>5358</v>
      </c>
      <c r="GWP11" t="s">
        <v>5359</v>
      </c>
      <c r="GWQ11" t="s">
        <v>5360</v>
      </c>
      <c r="GWR11" t="s">
        <v>5361</v>
      </c>
      <c r="GWS11" t="s">
        <v>5362</v>
      </c>
      <c r="GWT11" t="s">
        <v>5363</v>
      </c>
      <c r="GWU11" t="s">
        <v>5364</v>
      </c>
      <c r="GWV11" t="s">
        <v>5365</v>
      </c>
      <c r="GWW11" t="s">
        <v>5366</v>
      </c>
      <c r="GWX11" t="s">
        <v>5367</v>
      </c>
      <c r="GWY11" t="s">
        <v>5368</v>
      </c>
      <c r="GWZ11" t="s">
        <v>5369</v>
      </c>
      <c r="GXA11" t="s">
        <v>5370</v>
      </c>
      <c r="GXB11" t="s">
        <v>5371</v>
      </c>
      <c r="GXC11" t="s">
        <v>5372</v>
      </c>
      <c r="GXD11" t="s">
        <v>5373</v>
      </c>
      <c r="GXE11" t="s">
        <v>5374</v>
      </c>
      <c r="GXF11" t="s">
        <v>5375</v>
      </c>
      <c r="GXG11" t="s">
        <v>5376</v>
      </c>
      <c r="GXH11" t="s">
        <v>5377</v>
      </c>
      <c r="GXI11" t="s">
        <v>5378</v>
      </c>
      <c r="GXJ11" t="s">
        <v>5379</v>
      </c>
      <c r="GXK11" t="s">
        <v>5380</v>
      </c>
      <c r="GXL11" t="s">
        <v>5381</v>
      </c>
      <c r="GXM11" t="s">
        <v>5382</v>
      </c>
      <c r="GXN11" t="s">
        <v>5383</v>
      </c>
      <c r="GXO11" t="s">
        <v>5384</v>
      </c>
      <c r="GXP11" t="s">
        <v>5385</v>
      </c>
      <c r="GXQ11" t="s">
        <v>5386</v>
      </c>
      <c r="GXR11" t="s">
        <v>5387</v>
      </c>
      <c r="GXS11" t="s">
        <v>5388</v>
      </c>
      <c r="GXT11" t="s">
        <v>5389</v>
      </c>
      <c r="GXU11" t="s">
        <v>5390</v>
      </c>
      <c r="GXV11" t="s">
        <v>5391</v>
      </c>
      <c r="GXW11" t="s">
        <v>5392</v>
      </c>
      <c r="GXX11" t="s">
        <v>5393</v>
      </c>
      <c r="GXY11" t="s">
        <v>5394</v>
      </c>
      <c r="GXZ11" t="s">
        <v>5395</v>
      </c>
      <c r="GYA11" t="s">
        <v>5396</v>
      </c>
      <c r="GYB11" t="s">
        <v>5397</v>
      </c>
      <c r="GYC11" t="s">
        <v>5398</v>
      </c>
      <c r="GYD11" t="s">
        <v>5399</v>
      </c>
      <c r="GYE11" t="s">
        <v>5400</v>
      </c>
      <c r="GYF11" t="s">
        <v>5401</v>
      </c>
      <c r="GYG11" t="s">
        <v>5402</v>
      </c>
      <c r="GYH11" t="s">
        <v>5403</v>
      </c>
      <c r="GYI11" t="s">
        <v>5404</v>
      </c>
      <c r="GYJ11" t="s">
        <v>5405</v>
      </c>
      <c r="GYK11" t="s">
        <v>5406</v>
      </c>
      <c r="GYL11" t="s">
        <v>5407</v>
      </c>
      <c r="GYM11" t="s">
        <v>5408</v>
      </c>
      <c r="GYN11" t="s">
        <v>5409</v>
      </c>
      <c r="GYO11" t="s">
        <v>5410</v>
      </c>
      <c r="GYP11" t="s">
        <v>5411</v>
      </c>
      <c r="GYQ11" t="s">
        <v>5412</v>
      </c>
      <c r="GYR11" t="s">
        <v>5413</v>
      </c>
      <c r="GYS11" t="s">
        <v>5414</v>
      </c>
      <c r="GYT11" t="s">
        <v>5415</v>
      </c>
      <c r="GYU11" t="s">
        <v>5416</v>
      </c>
      <c r="GYV11" t="s">
        <v>5417</v>
      </c>
      <c r="GYW11" t="s">
        <v>5418</v>
      </c>
      <c r="GYX11" t="s">
        <v>5419</v>
      </c>
      <c r="GYY11" t="s">
        <v>5420</v>
      </c>
      <c r="GYZ11" t="s">
        <v>5421</v>
      </c>
      <c r="GZA11" t="s">
        <v>5422</v>
      </c>
      <c r="GZB11" t="s">
        <v>5423</v>
      </c>
      <c r="GZC11" t="s">
        <v>5424</v>
      </c>
      <c r="GZD11" t="s">
        <v>5425</v>
      </c>
      <c r="GZE11" t="s">
        <v>5426</v>
      </c>
      <c r="GZF11" t="s">
        <v>5427</v>
      </c>
      <c r="GZG11" t="s">
        <v>5428</v>
      </c>
      <c r="GZH11" t="s">
        <v>5429</v>
      </c>
      <c r="GZI11" t="s">
        <v>5430</v>
      </c>
      <c r="GZJ11" t="s">
        <v>5431</v>
      </c>
      <c r="GZK11" t="s">
        <v>5432</v>
      </c>
      <c r="GZL11" t="s">
        <v>5433</v>
      </c>
      <c r="GZM11" t="s">
        <v>5434</v>
      </c>
      <c r="GZN11" t="s">
        <v>5435</v>
      </c>
      <c r="GZO11" t="s">
        <v>5436</v>
      </c>
      <c r="GZP11" t="s">
        <v>5437</v>
      </c>
      <c r="GZQ11" t="s">
        <v>5438</v>
      </c>
      <c r="GZR11" t="s">
        <v>5439</v>
      </c>
      <c r="GZS11" t="s">
        <v>5440</v>
      </c>
      <c r="GZT11" t="s">
        <v>5441</v>
      </c>
      <c r="GZU11" t="s">
        <v>5442</v>
      </c>
      <c r="GZV11" t="s">
        <v>5443</v>
      </c>
      <c r="GZW11" t="s">
        <v>5444</v>
      </c>
      <c r="GZX11" t="s">
        <v>5445</v>
      </c>
      <c r="GZY11" t="s">
        <v>5446</v>
      </c>
      <c r="GZZ11" t="s">
        <v>5447</v>
      </c>
      <c r="HAA11" t="s">
        <v>5448</v>
      </c>
      <c r="HAB11" t="s">
        <v>5449</v>
      </c>
      <c r="HAC11" t="s">
        <v>5450</v>
      </c>
      <c r="HAD11" t="s">
        <v>5451</v>
      </c>
      <c r="HAE11" t="s">
        <v>5452</v>
      </c>
      <c r="HAF11" t="s">
        <v>5453</v>
      </c>
      <c r="HAG11" t="s">
        <v>5454</v>
      </c>
      <c r="HAH11" t="s">
        <v>5455</v>
      </c>
      <c r="HAI11" t="s">
        <v>5456</v>
      </c>
      <c r="HAJ11" t="s">
        <v>5457</v>
      </c>
      <c r="HAK11" t="s">
        <v>5458</v>
      </c>
      <c r="HAL11" t="s">
        <v>5459</v>
      </c>
      <c r="HAM11" t="s">
        <v>5460</v>
      </c>
      <c r="HAN11" t="s">
        <v>5461</v>
      </c>
      <c r="HAO11" t="s">
        <v>5462</v>
      </c>
      <c r="HAP11" t="s">
        <v>5463</v>
      </c>
      <c r="HAQ11" t="s">
        <v>5464</v>
      </c>
      <c r="HAR11" t="s">
        <v>5465</v>
      </c>
      <c r="HAS11" t="s">
        <v>5466</v>
      </c>
      <c r="HAT11" t="s">
        <v>5467</v>
      </c>
      <c r="HAU11" t="s">
        <v>5468</v>
      </c>
      <c r="HAV11" t="s">
        <v>5469</v>
      </c>
      <c r="HAW11" t="s">
        <v>5470</v>
      </c>
      <c r="HAX11" t="s">
        <v>5471</v>
      </c>
      <c r="HAY11" t="s">
        <v>5472</v>
      </c>
      <c r="HAZ11" t="s">
        <v>5473</v>
      </c>
      <c r="HBA11" t="s">
        <v>5474</v>
      </c>
      <c r="HBB11" t="s">
        <v>5475</v>
      </c>
      <c r="HBC11" t="s">
        <v>5476</v>
      </c>
      <c r="HBD11" t="s">
        <v>5477</v>
      </c>
      <c r="HBE11" t="s">
        <v>5478</v>
      </c>
      <c r="HBF11" t="s">
        <v>5479</v>
      </c>
      <c r="HBG11" t="s">
        <v>5480</v>
      </c>
      <c r="HBH11" t="s">
        <v>5481</v>
      </c>
      <c r="HBI11" t="s">
        <v>5482</v>
      </c>
      <c r="HBJ11" t="s">
        <v>5483</v>
      </c>
      <c r="HBK11" t="s">
        <v>5484</v>
      </c>
      <c r="HBL11" t="s">
        <v>5485</v>
      </c>
      <c r="HBM11" t="s">
        <v>5486</v>
      </c>
      <c r="HBN11" t="s">
        <v>5487</v>
      </c>
      <c r="HBO11" t="s">
        <v>5488</v>
      </c>
      <c r="HBP11" t="s">
        <v>5489</v>
      </c>
      <c r="HBQ11" t="s">
        <v>5490</v>
      </c>
      <c r="HBR11" t="s">
        <v>5491</v>
      </c>
      <c r="HBS11" t="s">
        <v>5492</v>
      </c>
      <c r="HBT11" t="s">
        <v>5493</v>
      </c>
      <c r="HBU11" t="s">
        <v>5494</v>
      </c>
      <c r="HBV11" t="s">
        <v>5495</v>
      </c>
      <c r="HBW11" t="s">
        <v>5496</v>
      </c>
      <c r="HBX11" t="s">
        <v>5497</v>
      </c>
      <c r="HBY11" t="s">
        <v>5498</v>
      </c>
      <c r="HBZ11" t="s">
        <v>5499</v>
      </c>
      <c r="HCA11" t="s">
        <v>5500</v>
      </c>
      <c r="HCB11" t="s">
        <v>5501</v>
      </c>
      <c r="HCC11" t="s">
        <v>5502</v>
      </c>
      <c r="HCD11" t="s">
        <v>5503</v>
      </c>
      <c r="HCE11" t="s">
        <v>5504</v>
      </c>
      <c r="HCF11" t="s">
        <v>5505</v>
      </c>
      <c r="HCG11" t="s">
        <v>5506</v>
      </c>
      <c r="HCH11" t="s">
        <v>5507</v>
      </c>
      <c r="HCI11" t="s">
        <v>5508</v>
      </c>
      <c r="HCJ11" t="s">
        <v>5509</v>
      </c>
      <c r="HCK11" t="s">
        <v>5510</v>
      </c>
      <c r="HCL11" t="s">
        <v>5511</v>
      </c>
      <c r="HCM11" t="s">
        <v>5512</v>
      </c>
      <c r="HCN11" t="s">
        <v>5513</v>
      </c>
      <c r="HCO11" t="s">
        <v>5514</v>
      </c>
      <c r="HCP11" t="s">
        <v>5515</v>
      </c>
      <c r="HCQ11" t="s">
        <v>5516</v>
      </c>
      <c r="HCR11" t="s">
        <v>5517</v>
      </c>
      <c r="HCS11" t="s">
        <v>5518</v>
      </c>
      <c r="HCT11" t="s">
        <v>5519</v>
      </c>
      <c r="HCU11" t="s">
        <v>5520</v>
      </c>
      <c r="HCV11" t="s">
        <v>5521</v>
      </c>
      <c r="HCW11" t="s">
        <v>5522</v>
      </c>
      <c r="HCX11" t="s">
        <v>5523</v>
      </c>
      <c r="HCY11" t="s">
        <v>5524</v>
      </c>
      <c r="HCZ11" t="s">
        <v>5525</v>
      </c>
      <c r="HDA11" t="s">
        <v>5526</v>
      </c>
      <c r="HDB11" t="s">
        <v>5527</v>
      </c>
      <c r="HDC11" t="s">
        <v>5528</v>
      </c>
      <c r="HDD11" t="s">
        <v>5529</v>
      </c>
      <c r="HDE11" t="s">
        <v>5530</v>
      </c>
      <c r="HDF11" t="s">
        <v>5531</v>
      </c>
      <c r="HDG11" t="s">
        <v>5532</v>
      </c>
      <c r="HDH11" t="s">
        <v>5533</v>
      </c>
      <c r="HDI11" t="s">
        <v>5534</v>
      </c>
      <c r="HDJ11" t="s">
        <v>5535</v>
      </c>
      <c r="HDK11" t="s">
        <v>5536</v>
      </c>
      <c r="HDL11" t="s">
        <v>5537</v>
      </c>
      <c r="HDM11" t="s">
        <v>5538</v>
      </c>
      <c r="HDN11" t="s">
        <v>5539</v>
      </c>
      <c r="HDO11" t="s">
        <v>5540</v>
      </c>
      <c r="HDP11" t="s">
        <v>5541</v>
      </c>
      <c r="HDQ11" t="s">
        <v>5542</v>
      </c>
      <c r="HDR11" t="s">
        <v>5543</v>
      </c>
      <c r="HDS11" t="s">
        <v>5544</v>
      </c>
      <c r="HDT11" t="s">
        <v>5545</v>
      </c>
      <c r="HDU11" t="s">
        <v>5546</v>
      </c>
      <c r="HDV11" t="s">
        <v>5547</v>
      </c>
      <c r="HDW11" t="s">
        <v>5548</v>
      </c>
      <c r="HDX11" t="s">
        <v>5549</v>
      </c>
      <c r="HDY11" t="s">
        <v>5550</v>
      </c>
      <c r="HDZ11" t="s">
        <v>5551</v>
      </c>
      <c r="HEA11" t="s">
        <v>5552</v>
      </c>
      <c r="HEB11" t="s">
        <v>5553</v>
      </c>
      <c r="HEC11" t="s">
        <v>5554</v>
      </c>
      <c r="HED11" t="s">
        <v>5555</v>
      </c>
      <c r="HEE11" t="s">
        <v>5556</v>
      </c>
      <c r="HEF11" t="s">
        <v>5557</v>
      </c>
      <c r="HEG11" t="s">
        <v>5558</v>
      </c>
      <c r="HEH11" t="s">
        <v>5559</v>
      </c>
      <c r="HEI11" t="s">
        <v>5560</v>
      </c>
      <c r="HEJ11" t="s">
        <v>5561</v>
      </c>
      <c r="HEK11" t="s">
        <v>5562</v>
      </c>
      <c r="HEL11" t="s">
        <v>5563</v>
      </c>
      <c r="HEM11" t="s">
        <v>5564</v>
      </c>
      <c r="HEN11" t="s">
        <v>5565</v>
      </c>
      <c r="HEO11" t="s">
        <v>5566</v>
      </c>
      <c r="HEP11" t="s">
        <v>5567</v>
      </c>
      <c r="HEQ11" t="s">
        <v>5568</v>
      </c>
      <c r="HER11" t="s">
        <v>5569</v>
      </c>
      <c r="HES11" t="s">
        <v>5570</v>
      </c>
      <c r="HET11" t="s">
        <v>5571</v>
      </c>
      <c r="HEU11" t="s">
        <v>5572</v>
      </c>
      <c r="HEV11" t="s">
        <v>5573</v>
      </c>
      <c r="HEW11" t="s">
        <v>5574</v>
      </c>
      <c r="HEX11" t="s">
        <v>5575</v>
      </c>
      <c r="HEY11" t="s">
        <v>5576</v>
      </c>
      <c r="HEZ11" t="s">
        <v>5577</v>
      </c>
      <c r="HFA11" t="s">
        <v>5578</v>
      </c>
      <c r="HFB11" t="s">
        <v>5579</v>
      </c>
      <c r="HFC11" t="s">
        <v>5580</v>
      </c>
      <c r="HFD11" t="s">
        <v>5581</v>
      </c>
      <c r="HFE11" t="s">
        <v>5582</v>
      </c>
      <c r="HFF11" t="s">
        <v>5583</v>
      </c>
      <c r="HFG11" t="s">
        <v>5584</v>
      </c>
      <c r="HFH11" t="s">
        <v>5585</v>
      </c>
      <c r="HFI11" t="s">
        <v>5586</v>
      </c>
      <c r="HFJ11" t="s">
        <v>5587</v>
      </c>
      <c r="HFK11" t="s">
        <v>5588</v>
      </c>
      <c r="HFL11" t="s">
        <v>5589</v>
      </c>
      <c r="HFM11" t="s">
        <v>5590</v>
      </c>
      <c r="HFN11" t="s">
        <v>5591</v>
      </c>
      <c r="HFO11" t="s">
        <v>5592</v>
      </c>
      <c r="HFP11" t="s">
        <v>5593</v>
      </c>
      <c r="HFQ11" t="s">
        <v>5594</v>
      </c>
      <c r="HFR11" t="s">
        <v>5595</v>
      </c>
      <c r="HFS11" t="s">
        <v>5596</v>
      </c>
      <c r="HFT11" t="s">
        <v>5597</v>
      </c>
      <c r="HFU11" t="s">
        <v>5598</v>
      </c>
      <c r="HFV11" t="s">
        <v>5599</v>
      </c>
      <c r="HFW11" t="s">
        <v>5600</v>
      </c>
      <c r="HFX11" t="s">
        <v>5601</v>
      </c>
      <c r="HFY11" t="s">
        <v>5602</v>
      </c>
      <c r="HFZ11" t="s">
        <v>5603</v>
      </c>
      <c r="HGA11" t="s">
        <v>5604</v>
      </c>
      <c r="HGB11" t="s">
        <v>5605</v>
      </c>
      <c r="HGC11" t="s">
        <v>5606</v>
      </c>
      <c r="HGD11" t="s">
        <v>5607</v>
      </c>
      <c r="HGE11" t="s">
        <v>5608</v>
      </c>
      <c r="HGF11" t="s">
        <v>5609</v>
      </c>
      <c r="HGG11" t="s">
        <v>5610</v>
      </c>
      <c r="HGH11" t="s">
        <v>5611</v>
      </c>
      <c r="HGI11" t="s">
        <v>5612</v>
      </c>
      <c r="HGJ11" t="s">
        <v>5613</v>
      </c>
      <c r="HGK11" t="s">
        <v>5614</v>
      </c>
      <c r="HGL11" t="s">
        <v>5615</v>
      </c>
      <c r="HGM11" t="s">
        <v>5616</v>
      </c>
      <c r="HGN11" t="s">
        <v>5617</v>
      </c>
      <c r="HGO11" t="s">
        <v>5618</v>
      </c>
      <c r="HGP11" t="s">
        <v>5619</v>
      </c>
      <c r="HGQ11" t="s">
        <v>5620</v>
      </c>
      <c r="HGR11" t="s">
        <v>5621</v>
      </c>
      <c r="HGS11" t="s">
        <v>5622</v>
      </c>
      <c r="HGT11" t="s">
        <v>5623</v>
      </c>
      <c r="HGU11" t="s">
        <v>5624</v>
      </c>
      <c r="HGV11" t="s">
        <v>5625</v>
      </c>
      <c r="HGW11" t="s">
        <v>5626</v>
      </c>
      <c r="HGX11" t="s">
        <v>5627</v>
      </c>
      <c r="HGY11" t="s">
        <v>5628</v>
      </c>
      <c r="HGZ11" t="s">
        <v>5629</v>
      </c>
      <c r="HHA11" t="s">
        <v>5630</v>
      </c>
      <c r="HHB11" t="s">
        <v>5631</v>
      </c>
      <c r="HHC11" t="s">
        <v>5632</v>
      </c>
      <c r="HHD11" t="s">
        <v>5633</v>
      </c>
      <c r="HHE11" t="s">
        <v>5634</v>
      </c>
      <c r="HHF11" t="s">
        <v>5635</v>
      </c>
      <c r="HHG11" t="s">
        <v>5636</v>
      </c>
      <c r="HHH11" t="s">
        <v>5637</v>
      </c>
      <c r="HHI11" t="s">
        <v>5638</v>
      </c>
      <c r="HHJ11" t="s">
        <v>5639</v>
      </c>
      <c r="HHK11" t="s">
        <v>5640</v>
      </c>
      <c r="HHL11" t="s">
        <v>5641</v>
      </c>
      <c r="HHM11" t="s">
        <v>5642</v>
      </c>
      <c r="HHN11" t="s">
        <v>5643</v>
      </c>
      <c r="HHO11" t="s">
        <v>5644</v>
      </c>
      <c r="HHP11" t="s">
        <v>5645</v>
      </c>
      <c r="HHQ11" t="s">
        <v>5646</v>
      </c>
      <c r="HHR11" t="s">
        <v>5647</v>
      </c>
      <c r="HHS11" t="s">
        <v>5648</v>
      </c>
      <c r="HHT11" t="s">
        <v>5649</v>
      </c>
      <c r="HHU11" t="s">
        <v>5650</v>
      </c>
      <c r="HHV11" t="s">
        <v>5651</v>
      </c>
      <c r="HHW11" t="s">
        <v>5652</v>
      </c>
      <c r="HHX11" t="s">
        <v>5653</v>
      </c>
      <c r="HHY11" t="s">
        <v>5654</v>
      </c>
      <c r="HHZ11" t="s">
        <v>5655</v>
      </c>
      <c r="HIA11" t="s">
        <v>5656</v>
      </c>
      <c r="HIB11" t="s">
        <v>5657</v>
      </c>
      <c r="HIC11" t="s">
        <v>5658</v>
      </c>
      <c r="HID11" t="s">
        <v>5659</v>
      </c>
      <c r="HIE11" t="s">
        <v>5660</v>
      </c>
      <c r="HIF11" t="s">
        <v>5661</v>
      </c>
      <c r="HIG11" t="s">
        <v>5662</v>
      </c>
      <c r="HIH11" t="s">
        <v>5663</v>
      </c>
      <c r="HII11" t="s">
        <v>5664</v>
      </c>
      <c r="HIJ11" t="s">
        <v>5665</v>
      </c>
      <c r="HIK11" t="s">
        <v>5666</v>
      </c>
      <c r="HIL11" t="s">
        <v>5667</v>
      </c>
      <c r="HIM11" t="s">
        <v>5668</v>
      </c>
      <c r="HIN11" t="s">
        <v>5669</v>
      </c>
      <c r="HIO11" t="s">
        <v>5670</v>
      </c>
      <c r="HIP11" t="s">
        <v>5671</v>
      </c>
      <c r="HIQ11" t="s">
        <v>5672</v>
      </c>
      <c r="HIR11" t="s">
        <v>5673</v>
      </c>
      <c r="HIS11" t="s">
        <v>5674</v>
      </c>
      <c r="HIT11" t="s">
        <v>5675</v>
      </c>
      <c r="HIU11" t="s">
        <v>5676</v>
      </c>
      <c r="HIV11" t="s">
        <v>5677</v>
      </c>
      <c r="HIW11" t="s">
        <v>5678</v>
      </c>
      <c r="HIX11" t="s">
        <v>5679</v>
      </c>
      <c r="HIY11" t="s">
        <v>5680</v>
      </c>
      <c r="HIZ11" t="s">
        <v>5681</v>
      </c>
      <c r="HJA11" t="s">
        <v>5682</v>
      </c>
      <c r="HJB11" t="s">
        <v>5683</v>
      </c>
      <c r="HJC11" t="s">
        <v>5684</v>
      </c>
      <c r="HJD11" t="s">
        <v>5685</v>
      </c>
      <c r="HJE11" t="s">
        <v>5686</v>
      </c>
      <c r="HJF11" t="s">
        <v>5687</v>
      </c>
      <c r="HJG11" t="s">
        <v>5688</v>
      </c>
      <c r="HJH11" t="s">
        <v>5689</v>
      </c>
      <c r="HJI11" t="s">
        <v>5690</v>
      </c>
      <c r="HJJ11" t="s">
        <v>5691</v>
      </c>
      <c r="HJK11" t="s">
        <v>5692</v>
      </c>
      <c r="HJL11" t="s">
        <v>5693</v>
      </c>
      <c r="HJM11" t="s">
        <v>5694</v>
      </c>
      <c r="HJN11" t="s">
        <v>5695</v>
      </c>
      <c r="HJO11" t="s">
        <v>5696</v>
      </c>
      <c r="HJP11" t="s">
        <v>5697</v>
      </c>
      <c r="HJQ11" t="s">
        <v>5698</v>
      </c>
      <c r="HJR11" t="s">
        <v>5699</v>
      </c>
      <c r="HJS11" t="s">
        <v>5700</v>
      </c>
      <c r="HJT11" t="s">
        <v>5701</v>
      </c>
      <c r="HJU11" t="s">
        <v>5702</v>
      </c>
      <c r="HJV11" t="s">
        <v>5703</v>
      </c>
      <c r="HJW11" t="s">
        <v>5704</v>
      </c>
      <c r="HJX11" t="s">
        <v>5705</v>
      </c>
      <c r="HJY11" t="s">
        <v>5706</v>
      </c>
      <c r="HJZ11" t="s">
        <v>5707</v>
      </c>
      <c r="HKA11" t="s">
        <v>5708</v>
      </c>
      <c r="HKB11" t="s">
        <v>5709</v>
      </c>
      <c r="HKC11" t="s">
        <v>5710</v>
      </c>
      <c r="HKD11" t="s">
        <v>5711</v>
      </c>
      <c r="HKE11" t="s">
        <v>5712</v>
      </c>
      <c r="HKF11" t="s">
        <v>5713</v>
      </c>
      <c r="HKG11" t="s">
        <v>5714</v>
      </c>
      <c r="HKH11" t="s">
        <v>5715</v>
      </c>
      <c r="HKI11" t="s">
        <v>5716</v>
      </c>
      <c r="HKJ11" t="s">
        <v>5717</v>
      </c>
      <c r="HKK11" t="s">
        <v>5718</v>
      </c>
      <c r="HKL11" t="s">
        <v>5719</v>
      </c>
      <c r="HKM11" t="s">
        <v>5720</v>
      </c>
      <c r="HKN11" t="s">
        <v>5721</v>
      </c>
      <c r="HKO11" t="s">
        <v>5722</v>
      </c>
      <c r="HKP11" t="s">
        <v>5723</v>
      </c>
      <c r="HKQ11" t="s">
        <v>5724</v>
      </c>
      <c r="HKR11" t="s">
        <v>5725</v>
      </c>
      <c r="HKS11" t="s">
        <v>5726</v>
      </c>
      <c r="HKT11" t="s">
        <v>5727</v>
      </c>
      <c r="HKU11" t="s">
        <v>5728</v>
      </c>
      <c r="HKV11" t="s">
        <v>5729</v>
      </c>
      <c r="HKW11" t="s">
        <v>5730</v>
      </c>
      <c r="HKX11" t="s">
        <v>5731</v>
      </c>
      <c r="HKY11" t="s">
        <v>5732</v>
      </c>
      <c r="HKZ11" t="s">
        <v>5733</v>
      </c>
      <c r="HLA11" t="s">
        <v>5734</v>
      </c>
      <c r="HLB11" t="s">
        <v>5735</v>
      </c>
      <c r="HLC11" t="s">
        <v>5736</v>
      </c>
      <c r="HLD11" t="s">
        <v>5737</v>
      </c>
      <c r="HLE11" t="s">
        <v>5738</v>
      </c>
      <c r="HLF11" t="s">
        <v>5739</v>
      </c>
      <c r="HLG11" t="s">
        <v>5740</v>
      </c>
      <c r="HLH11" t="s">
        <v>5741</v>
      </c>
      <c r="HLI11" t="s">
        <v>5742</v>
      </c>
      <c r="HLJ11" t="s">
        <v>5743</v>
      </c>
      <c r="HLK11" t="s">
        <v>5744</v>
      </c>
      <c r="HLL11" t="s">
        <v>5745</v>
      </c>
      <c r="HLM11" t="s">
        <v>5746</v>
      </c>
      <c r="HLN11" t="s">
        <v>5747</v>
      </c>
      <c r="HLO11" t="s">
        <v>5748</v>
      </c>
      <c r="HLP11" t="s">
        <v>5749</v>
      </c>
      <c r="HLQ11" t="s">
        <v>5750</v>
      </c>
      <c r="HLR11" t="s">
        <v>5751</v>
      </c>
      <c r="HLS11" t="s">
        <v>5752</v>
      </c>
      <c r="HLT11" t="s">
        <v>5753</v>
      </c>
      <c r="HLU11" t="s">
        <v>5754</v>
      </c>
      <c r="HLV11" t="s">
        <v>5755</v>
      </c>
      <c r="HLW11" t="s">
        <v>5756</v>
      </c>
      <c r="HLX11" t="s">
        <v>5757</v>
      </c>
      <c r="HLY11" t="s">
        <v>5758</v>
      </c>
      <c r="HLZ11" t="s">
        <v>5759</v>
      </c>
      <c r="HMA11" t="s">
        <v>5760</v>
      </c>
      <c r="HMB11" t="s">
        <v>5761</v>
      </c>
      <c r="HMC11" t="s">
        <v>5762</v>
      </c>
      <c r="HMD11" t="s">
        <v>5763</v>
      </c>
      <c r="HME11" t="s">
        <v>5764</v>
      </c>
      <c r="HMF11" t="s">
        <v>5765</v>
      </c>
      <c r="HMG11" t="s">
        <v>5766</v>
      </c>
      <c r="HMH11" t="s">
        <v>5767</v>
      </c>
      <c r="HMI11" t="s">
        <v>5768</v>
      </c>
      <c r="HMJ11" t="s">
        <v>5769</v>
      </c>
      <c r="HMK11" t="s">
        <v>5770</v>
      </c>
      <c r="HML11" t="s">
        <v>5771</v>
      </c>
      <c r="HMM11" t="s">
        <v>5772</v>
      </c>
      <c r="HMN11" t="s">
        <v>5773</v>
      </c>
      <c r="HMO11" t="s">
        <v>5774</v>
      </c>
      <c r="HMP11" t="s">
        <v>5775</v>
      </c>
      <c r="HMQ11" t="s">
        <v>5776</v>
      </c>
      <c r="HMR11" t="s">
        <v>5777</v>
      </c>
      <c r="HMS11" t="s">
        <v>5778</v>
      </c>
      <c r="HMT11" t="s">
        <v>5779</v>
      </c>
      <c r="HMU11" t="s">
        <v>5780</v>
      </c>
      <c r="HMV11" t="s">
        <v>5781</v>
      </c>
      <c r="HMW11" t="s">
        <v>5782</v>
      </c>
      <c r="HMX11" t="s">
        <v>5783</v>
      </c>
      <c r="HMY11" t="s">
        <v>5784</v>
      </c>
      <c r="HMZ11" t="s">
        <v>5785</v>
      </c>
      <c r="HNA11" t="s">
        <v>5786</v>
      </c>
      <c r="HNB11" t="s">
        <v>5787</v>
      </c>
      <c r="HNC11" t="s">
        <v>5788</v>
      </c>
      <c r="HND11" t="s">
        <v>5789</v>
      </c>
      <c r="HNE11" t="s">
        <v>5790</v>
      </c>
      <c r="HNF11" t="s">
        <v>5791</v>
      </c>
      <c r="HNG11" t="s">
        <v>5792</v>
      </c>
      <c r="HNH11" t="s">
        <v>5793</v>
      </c>
      <c r="HNI11" t="s">
        <v>5794</v>
      </c>
      <c r="HNJ11" t="s">
        <v>5795</v>
      </c>
      <c r="HNK11" t="s">
        <v>5796</v>
      </c>
      <c r="HNL11" t="s">
        <v>5797</v>
      </c>
      <c r="HNM11" t="s">
        <v>5798</v>
      </c>
      <c r="HNN11" t="s">
        <v>5799</v>
      </c>
      <c r="HNO11" t="s">
        <v>5800</v>
      </c>
      <c r="HNP11" t="s">
        <v>5801</v>
      </c>
      <c r="HNQ11" t="s">
        <v>5802</v>
      </c>
      <c r="HNR11" t="s">
        <v>5803</v>
      </c>
      <c r="HNS11" t="s">
        <v>5804</v>
      </c>
      <c r="HNT11" t="s">
        <v>5805</v>
      </c>
      <c r="HNU11" t="s">
        <v>5806</v>
      </c>
      <c r="HNV11" t="s">
        <v>5807</v>
      </c>
      <c r="HNW11" t="s">
        <v>5808</v>
      </c>
      <c r="HNX11" t="s">
        <v>5809</v>
      </c>
      <c r="HNY11" t="s">
        <v>5810</v>
      </c>
      <c r="HNZ11" t="s">
        <v>5811</v>
      </c>
      <c r="HOA11" t="s">
        <v>5812</v>
      </c>
      <c r="HOB11" t="s">
        <v>5813</v>
      </c>
      <c r="HOC11" t="s">
        <v>5814</v>
      </c>
      <c r="HOD11" t="s">
        <v>5815</v>
      </c>
      <c r="HOE11" t="s">
        <v>5816</v>
      </c>
      <c r="HOF11" t="s">
        <v>5817</v>
      </c>
      <c r="HOG11" t="s">
        <v>5818</v>
      </c>
      <c r="HOH11" t="s">
        <v>5819</v>
      </c>
      <c r="HOI11" t="s">
        <v>5820</v>
      </c>
      <c r="HOJ11" t="s">
        <v>5821</v>
      </c>
      <c r="HOK11" t="s">
        <v>5822</v>
      </c>
      <c r="HOL11" t="s">
        <v>5823</v>
      </c>
      <c r="HOM11" t="s">
        <v>5824</v>
      </c>
      <c r="HON11" t="s">
        <v>5825</v>
      </c>
      <c r="HOO11" t="s">
        <v>5826</v>
      </c>
      <c r="HOP11" t="s">
        <v>5827</v>
      </c>
      <c r="HOQ11" t="s">
        <v>5828</v>
      </c>
      <c r="HOR11" t="s">
        <v>5829</v>
      </c>
      <c r="HOS11" t="s">
        <v>5830</v>
      </c>
      <c r="HOT11" t="s">
        <v>5831</v>
      </c>
      <c r="HOU11" t="s">
        <v>5832</v>
      </c>
      <c r="HOV11" t="s">
        <v>5833</v>
      </c>
      <c r="HOW11" t="s">
        <v>5834</v>
      </c>
      <c r="HOX11" t="s">
        <v>5835</v>
      </c>
      <c r="HOY11" t="s">
        <v>5836</v>
      </c>
      <c r="HOZ11" t="s">
        <v>5837</v>
      </c>
      <c r="HPA11" t="s">
        <v>5838</v>
      </c>
      <c r="HPB11" t="s">
        <v>5839</v>
      </c>
      <c r="HPC11" t="s">
        <v>5840</v>
      </c>
      <c r="HPD11" t="s">
        <v>5841</v>
      </c>
      <c r="HPE11" t="s">
        <v>5842</v>
      </c>
      <c r="HPF11" t="s">
        <v>5843</v>
      </c>
      <c r="HPG11" t="s">
        <v>5844</v>
      </c>
      <c r="HPH11" t="s">
        <v>5845</v>
      </c>
      <c r="HPI11" t="s">
        <v>5846</v>
      </c>
      <c r="HPJ11" t="s">
        <v>5847</v>
      </c>
      <c r="HPK11" t="s">
        <v>5848</v>
      </c>
      <c r="HPL11" t="s">
        <v>5849</v>
      </c>
      <c r="HPM11" t="s">
        <v>5850</v>
      </c>
      <c r="HPN11" t="s">
        <v>5851</v>
      </c>
      <c r="HPO11" t="s">
        <v>5852</v>
      </c>
      <c r="HPP11" t="s">
        <v>5853</v>
      </c>
      <c r="HPQ11" t="s">
        <v>5854</v>
      </c>
      <c r="HPR11" t="s">
        <v>5855</v>
      </c>
      <c r="HPS11" t="s">
        <v>5856</v>
      </c>
      <c r="HPT11" t="s">
        <v>5857</v>
      </c>
      <c r="HPU11" t="s">
        <v>5858</v>
      </c>
      <c r="HPV11" t="s">
        <v>5859</v>
      </c>
      <c r="HPW11" t="s">
        <v>5860</v>
      </c>
      <c r="HPX11" t="s">
        <v>5861</v>
      </c>
      <c r="HPY11" t="s">
        <v>5862</v>
      </c>
      <c r="HPZ11" t="s">
        <v>5863</v>
      </c>
      <c r="HQA11" t="s">
        <v>5864</v>
      </c>
      <c r="HQB11" t="s">
        <v>5865</v>
      </c>
      <c r="HQC11" t="s">
        <v>5866</v>
      </c>
      <c r="HQD11" t="s">
        <v>5867</v>
      </c>
      <c r="HQE11" t="s">
        <v>5868</v>
      </c>
      <c r="HQF11" t="s">
        <v>5869</v>
      </c>
      <c r="HQG11" t="s">
        <v>5870</v>
      </c>
      <c r="HQH11" t="s">
        <v>5871</v>
      </c>
      <c r="HQI11" t="s">
        <v>5872</v>
      </c>
      <c r="HQJ11" t="s">
        <v>5873</v>
      </c>
      <c r="HQK11" t="s">
        <v>5874</v>
      </c>
      <c r="HQL11" t="s">
        <v>5875</v>
      </c>
      <c r="HQM11" t="s">
        <v>5876</v>
      </c>
      <c r="HQN11" t="s">
        <v>5877</v>
      </c>
      <c r="HQO11" t="s">
        <v>5878</v>
      </c>
      <c r="HQP11" t="s">
        <v>5879</v>
      </c>
      <c r="HQQ11" t="s">
        <v>5880</v>
      </c>
      <c r="HQR11" t="s">
        <v>5881</v>
      </c>
      <c r="HQS11" t="s">
        <v>5882</v>
      </c>
      <c r="HQT11" t="s">
        <v>5883</v>
      </c>
      <c r="HQU11" t="s">
        <v>5884</v>
      </c>
      <c r="HQV11" t="s">
        <v>5885</v>
      </c>
      <c r="HQW11" t="s">
        <v>5886</v>
      </c>
      <c r="HQX11" t="s">
        <v>5887</v>
      </c>
      <c r="HQY11" t="s">
        <v>5888</v>
      </c>
      <c r="HQZ11" t="s">
        <v>5889</v>
      </c>
      <c r="HRA11" t="s">
        <v>5890</v>
      </c>
      <c r="HRB11" t="s">
        <v>5891</v>
      </c>
      <c r="HRC11" t="s">
        <v>5892</v>
      </c>
      <c r="HRD11" t="s">
        <v>5893</v>
      </c>
      <c r="HRE11" t="s">
        <v>5894</v>
      </c>
      <c r="HRF11" t="s">
        <v>5895</v>
      </c>
      <c r="HRG11" t="s">
        <v>5896</v>
      </c>
      <c r="HRH11" t="s">
        <v>5897</v>
      </c>
      <c r="HRI11" t="s">
        <v>5898</v>
      </c>
      <c r="HRJ11" t="s">
        <v>5899</v>
      </c>
      <c r="HRK11" t="s">
        <v>5900</v>
      </c>
      <c r="HRL11" t="s">
        <v>5901</v>
      </c>
      <c r="HRM11" t="s">
        <v>5902</v>
      </c>
      <c r="HRN11" t="s">
        <v>5903</v>
      </c>
      <c r="HRO11" t="s">
        <v>5904</v>
      </c>
      <c r="HRP11" t="s">
        <v>5905</v>
      </c>
      <c r="HRQ11" t="s">
        <v>5906</v>
      </c>
      <c r="HRR11" t="s">
        <v>5907</v>
      </c>
      <c r="HRS11" t="s">
        <v>5908</v>
      </c>
      <c r="HRT11" t="s">
        <v>5909</v>
      </c>
      <c r="HRU11" t="s">
        <v>5910</v>
      </c>
      <c r="HRV11" t="s">
        <v>5911</v>
      </c>
      <c r="HRW11" t="s">
        <v>5912</v>
      </c>
      <c r="HRX11" t="s">
        <v>5913</v>
      </c>
      <c r="HRY11" t="s">
        <v>5914</v>
      </c>
      <c r="HRZ11" t="s">
        <v>5915</v>
      </c>
      <c r="HSA11" t="s">
        <v>5916</v>
      </c>
      <c r="HSB11" t="s">
        <v>5917</v>
      </c>
      <c r="HSC11" t="s">
        <v>5918</v>
      </c>
      <c r="HSD11" t="s">
        <v>5919</v>
      </c>
      <c r="HSE11" t="s">
        <v>5920</v>
      </c>
      <c r="HSF11" t="s">
        <v>5921</v>
      </c>
      <c r="HSG11" t="s">
        <v>5922</v>
      </c>
      <c r="HSH11" t="s">
        <v>5923</v>
      </c>
      <c r="HSI11" t="s">
        <v>5924</v>
      </c>
      <c r="HSJ11" t="s">
        <v>5925</v>
      </c>
      <c r="HSK11" t="s">
        <v>5926</v>
      </c>
      <c r="HSL11" t="s">
        <v>5927</v>
      </c>
      <c r="HSM11" t="s">
        <v>5928</v>
      </c>
      <c r="HSN11" t="s">
        <v>5929</v>
      </c>
      <c r="HSO11" t="s">
        <v>5930</v>
      </c>
      <c r="HSP11" t="s">
        <v>5931</v>
      </c>
      <c r="HSQ11" t="s">
        <v>5932</v>
      </c>
      <c r="HSR11" t="s">
        <v>5933</v>
      </c>
      <c r="HSS11" t="s">
        <v>5934</v>
      </c>
      <c r="HST11" t="s">
        <v>5935</v>
      </c>
      <c r="HSU11" t="s">
        <v>5936</v>
      </c>
      <c r="HSV11" t="s">
        <v>5937</v>
      </c>
      <c r="HSW11" t="s">
        <v>5938</v>
      </c>
      <c r="HSX11" t="s">
        <v>5939</v>
      </c>
      <c r="HSY11" t="s">
        <v>5940</v>
      </c>
      <c r="HSZ11" t="s">
        <v>5941</v>
      </c>
      <c r="HTA11" t="s">
        <v>5942</v>
      </c>
      <c r="HTB11" t="s">
        <v>5943</v>
      </c>
      <c r="HTC11" t="s">
        <v>5944</v>
      </c>
      <c r="HTD11" t="s">
        <v>5945</v>
      </c>
      <c r="HTE11" t="s">
        <v>5946</v>
      </c>
      <c r="HTF11" t="s">
        <v>5947</v>
      </c>
      <c r="HTG11" t="s">
        <v>5948</v>
      </c>
      <c r="HTH11" t="s">
        <v>5949</v>
      </c>
      <c r="HTI11" t="s">
        <v>5950</v>
      </c>
      <c r="HTJ11" t="s">
        <v>5951</v>
      </c>
      <c r="HTK11" t="s">
        <v>5952</v>
      </c>
      <c r="HTL11" t="s">
        <v>5953</v>
      </c>
      <c r="HTM11" t="s">
        <v>5954</v>
      </c>
      <c r="HTN11" t="s">
        <v>5955</v>
      </c>
      <c r="HTO11" t="s">
        <v>5956</v>
      </c>
      <c r="HTP11" t="s">
        <v>5957</v>
      </c>
      <c r="HTQ11" t="s">
        <v>5958</v>
      </c>
      <c r="HTR11" t="s">
        <v>5959</v>
      </c>
      <c r="HTS11" t="s">
        <v>5960</v>
      </c>
      <c r="HTT11" t="s">
        <v>5961</v>
      </c>
      <c r="HTU11" t="s">
        <v>5962</v>
      </c>
      <c r="HTV11" t="s">
        <v>5963</v>
      </c>
      <c r="HTW11" t="s">
        <v>5964</v>
      </c>
      <c r="HTX11" t="s">
        <v>5965</v>
      </c>
      <c r="HTY11" t="s">
        <v>5966</v>
      </c>
      <c r="HTZ11" t="s">
        <v>5967</v>
      </c>
      <c r="HUA11" t="s">
        <v>5968</v>
      </c>
      <c r="HUB11" t="s">
        <v>5969</v>
      </c>
      <c r="HUC11" t="s">
        <v>5970</v>
      </c>
      <c r="HUD11" t="s">
        <v>5971</v>
      </c>
      <c r="HUE11" t="s">
        <v>5972</v>
      </c>
      <c r="HUF11" t="s">
        <v>5973</v>
      </c>
      <c r="HUG11" t="s">
        <v>5974</v>
      </c>
      <c r="HUH11" t="s">
        <v>5975</v>
      </c>
      <c r="HUI11" t="s">
        <v>5976</v>
      </c>
      <c r="HUJ11" t="s">
        <v>5977</v>
      </c>
      <c r="HUK11" t="s">
        <v>5978</v>
      </c>
      <c r="HUL11" t="s">
        <v>5979</v>
      </c>
      <c r="HUM11" t="s">
        <v>5980</v>
      </c>
      <c r="HUN11" t="s">
        <v>5981</v>
      </c>
      <c r="HUO11" t="s">
        <v>5982</v>
      </c>
      <c r="HUP11" t="s">
        <v>5983</v>
      </c>
      <c r="HUQ11" t="s">
        <v>5984</v>
      </c>
      <c r="HUR11" t="s">
        <v>5985</v>
      </c>
      <c r="HUS11" t="s">
        <v>5986</v>
      </c>
      <c r="HUT11" t="s">
        <v>5987</v>
      </c>
      <c r="HUU11" t="s">
        <v>5988</v>
      </c>
      <c r="HUV11" t="s">
        <v>5989</v>
      </c>
      <c r="HUW11" t="s">
        <v>5990</v>
      </c>
      <c r="HUX11" t="s">
        <v>5991</v>
      </c>
      <c r="HUY11" t="s">
        <v>5992</v>
      </c>
      <c r="HUZ11" t="s">
        <v>5993</v>
      </c>
      <c r="HVA11" t="s">
        <v>5994</v>
      </c>
      <c r="HVB11" t="s">
        <v>5995</v>
      </c>
      <c r="HVC11" t="s">
        <v>5996</v>
      </c>
      <c r="HVD11" t="s">
        <v>5997</v>
      </c>
      <c r="HVE11" t="s">
        <v>5998</v>
      </c>
      <c r="HVF11" t="s">
        <v>5999</v>
      </c>
      <c r="HVG11" t="s">
        <v>6000</v>
      </c>
      <c r="HVH11" t="s">
        <v>6001</v>
      </c>
      <c r="HVI11" t="s">
        <v>6002</v>
      </c>
      <c r="HVJ11" t="s">
        <v>6003</v>
      </c>
      <c r="HVK11" t="s">
        <v>6004</v>
      </c>
      <c r="HVL11" t="s">
        <v>6005</v>
      </c>
      <c r="HVM11" t="s">
        <v>6006</v>
      </c>
      <c r="HVN11" t="s">
        <v>6007</v>
      </c>
      <c r="HVO11" t="s">
        <v>6008</v>
      </c>
      <c r="HVP11" t="s">
        <v>6009</v>
      </c>
      <c r="HVQ11" t="s">
        <v>6010</v>
      </c>
      <c r="HVR11" t="s">
        <v>6011</v>
      </c>
      <c r="HVS11" t="s">
        <v>6012</v>
      </c>
      <c r="HVT11" t="s">
        <v>6013</v>
      </c>
      <c r="HVU11" t="s">
        <v>6014</v>
      </c>
      <c r="HVV11" t="s">
        <v>6015</v>
      </c>
      <c r="HVW11" t="s">
        <v>6016</v>
      </c>
      <c r="HVX11" t="s">
        <v>6017</v>
      </c>
      <c r="HVY11" t="s">
        <v>6018</v>
      </c>
      <c r="HVZ11" t="s">
        <v>6019</v>
      </c>
      <c r="HWA11" t="s">
        <v>6020</v>
      </c>
      <c r="HWB11" t="s">
        <v>6021</v>
      </c>
      <c r="HWC11" t="s">
        <v>6022</v>
      </c>
      <c r="HWD11" t="s">
        <v>6023</v>
      </c>
      <c r="HWE11" t="s">
        <v>6024</v>
      </c>
      <c r="HWF11" t="s">
        <v>6025</v>
      </c>
      <c r="HWG11" t="s">
        <v>6026</v>
      </c>
      <c r="HWH11" t="s">
        <v>6027</v>
      </c>
      <c r="HWI11" t="s">
        <v>6028</v>
      </c>
      <c r="HWJ11" t="s">
        <v>6029</v>
      </c>
      <c r="HWK11" t="s">
        <v>6030</v>
      </c>
      <c r="HWL11" t="s">
        <v>6031</v>
      </c>
      <c r="HWM11" t="s">
        <v>6032</v>
      </c>
      <c r="HWN11" t="s">
        <v>6033</v>
      </c>
      <c r="HWO11" t="s">
        <v>6034</v>
      </c>
      <c r="HWP11" t="s">
        <v>6035</v>
      </c>
      <c r="HWQ11" t="s">
        <v>6036</v>
      </c>
      <c r="HWR11" t="s">
        <v>6037</v>
      </c>
      <c r="HWS11" t="s">
        <v>6038</v>
      </c>
      <c r="HWT11" t="s">
        <v>6039</v>
      </c>
      <c r="HWU11" t="s">
        <v>6040</v>
      </c>
      <c r="HWV11" t="s">
        <v>6041</v>
      </c>
      <c r="HWW11" t="s">
        <v>6042</v>
      </c>
      <c r="HWX11" t="s">
        <v>6043</v>
      </c>
      <c r="HWY11" t="s">
        <v>6044</v>
      </c>
      <c r="HWZ11" t="s">
        <v>6045</v>
      </c>
      <c r="HXA11" t="s">
        <v>6046</v>
      </c>
      <c r="HXB11" t="s">
        <v>6047</v>
      </c>
      <c r="HXC11" t="s">
        <v>6048</v>
      </c>
      <c r="HXD11" t="s">
        <v>6049</v>
      </c>
      <c r="HXE11" t="s">
        <v>6050</v>
      </c>
      <c r="HXF11" t="s">
        <v>6051</v>
      </c>
      <c r="HXG11" t="s">
        <v>6052</v>
      </c>
      <c r="HXH11" t="s">
        <v>6053</v>
      </c>
      <c r="HXI11" t="s">
        <v>6054</v>
      </c>
      <c r="HXJ11" t="s">
        <v>6055</v>
      </c>
      <c r="HXK11" t="s">
        <v>6056</v>
      </c>
      <c r="HXL11" t="s">
        <v>6057</v>
      </c>
      <c r="HXM11" t="s">
        <v>6058</v>
      </c>
      <c r="HXN11" t="s">
        <v>6059</v>
      </c>
      <c r="HXO11" t="s">
        <v>6060</v>
      </c>
      <c r="HXP11" t="s">
        <v>6061</v>
      </c>
      <c r="HXQ11" t="s">
        <v>6062</v>
      </c>
      <c r="HXR11" t="s">
        <v>6063</v>
      </c>
      <c r="HXS11" t="s">
        <v>6064</v>
      </c>
      <c r="HXT11" t="s">
        <v>6065</v>
      </c>
      <c r="HXU11" t="s">
        <v>6066</v>
      </c>
      <c r="HXV11" t="s">
        <v>6067</v>
      </c>
      <c r="HXW11" t="s">
        <v>6068</v>
      </c>
      <c r="HXX11" t="s">
        <v>6069</v>
      </c>
      <c r="HXY11" t="s">
        <v>6070</v>
      </c>
      <c r="HXZ11" t="s">
        <v>6071</v>
      </c>
      <c r="HYA11" t="s">
        <v>6072</v>
      </c>
      <c r="HYB11" t="s">
        <v>6073</v>
      </c>
      <c r="HYC11" t="s">
        <v>6074</v>
      </c>
      <c r="HYD11" t="s">
        <v>6075</v>
      </c>
      <c r="HYE11" t="s">
        <v>6076</v>
      </c>
      <c r="HYF11" t="s">
        <v>6077</v>
      </c>
      <c r="HYG11" t="s">
        <v>6078</v>
      </c>
      <c r="HYH11" t="s">
        <v>6079</v>
      </c>
      <c r="HYI11" t="s">
        <v>6080</v>
      </c>
      <c r="HYJ11" t="s">
        <v>6081</v>
      </c>
      <c r="HYK11" t="s">
        <v>6082</v>
      </c>
      <c r="HYL11" t="s">
        <v>6083</v>
      </c>
      <c r="HYM11" t="s">
        <v>6084</v>
      </c>
      <c r="HYN11" t="s">
        <v>6085</v>
      </c>
      <c r="HYO11" t="s">
        <v>6086</v>
      </c>
      <c r="HYP11" t="s">
        <v>6087</v>
      </c>
      <c r="HYQ11" t="s">
        <v>6088</v>
      </c>
      <c r="HYR11" t="s">
        <v>6089</v>
      </c>
      <c r="HYS11" t="s">
        <v>6090</v>
      </c>
      <c r="HYT11" t="s">
        <v>6091</v>
      </c>
      <c r="HYU11" t="s">
        <v>6092</v>
      </c>
      <c r="HYV11" t="s">
        <v>6093</v>
      </c>
      <c r="HYW11" t="s">
        <v>6094</v>
      </c>
      <c r="HYX11" t="s">
        <v>6095</v>
      </c>
      <c r="HYY11" t="s">
        <v>6096</v>
      </c>
      <c r="HYZ11" t="s">
        <v>6097</v>
      </c>
      <c r="HZA11" t="s">
        <v>6098</v>
      </c>
      <c r="HZB11" t="s">
        <v>6099</v>
      </c>
      <c r="HZC11" t="s">
        <v>6100</v>
      </c>
      <c r="HZD11" t="s">
        <v>6101</v>
      </c>
      <c r="HZE11" t="s">
        <v>6102</v>
      </c>
      <c r="HZF11" t="s">
        <v>6103</v>
      </c>
      <c r="HZG11" t="s">
        <v>6104</v>
      </c>
      <c r="HZH11" t="s">
        <v>6105</v>
      </c>
      <c r="HZI11" t="s">
        <v>6106</v>
      </c>
      <c r="HZJ11" t="s">
        <v>6107</v>
      </c>
      <c r="HZK11" t="s">
        <v>6108</v>
      </c>
      <c r="HZL11" t="s">
        <v>6109</v>
      </c>
      <c r="HZM11" t="s">
        <v>6110</v>
      </c>
      <c r="HZN11" t="s">
        <v>6111</v>
      </c>
      <c r="HZO11" t="s">
        <v>6112</v>
      </c>
      <c r="HZP11" t="s">
        <v>6113</v>
      </c>
      <c r="HZQ11" t="s">
        <v>6114</v>
      </c>
      <c r="HZR11" t="s">
        <v>6115</v>
      </c>
      <c r="HZS11" t="s">
        <v>6116</v>
      </c>
      <c r="HZT11" t="s">
        <v>6117</v>
      </c>
      <c r="HZU11" t="s">
        <v>6118</v>
      </c>
      <c r="HZV11" t="s">
        <v>6119</v>
      </c>
      <c r="HZW11" t="s">
        <v>6120</v>
      </c>
      <c r="HZX11" t="s">
        <v>6121</v>
      </c>
      <c r="HZY11" t="s">
        <v>6122</v>
      </c>
      <c r="HZZ11" t="s">
        <v>6123</v>
      </c>
      <c r="IAA11" t="s">
        <v>6124</v>
      </c>
      <c r="IAB11" t="s">
        <v>6125</v>
      </c>
      <c r="IAC11" t="s">
        <v>6126</v>
      </c>
      <c r="IAD11" t="s">
        <v>6127</v>
      </c>
      <c r="IAE11" t="s">
        <v>6128</v>
      </c>
      <c r="IAF11" t="s">
        <v>6129</v>
      </c>
      <c r="IAG11" t="s">
        <v>6130</v>
      </c>
      <c r="IAH11" t="s">
        <v>6131</v>
      </c>
      <c r="IAI11" t="s">
        <v>6132</v>
      </c>
      <c r="IAJ11" t="s">
        <v>6133</v>
      </c>
      <c r="IAK11" t="s">
        <v>6134</v>
      </c>
      <c r="IAL11" t="s">
        <v>6135</v>
      </c>
      <c r="IAM11" t="s">
        <v>6136</v>
      </c>
      <c r="IAN11" t="s">
        <v>6137</v>
      </c>
      <c r="IAO11" t="s">
        <v>6138</v>
      </c>
      <c r="IAP11" t="s">
        <v>6139</v>
      </c>
      <c r="IAQ11" t="s">
        <v>6140</v>
      </c>
      <c r="IAR11" t="s">
        <v>6141</v>
      </c>
      <c r="IAS11" t="s">
        <v>6142</v>
      </c>
      <c r="IAT11" t="s">
        <v>6143</v>
      </c>
      <c r="IAU11" t="s">
        <v>6144</v>
      </c>
      <c r="IAV11" t="s">
        <v>6145</v>
      </c>
      <c r="IAW11" t="s">
        <v>6146</v>
      </c>
      <c r="IAX11" t="s">
        <v>6147</v>
      </c>
      <c r="IAY11" t="s">
        <v>6148</v>
      </c>
      <c r="IAZ11" t="s">
        <v>6149</v>
      </c>
      <c r="IBA11" t="s">
        <v>6150</v>
      </c>
      <c r="IBB11" t="s">
        <v>6151</v>
      </c>
      <c r="IBC11" t="s">
        <v>6152</v>
      </c>
      <c r="IBD11" t="s">
        <v>6153</v>
      </c>
      <c r="IBE11" t="s">
        <v>6154</v>
      </c>
      <c r="IBF11" t="s">
        <v>6155</v>
      </c>
      <c r="IBG11" t="s">
        <v>6156</v>
      </c>
      <c r="IBH11" t="s">
        <v>6157</v>
      </c>
      <c r="IBI11" t="s">
        <v>6158</v>
      </c>
      <c r="IBJ11" t="s">
        <v>6159</v>
      </c>
      <c r="IBK11" t="s">
        <v>6160</v>
      </c>
      <c r="IBL11" t="s">
        <v>6161</v>
      </c>
      <c r="IBM11" t="s">
        <v>6162</v>
      </c>
      <c r="IBN11" t="s">
        <v>6163</v>
      </c>
      <c r="IBO11" t="s">
        <v>6164</v>
      </c>
      <c r="IBP11" t="s">
        <v>6165</v>
      </c>
      <c r="IBQ11" t="s">
        <v>6166</v>
      </c>
      <c r="IBR11" t="s">
        <v>6167</v>
      </c>
      <c r="IBS11" t="s">
        <v>6168</v>
      </c>
      <c r="IBT11" t="s">
        <v>6169</v>
      </c>
      <c r="IBU11" t="s">
        <v>6170</v>
      </c>
      <c r="IBV11" t="s">
        <v>6171</v>
      </c>
      <c r="IBW11" t="s">
        <v>6172</v>
      </c>
      <c r="IBX11" t="s">
        <v>6173</v>
      </c>
      <c r="IBY11" t="s">
        <v>6174</v>
      </c>
      <c r="IBZ11" t="s">
        <v>6175</v>
      </c>
      <c r="ICA11" t="s">
        <v>6176</v>
      </c>
      <c r="ICB11" t="s">
        <v>6177</v>
      </c>
      <c r="ICC11" t="s">
        <v>6178</v>
      </c>
      <c r="ICD11" t="s">
        <v>6179</v>
      </c>
      <c r="ICE11" t="s">
        <v>6180</v>
      </c>
      <c r="ICF11" t="s">
        <v>6181</v>
      </c>
      <c r="ICG11" t="s">
        <v>6182</v>
      </c>
      <c r="ICH11" t="s">
        <v>6183</v>
      </c>
      <c r="ICI11" t="s">
        <v>6184</v>
      </c>
      <c r="ICJ11" t="s">
        <v>6185</v>
      </c>
      <c r="ICK11" t="s">
        <v>6186</v>
      </c>
      <c r="ICL11" t="s">
        <v>6187</v>
      </c>
      <c r="ICM11" t="s">
        <v>6188</v>
      </c>
      <c r="ICN11" t="s">
        <v>6189</v>
      </c>
      <c r="ICO11" t="s">
        <v>6190</v>
      </c>
      <c r="ICP11" t="s">
        <v>6191</v>
      </c>
      <c r="ICQ11" t="s">
        <v>6192</v>
      </c>
      <c r="ICR11" t="s">
        <v>6193</v>
      </c>
      <c r="ICS11" t="s">
        <v>6194</v>
      </c>
      <c r="ICT11" t="s">
        <v>6195</v>
      </c>
      <c r="ICU11" t="s">
        <v>6196</v>
      </c>
      <c r="ICV11" t="s">
        <v>6197</v>
      </c>
      <c r="ICW11" t="s">
        <v>6198</v>
      </c>
      <c r="ICX11" t="s">
        <v>6199</v>
      </c>
      <c r="ICY11" t="s">
        <v>6200</v>
      </c>
      <c r="ICZ11" t="s">
        <v>6201</v>
      </c>
      <c r="IDA11" t="s">
        <v>6202</v>
      </c>
      <c r="IDB11" t="s">
        <v>6203</v>
      </c>
      <c r="IDC11" t="s">
        <v>6204</v>
      </c>
      <c r="IDD11" t="s">
        <v>6205</v>
      </c>
      <c r="IDE11" t="s">
        <v>6206</v>
      </c>
      <c r="IDF11" t="s">
        <v>6207</v>
      </c>
      <c r="IDG11" t="s">
        <v>6208</v>
      </c>
      <c r="IDH11" t="s">
        <v>6209</v>
      </c>
      <c r="IDI11" t="s">
        <v>6210</v>
      </c>
      <c r="IDJ11" t="s">
        <v>6211</v>
      </c>
      <c r="IDK11" t="s">
        <v>6212</v>
      </c>
      <c r="IDL11" t="s">
        <v>6213</v>
      </c>
      <c r="IDM11" t="s">
        <v>6214</v>
      </c>
      <c r="IDN11" t="s">
        <v>6215</v>
      </c>
      <c r="IDO11" t="s">
        <v>6216</v>
      </c>
      <c r="IDP11" t="s">
        <v>6217</v>
      </c>
      <c r="IDQ11" t="s">
        <v>6218</v>
      </c>
      <c r="IDR11" t="s">
        <v>6219</v>
      </c>
      <c r="IDS11" t="s">
        <v>6220</v>
      </c>
      <c r="IDT11" t="s">
        <v>6221</v>
      </c>
      <c r="IDU11" t="s">
        <v>6222</v>
      </c>
      <c r="IDV11" t="s">
        <v>6223</v>
      </c>
      <c r="IDW11" t="s">
        <v>6224</v>
      </c>
      <c r="IDX11" t="s">
        <v>6225</v>
      </c>
      <c r="IDY11" t="s">
        <v>6226</v>
      </c>
      <c r="IDZ11" t="s">
        <v>6227</v>
      </c>
      <c r="IEA11" t="s">
        <v>6228</v>
      </c>
      <c r="IEB11" t="s">
        <v>6229</v>
      </c>
      <c r="IEC11" t="s">
        <v>6230</v>
      </c>
      <c r="IED11" t="s">
        <v>6231</v>
      </c>
      <c r="IEE11" t="s">
        <v>6232</v>
      </c>
      <c r="IEF11" t="s">
        <v>6233</v>
      </c>
      <c r="IEG11" t="s">
        <v>6234</v>
      </c>
      <c r="IEH11" t="s">
        <v>6235</v>
      </c>
      <c r="IEI11" t="s">
        <v>6236</v>
      </c>
      <c r="IEJ11" t="s">
        <v>6237</v>
      </c>
      <c r="IEK11" t="s">
        <v>6238</v>
      </c>
      <c r="IEL11" t="s">
        <v>6239</v>
      </c>
      <c r="IEM11" t="s">
        <v>6240</v>
      </c>
      <c r="IEN11" t="s">
        <v>6241</v>
      </c>
      <c r="IEO11" t="s">
        <v>6242</v>
      </c>
      <c r="IEP11" t="s">
        <v>6243</v>
      </c>
      <c r="IEQ11" t="s">
        <v>6244</v>
      </c>
      <c r="IER11" t="s">
        <v>6245</v>
      </c>
      <c r="IES11" t="s">
        <v>6246</v>
      </c>
      <c r="IET11" t="s">
        <v>6247</v>
      </c>
      <c r="IEU11" t="s">
        <v>6248</v>
      </c>
      <c r="IEV11" t="s">
        <v>6249</v>
      </c>
      <c r="IEW11" t="s">
        <v>6250</v>
      </c>
      <c r="IEX11" t="s">
        <v>6251</v>
      </c>
      <c r="IEY11" t="s">
        <v>6252</v>
      </c>
      <c r="IEZ11" t="s">
        <v>6253</v>
      </c>
      <c r="IFA11" t="s">
        <v>6254</v>
      </c>
      <c r="IFB11" t="s">
        <v>6255</v>
      </c>
      <c r="IFC11" t="s">
        <v>6256</v>
      </c>
      <c r="IFD11" t="s">
        <v>6257</v>
      </c>
      <c r="IFE11" t="s">
        <v>6258</v>
      </c>
      <c r="IFF11" t="s">
        <v>6259</v>
      </c>
      <c r="IFG11" t="s">
        <v>6260</v>
      </c>
      <c r="IFH11" t="s">
        <v>6261</v>
      </c>
      <c r="IFI11" t="s">
        <v>6262</v>
      </c>
      <c r="IFJ11" t="s">
        <v>6263</v>
      </c>
      <c r="IFK11" t="s">
        <v>6264</v>
      </c>
      <c r="IFL11" t="s">
        <v>6265</v>
      </c>
      <c r="IFM11" t="s">
        <v>6266</v>
      </c>
      <c r="IFN11" t="s">
        <v>6267</v>
      </c>
      <c r="IFO11" t="s">
        <v>6268</v>
      </c>
      <c r="IFP11" t="s">
        <v>6269</v>
      </c>
      <c r="IFQ11" t="s">
        <v>6270</v>
      </c>
      <c r="IFR11" t="s">
        <v>6271</v>
      </c>
      <c r="IFS11" t="s">
        <v>6272</v>
      </c>
      <c r="IFT11" t="s">
        <v>6273</v>
      </c>
      <c r="IFU11" t="s">
        <v>6274</v>
      </c>
      <c r="IFV11" t="s">
        <v>6275</v>
      </c>
      <c r="IFW11" t="s">
        <v>6276</v>
      </c>
      <c r="IFX11" t="s">
        <v>6277</v>
      </c>
      <c r="IFY11" t="s">
        <v>6278</v>
      </c>
      <c r="IFZ11" t="s">
        <v>6279</v>
      </c>
      <c r="IGA11" t="s">
        <v>6280</v>
      </c>
      <c r="IGB11" t="s">
        <v>6281</v>
      </c>
      <c r="IGC11" t="s">
        <v>6282</v>
      </c>
      <c r="IGD11" t="s">
        <v>6283</v>
      </c>
      <c r="IGE11" t="s">
        <v>6284</v>
      </c>
      <c r="IGF11" t="s">
        <v>6285</v>
      </c>
      <c r="IGG11" t="s">
        <v>6286</v>
      </c>
      <c r="IGH11" t="s">
        <v>6287</v>
      </c>
      <c r="IGI11" t="s">
        <v>6288</v>
      </c>
      <c r="IGJ11" t="s">
        <v>6289</v>
      </c>
      <c r="IGK11" t="s">
        <v>6290</v>
      </c>
      <c r="IGL11" t="s">
        <v>6291</v>
      </c>
      <c r="IGM11" t="s">
        <v>6292</v>
      </c>
      <c r="IGN11" t="s">
        <v>6293</v>
      </c>
      <c r="IGO11" t="s">
        <v>6294</v>
      </c>
      <c r="IGP11" t="s">
        <v>6295</v>
      </c>
      <c r="IGQ11" t="s">
        <v>6296</v>
      </c>
      <c r="IGR11" t="s">
        <v>6297</v>
      </c>
      <c r="IGS11" t="s">
        <v>6298</v>
      </c>
      <c r="IGT11" t="s">
        <v>6299</v>
      </c>
      <c r="IGU11" t="s">
        <v>6300</v>
      </c>
      <c r="IGV11" t="s">
        <v>6301</v>
      </c>
      <c r="IGW11" t="s">
        <v>6302</v>
      </c>
      <c r="IGX11" t="s">
        <v>6303</v>
      </c>
      <c r="IGY11" t="s">
        <v>6304</v>
      </c>
      <c r="IGZ11" t="s">
        <v>6305</v>
      </c>
      <c r="IHA11" t="s">
        <v>6306</v>
      </c>
      <c r="IHB11" t="s">
        <v>6307</v>
      </c>
      <c r="IHC11" t="s">
        <v>6308</v>
      </c>
      <c r="IHD11" t="s">
        <v>6309</v>
      </c>
      <c r="IHE11" t="s">
        <v>6310</v>
      </c>
      <c r="IHF11" t="s">
        <v>6311</v>
      </c>
      <c r="IHG11" t="s">
        <v>6312</v>
      </c>
      <c r="IHH11" t="s">
        <v>6313</v>
      </c>
      <c r="IHI11" t="s">
        <v>6314</v>
      </c>
      <c r="IHJ11" t="s">
        <v>6315</v>
      </c>
      <c r="IHK11" t="s">
        <v>6316</v>
      </c>
      <c r="IHL11" t="s">
        <v>6317</v>
      </c>
      <c r="IHM11" t="s">
        <v>6318</v>
      </c>
      <c r="IHN11" t="s">
        <v>6319</v>
      </c>
      <c r="IHO11" t="s">
        <v>6320</v>
      </c>
      <c r="IHP11" t="s">
        <v>6321</v>
      </c>
      <c r="IHQ11" t="s">
        <v>6322</v>
      </c>
      <c r="IHR11" t="s">
        <v>6323</v>
      </c>
      <c r="IHS11" t="s">
        <v>6324</v>
      </c>
      <c r="IHT11" t="s">
        <v>6325</v>
      </c>
      <c r="IHU11" t="s">
        <v>6326</v>
      </c>
      <c r="IHV11" t="s">
        <v>6327</v>
      </c>
      <c r="IHW11" t="s">
        <v>6328</v>
      </c>
      <c r="IHX11" t="s">
        <v>6329</v>
      </c>
      <c r="IHY11" t="s">
        <v>6330</v>
      </c>
      <c r="IHZ11" t="s">
        <v>6331</v>
      </c>
      <c r="IIA11" t="s">
        <v>6332</v>
      </c>
      <c r="IIB11" t="s">
        <v>6333</v>
      </c>
      <c r="IIC11" t="s">
        <v>6334</v>
      </c>
      <c r="IID11" t="s">
        <v>6335</v>
      </c>
      <c r="IIE11" t="s">
        <v>6336</v>
      </c>
      <c r="IIF11" t="s">
        <v>6337</v>
      </c>
      <c r="IIG11" t="s">
        <v>6338</v>
      </c>
      <c r="IIH11" t="s">
        <v>6339</v>
      </c>
      <c r="III11" t="s">
        <v>6340</v>
      </c>
      <c r="IIJ11" t="s">
        <v>6341</v>
      </c>
      <c r="IIK11" t="s">
        <v>6342</v>
      </c>
      <c r="IIL11" t="s">
        <v>6343</v>
      </c>
      <c r="IIM11" t="s">
        <v>6344</v>
      </c>
      <c r="IIN11" t="s">
        <v>6345</v>
      </c>
      <c r="IIO11" t="s">
        <v>6346</v>
      </c>
      <c r="IIP11" t="s">
        <v>6347</v>
      </c>
      <c r="IIQ11" t="s">
        <v>6348</v>
      </c>
      <c r="IIR11" t="s">
        <v>6349</v>
      </c>
      <c r="IIS11" t="s">
        <v>6350</v>
      </c>
      <c r="IIT11" t="s">
        <v>6351</v>
      </c>
      <c r="IIU11" t="s">
        <v>6352</v>
      </c>
      <c r="IIV11" t="s">
        <v>6353</v>
      </c>
      <c r="IIW11" t="s">
        <v>6354</v>
      </c>
      <c r="IIX11" t="s">
        <v>6355</v>
      </c>
      <c r="IIY11" t="s">
        <v>6356</v>
      </c>
      <c r="IIZ11" t="s">
        <v>6357</v>
      </c>
      <c r="IJA11" t="s">
        <v>6358</v>
      </c>
      <c r="IJB11" t="s">
        <v>6359</v>
      </c>
      <c r="IJC11" t="s">
        <v>6360</v>
      </c>
      <c r="IJD11" t="s">
        <v>6361</v>
      </c>
      <c r="IJE11" t="s">
        <v>6362</v>
      </c>
      <c r="IJF11" t="s">
        <v>6363</v>
      </c>
      <c r="IJG11" t="s">
        <v>6364</v>
      </c>
      <c r="IJH11" t="s">
        <v>6365</v>
      </c>
      <c r="IJI11" t="s">
        <v>6366</v>
      </c>
      <c r="IJJ11" t="s">
        <v>6367</v>
      </c>
      <c r="IJK11" t="s">
        <v>6368</v>
      </c>
      <c r="IJL11" t="s">
        <v>6369</v>
      </c>
      <c r="IJM11" t="s">
        <v>6370</v>
      </c>
      <c r="IJN11" t="s">
        <v>6371</v>
      </c>
      <c r="IJO11" t="s">
        <v>6372</v>
      </c>
      <c r="IJP11" t="s">
        <v>6373</v>
      </c>
      <c r="IJQ11" t="s">
        <v>6374</v>
      </c>
      <c r="IJR11" t="s">
        <v>6375</v>
      </c>
      <c r="IJS11" t="s">
        <v>6376</v>
      </c>
      <c r="IJT11" t="s">
        <v>6377</v>
      </c>
      <c r="IJU11" t="s">
        <v>6378</v>
      </c>
      <c r="IJV11" t="s">
        <v>6379</v>
      </c>
      <c r="IJW11" t="s">
        <v>6380</v>
      </c>
      <c r="IJX11" t="s">
        <v>6381</v>
      </c>
      <c r="IJY11" t="s">
        <v>6382</v>
      </c>
      <c r="IJZ11" t="s">
        <v>6383</v>
      </c>
      <c r="IKA11" t="s">
        <v>6384</v>
      </c>
      <c r="IKB11" t="s">
        <v>6385</v>
      </c>
      <c r="IKC11" t="s">
        <v>6386</v>
      </c>
      <c r="IKD11" t="s">
        <v>6387</v>
      </c>
      <c r="IKE11" t="s">
        <v>6388</v>
      </c>
      <c r="IKF11" t="s">
        <v>6389</v>
      </c>
      <c r="IKG11" t="s">
        <v>6390</v>
      </c>
      <c r="IKH11" t="s">
        <v>6391</v>
      </c>
      <c r="IKI11" t="s">
        <v>6392</v>
      </c>
      <c r="IKJ11" t="s">
        <v>6393</v>
      </c>
      <c r="IKK11" t="s">
        <v>6394</v>
      </c>
      <c r="IKL11" t="s">
        <v>6395</v>
      </c>
      <c r="IKM11" t="s">
        <v>6396</v>
      </c>
      <c r="IKN11" t="s">
        <v>6397</v>
      </c>
      <c r="IKO11" t="s">
        <v>6398</v>
      </c>
      <c r="IKP11" t="s">
        <v>6399</v>
      </c>
      <c r="IKQ11" t="s">
        <v>6400</v>
      </c>
      <c r="IKR11" t="s">
        <v>6401</v>
      </c>
      <c r="IKS11" t="s">
        <v>6402</v>
      </c>
      <c r="IKT11" t="s">
        <v>6403</v>
      </c>
      <c r="IKU11" t="s">
        <v>6404</v>
      </c>
      <c r="IKV11" t="s">
        <v>6405</v>
      </c>
      <c r="IKW11" t="s">
        <v>6406</v>
      </c>
      <c r="IKX11" t="s">
        <v>6407</v>
      </c>
      <c r="IKY11" t="s">
        <v>6408</v>
      </c>
      <c r="IKZ11" t="s">
        <v>6409</v>
      </c>
      <c r="ILA11" t="s">
        <v>6410</v>
      </c>
      <c r="ILB11" t="s">
        <v>6411</v>
      </c>
      <c r="ILC11" t="s">
        <v>6412</v>
      </c>
      <c r="ILD11" t="s">
        <v>6413</v>
      </c>
      <c r="ILE11" t="s">
        <v>6414</v>
      </c>
      <c r="ILF11" t="s">
        <v>6415</v>
      </c>
      <c r="ILG11" t="s">
        <v>6416</v>
      </c>
      <c r="ILH11" t="s">
        <v>6417</v>
      </c>
      <c r="ILI11" t="s">
        <v>6418</v>
      </c>
      <c r="ILJ11" t="s">
        <v>6419</v>
      </c>
      <c r="ILK11" t="s">
        <v>6420</v>
      </c>
      <c r="ILL11" t="s">
        <v>6421</v>
      </c>
      <c r="ILM11" t="s">
        <v>6422</v>
      </c>
      <c r="ILN11" t="s">
        <v>6423</v>
      </c>
      <c r="ILO11" t="s">
        <v>6424</v>
      </c>
      <c r="ILP11" t="s">
        <v>6425</v>
      </c>
      <c r="ILQ11" t="s">
        <v>6426</v>
      </c>
      <c r="ILR11" t="s">
        <v>6427</v>
      </c>
      <c r="ILS11" t="s">
        <v>6428</v>
      </c>
      <c r="ILT11" t="s">
        <v>6429</v>
      </c>
      <c r="ILU11" t="s">
        <v>6430</v>
      </c>
      <c r="ILV11" t="s">
        <v>6431</v>
      </c>
      <c r="ILW11" t="s">
        <v>6432</v>
      </c>
      <c r="ILX11" t="s">
        <v>6433</v>
      </c>
      <c r="ILY11" t="s">
        <v>6434</v>
      </c>
      <c r="ILZ11" t="s">
        <v>6435</v>
      </c>
      <c r="IMA11" t="s">
        <v>6436</v>
      </c>
      <c r="IMB11" t="s">
        <v>6437</v>
      </c>
      <c r="IMC11" t="s">
        <v>6438</v>
      </c>
      <c r="IMD11" t="s">
        <v>6439</v>
      </c>
      <c r="IME11" t="s">
        <v>6440</v>
      </c>
      <c r="IMF11" t="s">
        <v>6441</v>
      </c>
      <c r="IMG11" t="s">
        <v>6442</v>
      </c>
      <c r="IMH11" t="s">
        <v>6443</v>
      </c>
      <c r="IMI11" t="s">
        <v>6444</v>
      </c>
      <c r="IMJ11" t="s">
        <v>6445</v>
      </c>
      <c r="IMK11" t="s">
        <v>6446</v>
      </c>
      <c r="IML11" t="s">
        <v>6447</v>
      </c>
      <c r="IMM11" t="s">
        <v>6448</v>
      </c>
      <c r="IMN11" t="s">
        <v>6449</v>
      </c>
      <c r="IMO11" t="s">
        <v>6450</v>
      </c>
      <c r="IMP11" t="s">
        <v>6451</v>
      </c>
      <c r="IMQ11" t="s">
        <v>6452</v>
      </c>
      <c r="IMR11" t="s">
        <v>6453</v>
      </c>
      <c r="IMS11" t="s">
        <v>6454</v>
      </c>
      <c r="IMT11" t="s">
        <v>6455</v>
      </c>
      <c r="IMU11" t="s">
        <v>6456</v>
      </c>
      <c r="IMV11" t="s">
        <v>6457</v>
      </c>
      <c r="IMW11" t="s">
        <v>6458</v>
      </c>
      <c r="IMX11" t="s">
        <v>6459</v>
      </c>
      <c r="IMY11" t="s">
        <v>6460</v>
      </c>
      <c r="IMZ11" t="s">
        <v>6461</v>
      </c>
      <c r="INA11" t="s">
        <v>6462</v>
      </c>
      <c r="INB11" t="s">
        <v>6463</v>
      </c>
      <c r="INC11" t="s">
        <v>6464</v>
      </c>
      <c r="IND11" t="s">
        <v>6465</v>
      </c>
      <c r="INE11" t="s">
        <v>6466</v>
      </c>
      <c r="INF11" t="s">
        <v>6467</v>
      </c>
      <c r="ING11" t="s">
        <v>6468</v>
      </c>
      <c r="INH11" t="s">
        <v>6469</v>
      </c>
      <c r="INI11" t="s">
        <v>6470</v>
      </c>
      <c r="INJ11" t="s">
        <v>6471</v>
      </c>
      <c r="INK11" t="s">
        <v>6472</v>
      </c>
      <c r="INL11" t="s">
        <v>6473</v>
      </c>
      <c r="INM11" t="s">
        <v>6474</v>
      </c>
      <c r="INN11" t="s">
        <v>6475</v>
      </c>
      <c r="INO11" t="s">
        <v>6476</v>
      </c>
      <c r="INP11" t="s">
        <v>6477</v>
      </c>
      <c r="INQ11" t="s">
        <v>6478</v>
      </c>
      <c r="INR11" t="s">
        <v>6479</v>
      </c>
      <c r="INS11" t="s">
        <v>6480</v>
      </c>
      <c r="INT11" t="s">
        <v>6481</v>
      </c>
      <c r="INU11" t="s">
        <v>6482</v>
      </c>
      <c r="INV11" t="s">
        <v>6483</v>
      </c>
      <c r="INW11" t="s">
        <v>6484</v>
      </c>
      <c r="INX11" t="s">
        <v>6485</v>
      </c>
      <c r="INY11" t="s">
        <v>6486</v>
      </c>
      <c r="INZ11" t="s">
        <v>6487</v>
      </c>
      <c r="IOA11" t="s">
        <v>6488</v>
      </c>
      <c r="IOB11" t="s">
        <v>6489</v>
      </c>
      <c r="IOC11" t="s">
        <v>6490</v>
      </c>
      <c r="IOD11" t="s">
        <v>6491</v>
      </c>
      <c r="IOE11" t="s">
        <v>6492</v>
      </c>
      <c r="IOF11" t="s">
        <v>6493</v>
      </c>
      <c r="IOG11" t="s">
        <v>6494</v>
      </c>
      <c r="IOH11" t="s">
        <v>6495</v>
      </c>
      <c r="IOI11" t="s">
        <v>6496</v>
      </c>
      <c r="IOJ11" t="s">
        <v>6497</v>
      </c>
      <c r="IOK11" t="s">
        <v>6498</v>
      </c>
      <c r="IOL11" t="s">
        <v>6499</v>
      </c>
      <c r="IOM11" t="s">
        <v>6500</v>
      </c>
      <c r="ION11" t="s">
        <v>6501</v>
      </c>
      <c r="IOO11" t="s">
        <v>6502</v>
      </c>
      <c r="IOP11" t="s">
        <v>6503</v>
      </c>
      <c r="IOQ11" t="s">
        <v>6504</v>
      </c>
      <c r="IOR11" t="s">
        <v>6505</v>
      </c>
      <c r="IOS11" t="s">
        <v>6506</v>
      </c>
      <c r="IOT11" t="s">
        <v>6507</v>
      </c>
      <c r="IOU11" t="s">
        <v>6508</v>
      </c>
      <c r="IOV11" t="s">
        <v>6509</v>
      </c>
      <c r="IOW11" t="s">
        <v>6510</v>
      </c>
      <c r="IOX11" t="s">
        <v>6511</v>
      </c>
      <c r="IOY11" t="s">
        <v>6512</v>
      </c>
      <c r="IOZ11" t="s">
        <v>6513</v>
      </c>
      <c r="IPA11" t="s">
        <v>6514</v>
      </c>
      <c r="IPB11" t="s">
        <v>6515</v>
      </c>
      <c r="IPC11" t="s">
        <v>6516</v>
      </c>
      <c r="IPD11" t="s">
        <v>6517</v>
      </c>
      <c r="IPE11" t="s">
        <v>6518</v>
      </c>
      <c r="IPF11" t="s">
        <v>6519</v>
      </c>
      <c r="IPG11" t="s">
        <v>6520</v>
      </c>
      <c r="IPH11" t="s">
        <v>6521</v>
      </c>
      <c r="IPI11" t="s">
        <v>6522</v>
      </c>
      <c r="IPJ11" t="s">
        <v>6523</v>
      </c>
      <c r="IPK11" t="s">
        <v>6524</v>
      </c>
      <c r="IPL11" t="s">
        <v>6525</v>
      </c>
      <c r="IPM11" t="s">
        <v>6526</v>
      </c>
      <c r="IPN11" t="s">
        <v>6527</v>
      </c>
      <c r="IPO11" t="s">
        <v>6528</v>
      </c>
      <c r="IPP11" t="s">
        <v>6529</v>
      </c>
      <c r="IPQ11" t="s">
        <v>6530</v>
      </c>
      <c r="IPR11" t="s">
        <v>6531</v>
      </c>
      <c r="IPS11" t="s">
        <v>6532</v>
      </c>
      <c r="IPT11" t="s">
        <v>6533</v>
      </c>
      <c r="IPU11" t="s">
        <v>6534</v>
      </c>
      <c r="IPV11" t="s">
        <v>6535</v>
      </c>
      <c r="IPW11" t="s">
        <v>6536</v>
      </c>
      <c r="IPX11" t="s">
        <v>6537</v>
      </c>
      <c r="IPY11" t="s">
        <v>6538</v>
      </c>
      <c r="IPZ11" t="s">
        <v>6539</v>
      </c>
      <c r="IQA11" t="s">
        <v>6540</v>
      </c>
      <c r="IQB11" t="s">
        <v>6541</v>
      </c>
      <c r="IQC11" t="s">
        <v>6542</v>
      </c>
      <c r="IQD11" t="s">
        <v>6543</v>
      </c>
      <c r="IQE11" t="s">
        <v>6544</v>
      </c>
      <c r="IQF11" t="s">
        <v>6545</v>
      </c>
      <c r="IQG11" t="s">
        <v>6546</v>
      </c>
      <c r="IQH11" t="s">
        <v>6547</v>
      </c>
      <c r="IQI11" t="s">
        <v>6548</v>
      </c>
      <c r="IQJ11" t="s">
        <v>6549</v>
      </c>
      <c r="IQK11" t="s">
        <v>6550</v>
      </c>
      <c r="IQL11" t="s">
        <v>6551</v>
      </c>
      <c r="IQM11" t="s">
        <v>6552</v>
      </c>
      <c r="IQN11" t="s">
        <v>6553</v>
      </c>
      <c r="IQO11" t="s">
        <v>6554</v>
      </c>
      <c r="IQP11" t="s">
        <v>6555</v>
      </c>
      <c r="IQQ11" t="s">
        <v>6556</v>
      </c>
      <c r="IQR11" t="s">
        <v>6557</v>
      </c>
      <c r="IQS11" t="s">
        <v>6558</v>
      </c>
      <c r="IQT11" t="s">
        <v>6559</v>
      </c>
      <c r="IQU11" t="s">
        <v>6560</v>
      </c>
      <c r="IQV11" t="s">
        <v>6561</v>
      </c>
      <c r="IQW11" t="s">
        <v>6562</v>
      </c>
      <c r="IQX11" t="s">
        <v>6563</v>
      </c>
      <c r="IQY11" t="s">
        <v>6564</v>
      </c>
      <c r="IQZ11" t="s">
        <v>6565</v>
      </c>
      <c r="IRA11" t="s">
        <v>6566</v>
      </c>
      <c r="IRB11" t="s">
        <v>6567</v>
      </c>
      <c r="IRC11" t="s">
        <v>6568</v>
      </c>
      <c r="IRD11" t="s">
        <v>6569</v>
      </c>
      <c r="IRE11" t="s">
        <v>6570</v>
      </c>
      <c r="IRF11" t="s">
        <v>6571</v>
      </c>
      <c r="IRG11" t="s">
        <v>6572</v>
      </c>
      <c r="IRH11" t="s">
        <v>6573</v>
      </c>
      <c r="IRI11" t="s">
        <v>6574</v>
      </c>
      <c r="IRJ11" t="s">
        <v>6575</v>
      </c>
      <c r="IRK11" t="s">
        <v>6576</v>
      </c>
      <c r="IRL11" t="s">
        <v>6577</v>
      </c>
      <c r="IRM11" t="s">
        <v>6578</v>
      </c>
      <c r="IRN11" t="s">
        <v>6579</v>
      </c>
      <c r="IRO11" t="s">
        <v>6580</v>
      </c>
      <c r="IRP11" t="s">
        <v>6581</v>
      </c>
      <c r="IRQ11" t="s">
        <v>6582</v>
      </c>
      <c r="IRR11" t="s">
        <v>6583</v>
      </c>
      <c r="IRS11" t="s">
        <v>6584</v>
      </c>
      <c r="IRT11" t="s">
        <v>6585</v>
      </c>
      <c r="IRU11" t="s">
        <v>6586</v>
      </c>
      <c r="IRV11" t="s">
        <v>6587</v>
      </c>
      <c r="IRW11" t="s">
        <v>6588</v>
      </c>
      <c r="IRX11" t="s">
        <v>6589</v>
      </c>
      <c r="IRY11" t="s">
        <v>6590</v>
      </c>
      <c r="IRZ11" t="s">
        <v>6591</v>
      </c>
      <c r="ISA11" t="s">
        <v>6592</v>
      </c>
      <c r="ISB11" t="s">
        <v>6593</v>
      </c>
      <c r="ISC11" t="s">
        <v>6594</v>
      </c>
      <c r="ISD11" t="s">
        <v>6595</v>
      </c>
      <c r="ISE11" t="s">
        <v>6596</v>
      </c>
      <c r="ISF11" t="s">
        <v>6597</v>
      </c>
      <c r="ISG11" t="s">
        <v>6598</v>
      </c>
      <c r="ISH11" t="s">
        <v>6599</v>
      </c>
      <c r="ISI11" t="s">
        <v>6600</v>
      </c>
      <c r="ISJ11" t="s">
        <v>6601</v>
      </c>
      <c r="ISK11" t="s">
        <v>6602</v>
      </c>
      <c r="ISL11" t="s">
        <v>6603</v>
      </c>
      <c r="ISM11" t="s">
        <v>6604</v>
      </c>
      <c r="ISN11" t="s">
        <v>6605</v>
      </c>
      <c r="ISO11" t="s">
        <v>6606</v>
      </c>
      <c r="ISP11" t="s">
        <v>6607</v>
      </c>
      <c r="ISQ11" t="s">
        <v>6608</v>
      </c>
      <c r="ISR11" t="s">
        <v>6609</v>
      </c>
      <c r="ISS11" t="s">
        <v>6610</v>
      </c>
      <c r="IST11" t="s">
        <v>6611</v>
      </c>
      <c r="ISU11" t="s">
        <v>6612</v>
      </c>
      <c r="ISV11" t="s">
        <v>6613</v>
      </c>
      <c r="ISW11" t="s">
        <v>6614</v>
      </c>
      <c r="ISX11" t="s">
        <v>6615</v>
      </c>
      <c r="ISY11" t="s">
        <v>6616</v>
      </c>
      <c r="ISZ11" t="s">
        <v>6617</v>
      </c>
      <c r="ITA11" t="s">
        <v>6618</v>
      </c>
      <c r="ITB11" t="s">
        <v>6619</v>
      </c>
      <c r="ITC11" t="s">
        <v>6620</v>
      </c>
      <c r="ITD11" t="s">
        <v>6621</v>
      </c>
      <c r="ITE11" t="s">
        <v>6622</v>
      </c>
      <c r="ITF11" t="s">
        <v>6623</v>
      </c>
      <c r="ITG11" t="s">
        <v>6624</v>
      </c>
      <c r="ITH11" t="s">
        <v>6625</v>
      </c>
      <c r="ITI11" t="s">
        <v>6626</v>
      </c>
      <c r="ITJ11" t="s">
        <v>6627</v>
      </c>
      <c r="ITK11" t="s">
        <v>6628</v>
      </c>
      <c r="ITL11" t="s">
        <v>6629</v>
      </c>
      <c r="ITM11" t="s">
        <v>6630</v>
      </c>
      <c r="ITN11" t="s">
        <v>6631</v>
      </c>
      <c r="ITO11" t="s">
        <v>6632</v>
      </c>
      <c r="ITP11" t="s">
        <v>6633</v>
      </c>
      <c r="ITQ11" t="s">
        <v>6634</v>
      </c>
      <c r="ITR11" t="s">
        <v>6635</v>
      </c>
      <c r="ITS11" t="s">
        <v>6636</v>
      </c>
      <c r="ITT11" t="s">
        <v>6637</v>
      </c>
      <c r="ITU11" t="s">
        <v>6638</v>
      </c>
      <c r="ITV11" t="s">
        <v>6639</v>
      </c>
      <c r="ITW11" t="s">
        <v>6640</v>
      </c>
      <c r="ITX11" t="s">
        <v>6641</v>
      </c>
      <c r="ITY11" t="s">
        <v>6642</v>
      </c>
      <c r="ITZ11" t="s">
        <v>6643</v>
      </c>
      <c r="IUA11" t="s">
        <v>6644</v>
      </c>
      <c r="IUB11" t="s">
        <v>6645</v>
      </c>
      <c r="IUC11" t="s">
        <v>6646</v>
      </c>
      <c r="IUD11" t="s">
        <v>6647</v>
      </c>
      <c r="IUE11" t="s">
        <v>6648</v>
      </c>
      <c r="IUF11" t="s">
        <v>6649</v>
      </c>
      <c r="IUG11" t="s">
        <v>6650</v>
      </c>
      <c r="IUH11" t="s">
        <v>6651</v>
      </c>
      <c r="IUI11" t="s">
        <v>6652</v>
      </c>
      <c r="IUJ11" t="s">
        <v>6653</v>
      </c>
      <c r="IUK11" t="s">
        <v>6654</v>
      </c>
      <c r="IUL11" t="s">
        <v>6655</v>
      </c>
      <c r="IUM11" t="s">
        <v>6656</v>
      </c>
      <c r="IUN11" t="s">
        <v>6657</v>
      </c>
      <c r="IUO11" t="s">
        <v>6658</v>
      </c>
      <c r="IUP11" t="s">
        <v>6659</v>
      </c>
      <c r="IUQ11" t="s">
        <v>6660</v>
      </c>
      <c r="IUR11" t="s">
        <v>6661</v>
      </c>
      <c r="IUS11" t="s">
        <v>6662</v>
      </c>
      <c r="IUT11" t="s">
        <v>6663</v>
      </c>
      <c r="IUU11" t="s">
        <v>6664</v>
      </c>
      <c r="IUV11" t="s">
        <v>6665</v>
      </c>
      <c r="IUW11" t="s">
        <v>6666</v>
      </c>
      <c r="IUX11" t="s">
        <v>6667</v>
      </c>
      <c r="IUY11" t="s">
        <v>6668</v>
      </c>
      <c r="IUZ11" t="s">
        <v>6669</v>
      </c>
      <c r="IVA11" t="s">
        <v>6670</v>
      </c>
      <c r="IVB11" t="s">
        <v>6671</v>
      </c>
      <c r="IVC11" t="s">
        <v>6672</v>
      </c>
      <c r="IVD11" t="s">
        <v>6673</v>
      </c>
      <c r="IVE11" t="s">
        <v>6674</v>
      </c>
      <c r="IVF11" t="s">
        <v>6675</v>
      </c>
      <c r="IVG11" t="s">
        <v>6676</v>
      </c>
      <c r="IVH11" t="s">
        <v>6677</v>
      </c>
      <c r="IVI11" t="s">
        <v>6678</v>
      </c>
      <c r="IVJ11" t="s">
        <v>6679</v>
      </c>
      <c r="IVK11" t="s">
        <v>6680</v>
      </c>
      <c r="IVL11" t="s">
        <v>6681</v>
      </c>
      <c r="IVM11" t="s">
        <v>6682</v>
      </c>
      <c r="IVN11" t="s">
        <v>6683</v>
      </c>
      <c r="IVO11" t="s">
        <v>6684</v>
      </c>
      <c r="IVP11" t="s">
        <v>6685</v>
      </c>
      <c r="IVQ11" t="s">
        <v>6686</v>
      </c>
      <c r="IVR11" t="s">
        <v>6687</v>
      </c>
      <c r="IVS11" t="s">
        <v>6688</v>
      </c>
      <c r="IVT11" t="s">
        <v>6689</v>
      </c>
      <c r="IVU11" t="s">
        <v>6690</v>
      </c>
      <c r="IVV11" t="s">
        <v>6691</v>
      </c>
      <c r="IVW11" t="s">
        <v>6692</v>
      </c>
      <c r="IVX11" t="s">
        <v>6693</v>
      </c>
      <c r="IVY11" t="s">
        <v>6694</v>
      </c>
      <c r="IVZ11" t="s">
        <v>6695</v>
      </c>
      <c r="IWA11" t="s">
        <v>6696</v>
      </c>
      <c r="IWB11" t="s">
        <v>6697</v>
      </c>
      <c r="IWC11" t="s">
        <v>6698</v>
      </c>
      <c r="IWD11" t="s">
        <v>6699</v>
      </c>
      <c r="IWE11" t="s">
        <v>6700</v>
      </c>
      <c r="IWF11" t="s">
        <v>6701</v>
      </c>
      <c r="IWG11" t="s">
        <v>6702</v>
      </c>
      <c r="IWH11" t="s">
        <v>6703</v>
      </c>
      <c r="IWI11" t="s">
        <v>6704</v>
      </c>
      <c r="IWJ11" t="s">
        <v>6705</v>
      </c>
      <c r="IWK11" t="s">
        <v>6706</v>
      </c>
      <c r="IWL11" t="s">
        <v>6707</v>
      </c>
      <c r="IWM11" t="s">
        <v>6708</v>
      </c>
      <c r="IWN11" t="s">
        <v>6709</v>
      </c>
      <c r="IWO11" t="s">
        <v>6710</v>
      </c>
      <c r="IWP11" t="s">
        <v>6711</v>
      </c>
      <c r="IWQ11" t="s">
        <v>6712</v>
      </c>
      <c r="IWR11" t="s">
        <v>6713</v>
      </c>
      <c r="IWS11" t="s">
        <v>6714</v>
      </c>
      <c r="IWT11" t="s">
        <v>6715</v>
      </c>
      <c r="IWU11" t="s">
        <v>6716</v>
      </c>
      <c r="IWV11" t="s">
        <v>6717</v>
      </c>
      <c r="IWW11" t="s">
        <v>6718</v>
      </c>
      <c r="IWX11" t="s">
        <v>6719</v>
      </c>
      <c r="IWY11" t="s">
        <v>6720</v>
      </c>
      <c r="IWZ11" t="s">
        <v>6721</v>
      </c>
      <c r="IXA11" t="s">
        <v>6722</v>
      </c>
      <c r="IXB11" t="s">
        <v>6723</v>
      </c>
      <c r="IXC11" t="s">
        <v>6724</v>
      </c>
      <c r="IXD11" t="s">
        <v>6725</v>
      </c>
      <c r="IXE11" t="s">
        <v>6726</v>
      </c>
      <c r="IXF11" t="s">
        <v>6727</v>
      </c>
      <c r="IXG11" t="s">
        <v>6728</v>
      </c>
      <c r="IXH11" t="s">
        <v>6729</v>
      </c>
      <c r="IXI11" t="s">
        <v>6730</v>
      </c>
      <c r="IXJ11" t="s">
        <v>6731</v>
      </c>
      <c r="IXK11" t="s">
        <v>6732</v>
      </c>
      <c r="IXL11" t="s">
        <v>6733</v>
      </c>
      <c r="IXM11" t="s">
        <v>6734</v>
      </c>
      <c r="IXN11" t="s">
        <v>6735</v>
      </c>
      <c r="IXO11" t="s">
        <v>6736</v>
      </c>
      <c r="IXP11" t="s">
        <v>6737</v>
      </c>
      <c r="IXQ11" t="s">
        <v>6738</v>
      </c>
      <c r="IXR11" t="s">
        <v>6739</v>
      </c>
      <c r="IXS11" t="s">
        <v>6740</v>
      </c>
      <c r="IXT11" t="s">
        <v>6741</v>
      </c>
      <c r="IXU11" t="s">
        <v>6742</v>
      </c>
      <c r="IXV11" t="s">
        <v>6743</v>
      </c>
      <c r="IXW11" t="s">
        <v>6744</v>
      </c>
      <c r="IXX11" t="s">
        <v>6745</v>
      </c>
      <c r="IXY11" t="s">
        <v>6746</v>
      </c>
      <c r="IXZ11" t="s">
        <v>6747</v>
      </c>
      <c r="IYA11" t="s">
        <v>6748</v>
      </c>
      <c r="IYB11" t="s">
        <v>6749</v>
      </c>
      <c r="IYC11" t="s">
        <v>6750</v>
      </c>
      <c r="IYD11" t="s">
        <v>6751</v>
      </c>
      <c r="IYE11" t="s">
        <v>6752</v>
      </c>
      <c r="IYF11" t="s">
        <v>6753</v>
      </c>
      <c r="IYG11" t="s">
        <v>6754</v>
      </c>
      <c r="IYH11" t="s">
        <v>6755</v>
      </c>
      <c r="IYI11" t="s">
        <v>6756</v>
      </c>
      <c r="IYJ11" t="s">
        <v>6757</v>
      </c>
      <c r="IYK11" t="s">
        <v>6758</v>
      </c>
      <c r="IYL11" t="s">
        <v>6759</v>
      </c>
      <c r="IYM11" t="s">
        <v>6760</v>
      </c>
      <c r="IYN11" t="s">
        <v>6761</v>
      </c>
      <c r="IYO11" t="s">
        <v>6762</v>
      </c>
      <c r="IYP11" t="s">
        <v>6763</v>
      </c>
      <c r="IYQ11" t="s">
        <v>6764</v>
      </c>
      <c r="IYR11" t="s">
        <v>6765</v>
      </c>
      <c r="IYS11" t="s">
        <v>6766</v>
      </c>
      <c r="IYT11" t="s">
        <v>6767</v>
      </c>
      <c r="IYU11" t="s">
        <v>6768</v>
      </c>
      <c r="IYV11" t="s">
        <v>6769</v>
      </c>
      <c r="IYW11" t="s">
        <v>6770</v>
      </c>
      <c r="IYX11" t="s">
        <v>6771</v>
      </c>
      <c r="IYY11" t="s">
        <v>6772</v>
      </c>
      <c r="IYZ11" t="s">
        <v>6773</v>
      </c>
      <c r="IZA11" t="s">
        <v>6774</v>
      </c>
      <c r="IZB11" t="s">
        <v>6775</v>
      </c>
      <c r="IZC11" t="s">
        <v>6776</v>
      </c>
      <c r="IZD11" t="s">
        <v>6777</v>
      </c>
      <c r="IZE11" t="s">
        <v>6778</v>
      </c>
      <c r="IZF11" t="s">
        <v>6779</v>
      </c>
      <c r="IZG11" t="s">
        <v>6780</v>
      </c>
      <c r="IZH11" t="s">
        <v>6781</v>
      </c>
      <c r="IZI11" t="s">
        <v>6782</v>
      </c>
      <c r="IZJ11" t="s">
        <v>6783</v>
      </c>
      <c r="IZK11" t="s">
        <v>6784</v>
      </c>
      <c r="IZL11" t="s">
        <v>6785</v>
      </c>
      <c r="IZM11" t="s">
        <v>6786</v>
      </c>
      <c r="IZN11" t="s">
        <v>6787</v>
      </c>
      <c r="IZO11" t="s">
        <v>6788</v>
      </c>
      <c r="IZP11" t="s">
        <v>6789</v>
      </c>
      <c r="IZQ11" t="s">
        <v>6790</v>
      </c>
      <c r="IZR11" t="s">
        <v>6791</v>
      </c>
      <c r="IZS11" t="s">
        <v>6792</v>
      </c>
      <c r="IZT11" t="s">
        <v>6793</v>
      </c>
      <c r="IZU11" t="s">
        <v>6794</v>
      </c>
      <c r="IZV11" t="s">
        <v>6795</v>
      </c>
      <c r="IZW11" t="s">
        <v>6796</v>
      </c>
      <c r="IZX11" t="s">
        <v>6797</v>
      </c>
      <c r="IZY11" t="s">
        <v>6798</v>
      </c>
      <c r="IZZ11" t="s">
        <v>6799</v>
      </c>
      <c r="JAA11" t="s">
        <v>6800</v>
      </c>
      <c r="JAB11" t="s">
        <v>6801</v>
      </c>
      <c r="JAC11" t="s">
        <v>6802</v>
      </c>
      <c r="JAD11" t="s">
        <v>6803</v>
      </c>
      <c r="JAE11" t="s">
        <v>6804</v>
      </c>
      <c r="JAF11" t="s">
        <v>6805</v>
      </c>
      <c r="JAG11" t="s">
        <v>6806</v>
      </c>
      <c r="JAH11" t="s">
        <v>6807</v>
      </c>
      <c r="JAI11" t="s">
        <v>6808</v>
      </c>
      <c r="JAJ11" t="s">
        <v>6809</v>
      </c>
      <c r="JAK11" t="s">
        <v>6810</v>
      </c>
      <c r="JAL11" t="s">
        <v>6811</v>
      </c>
      <c r="JAM11" t="s">
        <v>6812</v>
      </c>
      <c r="JAN11" t="s">
        <v>6813</v>
      </c>
      <c r="JAO11" t="s">
        <v>6814</v>
      </c>
      <c r="JAP11" t="s">
        <v>6815</v>
      </c>
      <c r="JAQ11" t="s">
        <v>6816</v>
      </c>
      <c r="JAR11" t="s">
        <v>6817</v>
      </c>
      <c r="JAS11" t="s">
        <v>6818</v>
      </c>
      <c r="JAT11" t="s">
        <v>6819</v>
      </c>
      <c r="JAU11" t="s">
        <v>6820</v>
      </c>
      <c r="JAV11" t="s">
        <v>6821</v>
      </c>
      <c r="JAW11" t="s">
        <v>6822</v>
      </c>
      <c r="JAX11" t="s">
        <v>6823</v>
      </c>
      <c r="JAY11" t="s">
        <v>6824</v>
      </c>
      <c r="JAZ11" t="s">
        <v>6825</v>
      </c>
      <c r="JBA11" t="s">
        <v>6826</v>
      </c>
      <c r="JBB11" t="s">
        <v>6827</v>
      </c>
      <c r="JBC11" t="s">
        <v>6828</v>
      </c>
      <c r="JBD11" t="s">
        <v>6829</v>
      </c>
      <c r="JBE11" t="s">
        <v>6830</v>
      </c>
      <c r="JBF11" t="s">
        <v>6831</v>
      </c>
      <c r="JBG11" t="s">
        <v>6832</v>
      </c>
      <c r="JBH11" t="s">
        <v>6833</v>
      </c>
      <c r="JBI11" t="s">
        <v>6834</v>
      </c>
      <c r="JBJ11" t="s">
        <v>6835</v>
      </c>
      <c r="JBK11" t="s">
        <v>6836</v>
      </c>
      <c r="JBL11" t="s">
        <v>6837</v>
      </c>
      <c r="JBM11" t="s">
        <v>6838</v>
      </c>
      <c r="JBN11" t="s">
        <v>6839</v>
      </c>
      <c r="JBO11" t="s">
        <v>6840</v>
      </c>
      <c r="JBP11" t="s">
        <v>6841</v>
      </c>
      <c r="JBQ11" t="s">
        <v>6842</v>
      </c>
      <c r="JBR11" t="s">
        <v>6843</v>
      </c>
      <c r="JBS11" t="s">
        <v>6844</v>
      </c>
      <c r="JBT11" t="s">
        <v>6845</v>
      </c>
      <c r="JBU11" t="s">
        <v>6846</v>
      </c>
      <c r="JBV11" t="s">
        <v>6847</v>
      </c>
      <c r="JBW11" t="s">
        <v>6848</v>
      </c>
      <c r="JBX11" t="s">
        <v>6849</v>
      </c>
      <c r="JBY11" t="s">
        <v>6850</v>
      </c>
      <c r="JBZ11" t="s">
        <v>6851</v>
      </c>
      <c r="JCA11" t="s">
        <v>6852</v>
      </c>
      <c r="JCB11" t="s">
        <v>6853</v>
      </c>
      <c r="JCC11" t="s">
        <v>6854</v>
      </c>
      <c r="JCD11" t="s">
        <v>6855</v>
      </c>
      <c r="JCE11" t="s">
        <v>6856</v>
      </c>
      <c r="JCF11" t="s">
        <v>6857</v>
      </c>
      <c r="JCG11" t="s">
        <v>6858</v>
      </c>
      <c r="JCH11" t="s">
        <v>6859</v>
      </c>
      <c r="JCI11" t="s">
        <v>6860</v>
      </c>
      <c r="JCJ11" t="s">
        <v>6861</v>
      </c>
      <c r="JCK11" t="s">
        <v>6862</v>
      </c>
      <c r="JCL11" t="s">
        <v>6863</v>
      </c>
      <c r="JCM11" t="s">
        <v>6864</v>
      </c>
      <c r="JCN11" t="s">
        <v>6865</v>
      </c>
      <c r="JCO11" t="s">
        <v>6866</v>
      </c>
      <c r="JCP11" t="s">
        <v>6867</v>
      </c>
      <c r="JCQ11" t="s">
        <v>6868</v>
      </c>
      <c r="JCR11" t="s">
        <v>6869</v>
      </c>
      <c r="JCS11" t="s">
        <v>6870</v>
      </c>
      <c r="JCT11" t="s">
        <v>6871</v>
      </c>
      <c r="JCU11" t="s">
        <v>6872</v>
      </c>
      <c r="JCV11" t="s">
        <v>6873</v>
      </c>
      <c r="JCW11" t="s">
        <v>6874</v>
      </c>
      <c r="JCX11" t="s">
        <v>6875</v>
      </c>
      <c r="JCY11" t="s">
        <v>6876</v>
      </c>
      <c r="JCZ11" t="s">
        <v>6877</v>
      </c>
      <c r="JDA11" t="s">
        <v>6878</v>
      </c>
      <c r="JDB11" t="s">
        <v>6879</v>
      </c>
      <c r="JDC11" t="s">
        <v>6880</v>
      </c>
      <c r="JDD11" t="s">
        <v>6881</v>
      </c>
      <c r="JDE11" t="s">
        <v>6882</v>
      </c>
      <c r="JDF11" t="s">
        <v>6883</v>
      </c>
      <c r="JDG11" t="s">
        <v>6884</v>
      </c>
      <c r="JDH11" t="s">
        <v>6885</v>
      </c>
      <c r="JDI11" t="s">
        <v>6886</v>
      </c>
      <c r="JDJ11" t="s">
        <v>6887</v>
      </c>
      <c r="JDK11" t="s">
        <v>6888</v>
      </c>
      <c r="JDL11" t="s">
        <v>6889</v>
      </c>
      <c r="JDM11" t="s">
        <v>6890</v>
      </c>
      <c r="JDN11" t="s">
        <v>6891</v>
      </c>
      <c r="JDO11" t="s">
        <v>6892</v>
      </c>
      <c r="JDP11" t="s">
        <v>6893</v>
      </c>
      <c r="JDQ11" t="s">
        <v>6894</v>
      </c>
      <c r="JDR11" t="s">
        <v>6895</v>
      </c>
      <c r="JDS11" t="s">
        <v>6896</v>
      </c>
      <c r="JDT11" t="s">
        <v>6897</v>
      </c>
      <c r="JDU11" t="s">
        <v>6898</v>
      </c>
      <c r="JDV11" t="s">
        <v>6899</v>
      </c>
      <c r="JDW11" t="s">
        <v>6900</v>
      </c>
      <c r="JDX11" t="s">
        <v>6901</v>
      </c>
      <c r="JDY11" t="s">
        <v>6902</v>
      </c>
      <c r="JDZ11" t="s">
        <v>6903</v>
      </c>
      <c r="JEA11" t="s">
        <v>6904</v>
      </c>
      <c r="JEB11" t="s">
        <v>6905</v>
      </c>
      <c r="JEC11" t="s">
        <v>6906</v>
      </c>
      <c r="JED11" t="s">
        <v>6907</v>
      </c>
      <c r="JEE11" t="s">
        <v>6908</v>
      </c>
      <c r="JEF11" t="s">
        <v>6909</v>
      </c>
      <c r="JEG11" t="s">
        <v>6910</v>
      </c>
      <c r="JEH11" t="s">
        <v>6911</v>
      </c>
      <c r="JEI11" t="s">
        <v>6912</v>
      </c>
      <c r="JEJ11" t="s">
        <v>6913</v>
      </c>
      <c r="JEK11" t="s">
        <v>6914</v>
      </c>
      <c r="JEL11" t="s">
        <v>6915</v>
      </c>
      <c r="JEM11" t="s">
        <v>6916</v>
      </c>
      <c r="JEN11" t="s">
        <v>6917</v>
      </c>
      <c r="JEO11" t="s">
        <v>6918</v>
      </c>
      <c r="JEP11" t="s">
        <v>6919</v>
      </c>
      <c r="JEQ11" t="s">
        <v>6920</v>
      </c>
      <c r="JER11" t="s">
        <v>6921</v>
      </c>
      <c r="JES11" t="s">
        <v>6922</v>
      </c>
      <c r="JET11" t="s">
        <v>6923</v>
      </c>
      <c r="JEU11" t="s">
        <v>6924</v>
      </c>
      <c r="JEV11" t="s">
        <v>6925</v>
      </c>
      <c r="JEW11" t="s">
        <v>6926</v>
      </c>
      <c r="JEX11" t="s">
        <v>6927</v>
      </c>
      <c r="JEY11" t="s">
        <v>6928</v>
      </c>
      <c r="JEZ11" t="s">
        <v>6929</v>
      </c>
      <c r="JFA11" t="s">
        <v>6930</v>
      </c>
      <c r="JFB11" t="s">
        <v>6931</v>
      </c>
      <c r="JFC11" t="s">
        <v>6932</v>
      </c>
      <c r="JFD11" t="s">
        <v>6933</v>
      </c>
      <c r="JFE11" t="s">
        <v>6934</v>
      </c>
      <c r="JFF11" t="s">
        <v>6935</v>
      </c>
      <c r="JFG11" t="s">
        <v>6936</v>
      </c>
      <c r="JFH11" t="s">
        <v>6937</v>
      </c>
      <c r="JFI11" t="s">
        <v>6938</v>
      </c>
      <c r="JFJ11" t="s">
        <v>6939</v>
      </c>
      <c r="JFK11" t="s">
        <v>6940</v>
      </c>
      <c r="JFL11" t="s">
        <v>6941</v>
      </c>
      <c r="JFM11" t="s">
        <v>6942</v>
      </c>
      <c r="JFN11" t="s">
        <v>6943</v>
      </c>
      <c r="JFO11" t="s">
        <v>6944</v>
      </c>
      <c r="JFP11" t="s">
        <v>6945</v>
      </c>
      <c r="JFQ11" t="s">
        <v>6946</v>
      </c>
      <c r="JFR11" t="s">
        <v>6947</v>
      </c>
      <c r="JFS11" t="s">
        <v>6948</v>
      </c>
      <c r="JFT11" t="s">
        <v>6949</v>
      </c>
      <c r="JFU11" t="s">
        <v>6950</v>
      </c>
      <c r="JFV11" t="s">
        <v>6951</v>
      </c>
      <c r="JFW11" t="s">
        <v>6952</v>
      </c>
      <c r="JFX11" t="s">
        <v>6953</v>
      </c>
      <c r="JFY11" t="s">
        <v>6954</v>
      </c>
      <c r="JFZ11" t="s">
        <v>6955</v>
      </c>
      <c r="JGA11" t="s">
        <v>6956</v>
      </c>
      <c r="JGB11" t="s">
        <v>6957</v>
      </c>
      <c r="JGC11" t="s">
        <v>6958</v>
      </c>
      <c r="JGD11" t="s">
        <v>6959</v>
      </c>
      <c r="JGE11" t="s">
        <v>6960</v>
      </c>
      <c r="JGF11" t="s">
        <v>6961</v>
      </c>
      <c r="JGG11" t="s">
        <v>6962</v>
      </c>
      <c r="JGH11" t="s">
        <v>6963</v>
      </c>
      <c r="JGI11" t="s">
        <v>6964</v>
      </c>
      <c r="JGJ11" t="s">
        <v>6965</v>
      </c>
      <c r="JGK11" t="s">
        <v>6966</v>
      </c>
      <c r="JGL11" t="s">
        <v>6967</v>
      </c>
      <c r="JGM11" t="s">
        <v>6968</v>
      </c>
      <c r="JGN11" t="s">
        <v>6969</v>
      </c>
      <c r="JGO11" t="s">
        <v>6970</v>
      </c>
      <c r="JGP11" t="s">
        <v>6971</v>
      </c>
      <c r="JGQ11" t="s">
        <v>6972</v>
      </c>
      <c r="JGR11" t="s">
        <v>6973</v>
      </c>
      <c r="JGS11" t="s">
        <v>6974</v>
      </c>
      <c r="JGT11" t="s">
        <v>6975</v>
      </c>
      <c r="JGU11" t="s">
        <v>6976</v>
      </c>
      <c r="JGV11" t="s">
        <v>6977</v>
      </c>
      <c r="JGW11" t="s">
        <v>6978</v>
      </c>
      <c r="JGX11" t="s">
        <v>6979</v>
      </c>
      <c r="JGY11" t="s">
        <v>6980</v>
      </c>
      <c r="JGZ11" t="s">
        <v>6981</v>
      </c>
      <c r="JHA11" t="s">
        <v>6982</v>
      </c>
      <c r="JHB11" t="s">
        <v>6983</v>
      </c>
      <c r="JHC11" t="s">
        <v>6984</v>
      </c>
      <c r="JHD11" t="s">
        <v>6985</v>
      </c>
      <c r="JHE11" t="s">
        <v>6986</v>
      </c>
      <c r="JHF11" t="s">
        <v>6987</v>
      </c>
      <c r="JHG11" t="s">
        <v>6988</v>
      </c>
      <c r="JHH11" t="s">
        <v>6989</v>
      </c>
      <c r="JHI11" t="s">
        <v>6990</v>
      </c>
      <c r="JHJ11" t="s">
        <v>6991</v>
      </c>
      <c r="JHK11" t="s">
        <v>6992</v>
      </c>
      <c r="JHL11" t="s">
        <v>6993</v>
      </c>
      <c r="JHM11" t="s">
        <v>6994</v>
      </c>
      <c r="JHN11" t="s">
        <v>6995</v>
      </c>
      <c r="JHO11" t="s">
        <v>6996</v>
      </c>
      <c r="JHP11" t="s">
        <v>6997</v>
      </c>
      <c r="JHQ11" t="s">
        <v>6998</v>
      </c>
      <c r="JHR11" t="s">
        <v>6999</v>
      </c>
      <c r="JHS11" t="s">
        <v>7000</v>
      </c>
      <c r="JHT11" t="s">
        <v>7001</v>
      </c>
      <c r="JHU11" t="s">
        <v>7002</v>
      </c>
      <c r="JHV11" t="s">
        <v>7003</v>
      </c>
      <c r="JHW11" t="s">
        <v>7004</v>
      </c>
      <c r="JHX11" t="s">
        <v>7005</v>
      </c>
      <c r="JHY11" t="s">
        <v>7006</v>
      </c>
      <c r="JHZ11" t="s">
        <v>7007</v>
      </c>
      <c r="JIA11" t="s">
        <v>7008</v>
      </c>
      <c r="JIB11" t="s">
        <v>7009</v>
      </c>
      <c r="JIC11" t="s">
        <v>7010</v>
      </c>
      <c r="JID11" t="s">
        <v>7011</v>
      </c>
      <c r="JIE11" t="s">
        <v>7012</v>
      </c>
      <c r="JIF11" t="s">
        <v>7013</v>
      </c>
      <c r="JIG11" t="s">
        <v>7014</v>
      </c>
      <c r="JIH11" t="s">
        <v>7015</v>
      </c>
      <c r="JII11" t="s">
        <v>7016</v>
      </c>
      <c r="JIJ11" t="s">
        <v>7017</v>
      </c>
      <c r="JIK11" t="s">
        <v>7018</v>
      </c>
      <c r="JIL11" t="s">
        <v>7019</v>
      </c>
      <c r="JIM11" t="s">
        <v>7020</v>
      </c>
      <c r="JIN11" t="s">
        <v>7021</v>
      </c>
      <c r="JIO11" t="s">
        <v>7022</v>
      </c>
      <c r="JIP11" t="s">
        <v>7023</v>
      </c>
      <c r="JIQ11" t="s">
        <v>7024</v>
      </c>
      <c r="JIR11" t="s">
        <v>7025</v>
      </c>
      <c r="JIS11" t="s">
        <v>7026</v>
      </c>
      <c r="JIT11" t="s">
        <v>7027</v>
      </c>
      <c r="JIU11" t="s">
        <v>7028</v>
      </c>
      <c r="JIV11" t="s">
        <v>7029</v>
      </c>
      <c r="JIW11" t="s">
        <v>7030</v>
      </c>
      <c r="JIX11" t="s">
        <v>7031</v>
      </c>
      <c r="JIY11" t="s">
        <v>7032</v>
      </c>
      <c r="JIZ11" t="s">
        <v>7033</v>
      </c>
      <c r="JJA11" t="s">
        <v>7034</v>
      </c>
      <c r="JJB11" t="s">
        <v>7035</v>
      </c>
      <c r="JJC11" t="s">
        <v>7036</v>
      </c>
      <c r="JJD11" t="s">
        <v>7037</v>
      </c>
      <c r="JJE11" t="s">
        <v>7038</v>
      </c>
      <c r="JJF11" t="s">
        <v>7039</v>
      </c>
      <c r="JJG11" t="s">
        <v>7040</v>
      </c>
      <c r="JJH11" t="s">
        <v>7041</v>
      </c>
      <c r="JJI11" t="s">
        <v>7042</v>
      </c>
      <c r="JJJ11" t="s">
        <v>7043</v>
      </c>
      <c r="JJK11" t="s">
        <v>7044</v>
      </c>
      <c r="JJL11" t="s">
        <v>7045</v>
      </c>
      <c r="JJM11" t="s">
        <v>7046</v>
      </c>
      <c r="JJN11" t="s">
        <v>7047</v>
      </c>
      <c r="JJO11" t="s">
        <v>7048</v>
      </c>
      <c r="JJP11" t="s">
        <v>7049</v>
      </c>
      <c r="JJQ11" t="s">
        <v>7050</v>
      </c>
      <c r="JJR11" t="s">
        <v>7051</v>
      </c>
      <c r="JJS11" t="s">
        <v>7052</v>
      </c>
      <c r="JJT11" t="s">
        <v>7053</v>
      </c>
      <c r="JJU11" t="s">
        <v>7054</v>
      </c>
      <c r="JJV11" t="s">
        <v>7055</v>
      </c>
      <c r="JJW11" t="s">
        <v>7056</v>
      </c>
      <c r="JJX11" t="s">
        <v>7057</v>
      </c>
      <c r="JJY11" t="s">
        <v>7058</v>
      </c>
      <c r="JJZ11" t="s">
        <v>7059</v>
      </c>
      <c r="JKA11" t="s">
        <v>7060</v>
      </c>
      <c r="JKB11" t="s">
        <v>7061</v>
      </c>
      <c r="JKC11" t="s">
        <v>7062</v>
      </c>
      <c r="JKD11" t="s">
        <v>7063</v>
      </c>
      <c r="JKE11" t="s">
        <v>7064</v>
      </c>
      <c r="JKF11" t="s">
        <v>7065</v>
      </c>
      <c r="JKG11" t="s">
        <v>7066</v>
      </c>
      <c r="JKH11" t="s">
        <v>7067</v>
      </c>
      <c r="JKI11" t="s">
        <v>7068</v>
      </c>
      <c r="JKJ11" t="s">
        <v>7069</v>
      </c>
      <c r="JKK11" t="s">
        <v>7070</v>
      </c>
      <c r="JKL11" t="s">
        <v>7071</v>
      </c>
      <c r="JKM11" t="s">
        <v>7072</v>
      </c>
      <c r="JKN11" t="s">
        <v>7073</v>
      </c>
      <c r="JKO11" t="s">
        <v>7074</v>
      </c>
      <c r="JKP11" t="s">
        <v>7075</v>
      </c>
      <c r="JKQ11" t="s">
        <v>7076</v>
      </c>
      <c r="JKR11" t="s">
        <v>7077</v>
      </c>
      <c r="JKS11" t="s">
        <v>7078</v>
      </c>
      <c r="JKT11" t="s">
        <v>7079</v>
      </c>
      <c r="JKU11" t="s">
        <v>7080</v>
      </c>
      <c r="JKV11" t="s">
        <v>7081</v>
      </c>
      <c r="JKW11" t="s">
        <v>7082</v>
      </c>
      <c r="JKX11" t="s">
        <v>7083</v>
      </c>
      <c r="JKY11" t="s">
        <v>7084</v>
      </c>
      <c r="JKZ11" t="s">
        <v>7085</v>
      </c>
      <c r="JLA11" t="s">
        <v>7086</v>
      </c>
      <c r="JLB11" t="s">
        <v>7087</v>
      </c>
      <c r="JLC11" t="s">
        <v>7088</v>
      </c>
      <c r="JLD11" t="s">
        <v>7089</v>
      </c>
      <c r="JLE11" t="s">
        <v>7090</v>
      </c>
      <c r="JLF11" t="s">
        <v>7091</v>
      </c>
      <c r="JLG11" t="s">
        <v>7092</v>
      </c>
      <c r="JLH11" t="s">
        <v>7093</v>
      </c>
      <c r="JLI11" t="s">
        <v>7094</v>
      </c>
      <c r="JLJ11" t="s">
        <v>7095</v>
      </c>
      <c r="JLK11" t="s">
        <v>7096</v>
      </c>
      <c r="JLL11" t="s">
        <v>7097</v>
      </c>
      <c r="JLM11" t="s">
        <v>7098</v>
      </c>
      <c r="JLN11" t="s">
        <v>7099</v>
      </c>
      <c r="JLO11" t="s">
        <v>7100</v>
      </c>
      <c r="JLP11" t="s">
        <v>7101</v>
      </c>
      <c r="JLQ11" t="s">
        <v>7102</v>
      </c>
      <c r="JLR11" t="s">
        <v>7103</v>
      </c>
      <c r="JLS11" t="s">
        <v>7104</v>
      </c>
      <c r="JLT11" t="s">
        <v>7105</v>
      </c>
      <c r="JLU11" t="s">
        <v>7106</v>
      </c>
      <c r="JLV11" t="s">
        <v>7107</v>
      </c>
      <c r="JLW11" t="s">
        <v>7108</v>
      </c>
      <c r="JLX11" t="s">
        <v>7109</v>
      </c>
      <c r="JLY11" t="s">
        <v>7110</v>
      </c>
      <c r="JLZ11" t="s">
        <v>7111</v>
      </c>
      <c r="JMA11" t="s">
        <v>7112</v>
      </c>
      <c r="JMB11" t="s">
        <v>7113</v>
      </c>
      <c r="JMC11" t="s">
        <v>7114</v>
      </c>
      <c r="JMD11" t="s">
        <v>7115</v>
      </c>
      <c r="JME11" t="s">
        <v>7116</v>
      </c>
      <c r="JMF11" t="s">
        <v>7117</v>
      </c>
      <c r="JMG11" t="s">
        <v>7118</v>
      </c>
      <c r="JMH11" t="s">
        <v>7119</v>
      </c>
      <c r="JMI11" t="s">
        <v>7120</v>
      </c>
      <c r="JMJ11" t="s">
        <v>7121</v>
      </c>
      <c r="JMK11" t="s">
        <v>7122</v>
      </c>
      <c r="JML11" t="s">
        <v>7123</v>
      </c>
      <c r="JMM11" t="s">
        <v>7124</v>
      </c>
      <c r="JMN11" t="s">
        <v>7125</v>
      </c>
      <c r="JMO11" t="s">
        <v>7126</v>
      </c>
      <c r="JMP11" t="s">
        <v>7127</v>
      </c>
      <c r="JMQ11" t="s">
        <v>7128</v>
      </c>
      <c r="JMR11" t="s">
        <v>7129</v>
      </c>
      <c r="JMS11" t="s">
        <v>7130</v>
      </c>
      <c r="JMT11" t="s">
        <v>7131</v>
      </c>
      <c r="JMU11" t="s">
        <v>7132</v>
      </c>
      <c r="JMV11" t="s">
        <v>7133</v>
      </c>
      <c r="JMW11" t="s">
        <v>7134</v>
      </c>
      <c r="JMX11" t="s">
        <v>7135</v>
      </c>
      <c r="JMY11" t="s">
        <v>7136</v>
      </c>
      <c r="JMZ11" t="s">
        <v>7137</v>
      </c>
      <c r="JNA11" t="s">
        <v>7138</v>
      </c>
      <c r="JNB11" t="s">
        <v>7139</v>
      </c>
      <c r="JNC11" t="s">
        <v>7140</v>
      </c>
      <c r="JND11" t="s">
        <v>7141</v>
      </c>
      <c r="JNE11" t="s">
        <v>7142</v>
      </c>
      <c r="JNF11" t="s">
        <v>7143</v>
      </c>
      <c r="JNG11" t="s">
        <v>7144</v>
      </c>
      <c r="JNH11" t="s">
        <v>7145</v>
      </c>
      <c r="JNI11" t="s">
        <v>7146</v>
      </c>
      <c r="JNJ11" t="s">
        <v>7147</v>
      </c>
      <c r="JNK11" t="s">
        <v>7148</v>
      </c>
      <c r="JNL11" t="s">
        <v>7149</v>
      </c>
      <c r="JNM11" t="s">
        <v>7150</v>
      </c>
      <c r="JNN11" t="s">
        <v>7151</v>
      </c>
      <c r="JNO11" t="s">
        <v>7152</v>
      </c>
      <c r="JNP11" t="s">
        <v>7153</v>
      </c>
      <c r="JNQ11" t="s">
        <v>7154</v>
      </c>
      <c r="JNR11" t="s">
        <v>7155</v>
      </c>
      <c r="JNS11" t="s">
        <v>7156</v>
      </c>
      <c r="JNT11" t="s">
        <v>7157</v>
      </c>
      <c r="JNU11" t="s">
        <v>7158</v>
      </c>
      <c r="JNV11" t="s">
        <v>7159</v>
      </c>
      <c r="JNW11" t="s">
        <v>7160</v>
      </c>
      <c r="JNX11" t="s">
        <v>7161</v>
      </c>
      <c r="JNY11" t="s">
        <v>7162</v>
      </c>
      <c r="JNZ11" t="s">
        <v>7163</v>
      </c>
      <c r="JOA11" t="s">
        <v>7164</v>
      </c>
      <c r="JOB11" t="s">
        <v>7165</v>
      </c>
      <c r="JOC11" t="s">
        <v>7166</v>
      </c>
      <c r="JOD11" t="s">
        <v>7167</v>
      </c>
      <c r="JOE11" t="s">
        <v>7168</v>
      </c>
      <c r="JOF11" t="s">
        <v>7169</v>
      </c>
      <c r="JOG11" t="s">
        <v>7170</v>
      </c>
      <c r="JOH11" t="s">
        <v>7171</v>
      </c>
      <c r="JOI11" t="s">
        <v>7172</v>
      </c>
      <c r="JOJ11" t="s">
        <v>7173</v>
      </c>
      <c r="JOK11" t="s">
        <v>7174</v>
      </c>
      <c r="JOL11" t="s">
        <v>7175</v>
      </c>
      <c r="JOM11" t="s">
        <v>7176</v>
      </c>
      <c r="JON11" t="s">
        <v>7177</v>
      </c>
      <c r="JOO11" t="s">
        <v>7178</v>
      </c>
      <c r="JOP11" t="s">
        <v>7179</v>
      </c>
      <c r="JOQ11" t="s">
        <v>7180</v>
      </c>
      <c r="JOR11" t="s">
        <v>7181</v>
      </c>
      <c r="JOS11" t="s">
        <v>7182</v>
      </c>
      <c r="JOT11" t="s">
        <v>7183</v>
      </c>
      <c r="JOU11" t="s">
        <v>7184</v>
      </c>
      <c r="JOV11" t="s">
        <v>7185</v>
      </c>
      <c r="JOW11" t="s">
        <v>7186</v>
      </c>
      <c r="JOX11" t="s">
        <v>7187</v>
      </c>
      <c r="JOY11" t="s">
        <v>7188</v>
      </c>
      <c r="JOZ11" t="s">
        <v>7189</v>
      </c>
      <c r="JPA11" t="s">
        <v>7190</v>
      </c>
      <c r="JPB11" t="s">
        <v>7191</v>
      </c>
      <c r="JPC11" t="s">
        <v>7192</v>
      </c>
      <c r="JPD11" t="s">
        <v>7193</v>
      </c>
      <c r="JPE11" t="s">
        <v>7194</v>
      </c>
      <c r="JPF11" t="s">
        <v>7195</v>
      </c>
      <c r="JPG11" t="s">
        <v>7196</v>
      </c>
      <c r="JPH11" t="s">
        <v>7197</v>
      </c>
      <c r="JPI11" t="s">
        <v>7198</v>
      </c>
      <c r="JPJ11" t="s">
        <v>7199</v>
      </c>
      <c r="JPK11" t="s">
        <v>7200</v>
      </c>
      <c r="JPL11" t="s">
        <v>7201</v>
      </c>
      <c r="JPM11" t="s">
        <v>7202</v>
      </c>
      <c r="JPN11" t="s">
        <v>7203</v>
      </c>
      <c r="JPO11" t="s">
        <v>7204</v>
      </c>
      <c r="JPP11" t="s">
        <v>7205</v>
      </c>
      <c r="JPQ11" t="s">
        <v>7206</v>
      </c>
      <c r="JPR11" t="s">
        <v>7207</v>
      </c>
      <c r="JPS11" t="s">
        <v>7208</v>
      </c>
      <c r="JPT11" t="s">
        <v>7209</v>
      </c>
      <c r="JPU11" t="s">
        <v>7210</v>
      </c>
      <c r="JPV11" t="s">
        <v>7211</v>
      </c>
      <c r="JPW11" t="s">
        <v>7212</v>
      </c>
      <c r="JPX11" t="s">
        <v>7213</v>
      </c>
      <c r="JPY11" t="s">
        <v>7214</v>
      </c>
      <c r="JPZ11" t="s">
        <v>7215</v>
      </c>
      <c r="JQA11" t="s">
        <v>7216</v>
      </c>
      <c r="JQB11" t="s">
        <v>7217</v>
      </c>
      <c r="JQC11" t="s">
        <v>7218</v>
      </c>
      <c r="JQD11" t="s">
        <v>7219</v>
      </c>
      <c r="JQE11" t="s">
        <v>7220</v>
      </c>
      <c r="JQF11" t="s">
        <v>7221</v>
      </c>
      <c r="JQG11" t="s">
        <v>7222</v>
      </c>
      <c r="JQH11" t="s">
        <v>7223</v>
      </c>
      <c r="JQI11" t="s">
        <v>7224</v>
      </c>
      <c r="JQJ11" t="s">
        <v>7225</v>
      </c>
      <c r="JQK11" t="s">
        <v>7226</v>
      </c>
      <c r="JQL11" t="s">
        <v>7227</v>
      </c>
      <c r="JQM11" t="s">
        <v>7228</v>
      </c>
      <c r="JQN11" t="s">
        <v>7229</v>
      </c>
      <c r="JQO11" t="s">
        <v>7230</v>
      </c>
      <c r="JQP11" t="s">
        <v>7231</v>
      </c>
      <c r="JQQ11" t="s">
        <v>7232</v>
      </c>
      <c r="JQR11" t="s">
        <v>7233</v>
      </c>
      <c r="JQS11" t="s">
        <v>7234</v>
      </c>
      <c r="JQT11" t="s">
        <v>7235</v>
      </c>
      <c r="JQU11" t="s">
        <v>7236</v>
      </c>
      <c r="JQV11" t="s">
        <v>7237</v>
      </c>
      <c r="JQW11" t="s">
        <v>7238</v>
      </c>
      <c r="JQX11" t="s">
        <v>7239</v>
      </c>
      <c r="JQY11" t="s">
        <v>7240</v>
      </c>
      <c r="JQZ11" t="s">
        <v>7241</v>
      </c>
      <c r="JRA11" t="s">
        <v>7242</v>
      </c>
      <c r="JRB11" t="s">
        <v>7243</v>
      </c>
      <c r="JRC11" t="s">
        <v>7244</v>
      </c>
      <c r="JRD11" t="s">
        <v>7245</v>
      </c>
      <c r="JRE11" t="s">
        <v>7246</v>
      </c>
      <c r="JRF11" t="s">
        <v>7247</v>
      </c>
      <c r="JRG11" t="s">
        <v>7248</v>
      </c>
      <c r="JRH11" t="s">
        <v>7249</v>
      </c>
      <c r="JRI11" t="s">
        <v>7250</v>
      </c>
      <c r="JRJ11" t="s">
        <v>7251</v>
      </c>
      <c r="JRK11" t="s">
        <v>7252</v>
      </c>
      <c r="JRL11" t="s">
        <v>7253</v>
      </c>
      <c r="JRM11" t="s">
        <v>7254</v>
      </c>
      <c r="JRN11" t="s">
        <v>7255</v>
      </c>
      <c r="JRO11" t="s">
        <v>7256</v>
      </c>
      <c r="JRP11" t="s">
        <v>7257</v>
      </c>
      <c r="JRQ11" t="s">
        <v>7258</v>
      </c>
      <c r="JRR11" t="s">
        <v>7259</v>
      </c>
      <c r="JRS11" t="s">
        <v>7260</v>
      </c>
      <c r="JRT11" t="s">
        <v>7261</v>
      </c>
      <c r="JRU11" t="s">
        <v>7262</v>
      </c>
      <c r="JRV11" t="s">
        <v>7263</v>
      </c>
      <c r="JRW11" t="s">
        <v>7264</v>
      </c>
      <c r="JRX11" t="s">
        <v>7265</v>
      </c>
      <c r="JRY11" t="s">
        <v>7266</v>
      </c>
      <c r="JRZ11" t="s">
        <v>7267</v>
      </c>
      <c r="JSA11" t="s">
        <v>7268</v>
      </c>
      <c r="JSB11" t="s">
        <v>7269</v>
      </c>
      <c r="JSC11" t="s">
        <v>7270</v>
      </c>
      <c r="JSD11" t="s">
        <v>7271</v>
      </c>
      <c r="JSE11" t="s">
        <v>7272</v>
      </c>
      <c r="JSF11" t="s">
        <v>7273</v>
      </c>
      <c r="JSG11" t="s">
        <v>7274</v>
      </c>
      <c r="JSH11" t="s">
        <v>7275</v>
      </c>
      <c r="JSI11" t="s">
        <v>7276</v>
      </c>
      <c r="JSJ11" t="s">
        <v>7277</v>
      </c>
      <c r="JSK11" t="s">
        <v>7278</v>
      </c>
      <c r="JSL11" t="s">
        <v>7279</v>
      </c>
      <c r="JSM11" t="s">
        <v>7280</v>
      </c>
      <c r="JSN11" t="s">
        <v>7281</v>
      </c>
      <c r="JSO11" t="s">
        <v>7282</v>
      </c>
      <c r="JSP11" t="s">
        <v>7283</v>
      </c>
      <c r="JSQ11" t="s">
        <v>7284</v>
      </c>
      <c r="JSR11" t="s">
        <v>7285</v>
      </c>
      <c r="JSS11" t="s">
        <v>7286</v>
      </c>
      <c r="JST11" t="s">
        <v>7287</v>
      </c>
      <c r="JSU11" t="s">
        <v>7288</v>
      </c>
      <c r="JSV11" t="s">
        <v>7289</v>
      </c>
      <c r="JSW11" t="s">
        <v>7290</v>
      </c>
      <c r="JSX11" t="s">
        <v>7291</v>
      </c>
      <c r="JSY11" t="s">
        <v>7292</v>
      </c>
      <c r="JSZ11" t="s">
        <v>7293</v>
      </c>
      <c r="JTA11" t="s">
        <v>7294</v>
      </c>
      <c r="JTB11" t="s">
        <v>7295</v>
      </c>
      <c r="JTC11" t="s">
        <v>7296</v>
      </c>
      <c r="JTD11" t="s">
        <v>7297</v>
      </c>
      <c r="JTE11" t="s">
        <v>7298</v>
      </c>
      <c r="JTF11" t="s">
        <v>7299</v>
      </c>
      <c r="JTG11" t="s">
        <v>7300</v>
      </c>
      <c r="JTH11" t="s">
        <v>7301</v>
      </c>
      <c r="JTI11" t="s">
        <v>7302</v>
      </c>
      <c r="JTJ11" t="s">
        <v>7303</v>
      </c>
      <c r="JTK11" t="s">
        <v>7304</v>
      </c>
      <c r="JTL11" t="s">
        <v>7305</v>
      </c>
      <c r="JTM11" t="s">
        <v>7306</v>
      </c>
      <c r="JTN11" t="s">
        <v>7307</v>
      </c>
      <c r="JTO11" t="s">
        <v>7308</v>
      </c>
      <c r="JTP11" t="s">
        <v>7309</v>
      </c>
      <c r="JTQ11" t="s">
        <v>7310</v>
      </c>
      <c r="JTR11" t="s">
        <v>7311</v>
      </c>
      <c r="JTS11" t="s">
        <v>7312</v>
      </c>
      <c r="JTT11" t="s">
        <v>7313</v>
      </c>
      <c r="JTU11" t="s">
        <v>7314</v>
      </c>
      <c r="JTV11" t="s">
        <v>7315</v>
      </c>
      <c r="JTW11" t="s">
        <v>7316</v>
      </c>
      <c r="JTX11" t="s">
        <v>7317</v>
      </c>
      <c r="JTY11" t="s">
        <v>7318</v>
      </c>
      <c r="JTZ11" t="s">
        <v>7319</v>
      </c>
      <c r="JUA11" t="s">
        <v>7320</v>
      </c>
      <c r="JUB11" t="s">
        <v>7321</v>
      </c>
      <c r="JUC11" t="s">
        <v>7322</v>
      </c>
      <c r="JUD11" t="s">
        <v>7323</v>
      </c>
      <c r="JUE11" t="s">
        <v>7324</v>
      </c>
      <c r="JUF11" t="s">
        <v>7325</v>
      </c>
      <c r="JUG11" t="s">
        <v>7326</v>
      </c>
      <c r="JUH11" t="s">
        <v>7327</v>
      </c>
      <c r="JUI11" t="s">
        <v>7328</v>
      </c>
      <c r="JUJ11" t="s">
        <v>7329</v>
      </c>
      <c r="JUK11" t="s">
        <v>7330</v>
      </c>
      <c r="JUL11" t="s">
        <v>7331</v>
      </c>
      <c r="JUM11" t="s">
        <v>7332</v>
      </c>
      <c r="JUN11" t="s">
        <v>7333</v>
      </c>
      <c r="JUO11" t="s">
        <v>7334</v>
      </c>
      <c r="JUP11" t="s">
        <v>7335</v>
      </c>
      <c r="JUQ11" t="s">
        <v>7336</v>
      </c>
      <c r="JUR11" t="s">
        <v>7337</v>
      </c>
      <c r="JUS11" t="s">
        <v>7338</v>
      </c>
      <c r="JUT11" t="s">
        <v>7339</v>
      </c>
      <c r="JUU11" t="s">
        <v>7340</v>
      </c>
      <c r="JUV11" t="s">
        <v>7341</v>
      </c>
      <c r="JUW11" t="s">
        <v>7342</v>
      </c>
      <c r="JUX11" t="s">
        <v>7343</v>
      </c>
      <c r="JUY11" t="s">
        <v>7344</v>
      </c>
      <c r="JUZ11" t="s">
        <v>7345</v>
      </c>
      <c r="JVA11" t="s">
        <v>7346</v>
      </c>
      <c r="JVB11" t="s">
        <v>7347</v>
      </c>
      <c r="JVC11" t="s">
        <v>7348</v>
      </c>
      <c r="JVD11" t="s">
        <v>7349</v>
      </c>
      <c r="JVE11" t="s">
        <v>7350</v>
      </c>
      <c r="JVF11" t="s">
        <v>7351</v>
      </c>
      <c r="JVG11" t="s">
        <v>7352</v>
      </c>
      <c r="JVH11" t="s">
        <v>7353</v>
      </c>
      <c r="JVI11" t="s">
        <v>7354</v>
      </c>
      <c r="JVJ11" t="s">
        <v>7355</v>
      </c>
      <c r="JVK11" t="s">
        <v>7356</v>
      </c>
      <c r="JVL11" t="s">
        <v>7357</v>
      </c>
      <c r="JVM11" t="s">
        <v>7358</v>
      </c>
      <c r="JVN11" t="s">
        <v>7359</v>
      </c>
      <c r="JVO11" t="s">
        <v>7360</v>
      </c>
      <c r="JVP11" t="s">
        <v>7361</v>
      </c>
      <c r="JVQ11" t="s">
        <v>7362</v>
      </c>
      <c r="JVR11" t="s">
        <v>7363</v>
      </c>
      <c r="JVS11" t="s">
        <v>7364</v>
      </c>
      <c r="JVT11" t="s">
        <v>7365</v>
      </c>
      <c r="JVU11" t="s">
        <v>7366</v>
      </c>
      <c r="JVV11" t="s">
        <v>7367</v>
      </c>
      <c r="JVW11" t="s">
        <v>7368</v>
      </c>
      <c r="JVX11" t="s">
        <v>7369</v>
      </c>
      <c r="JVY11" t="s">
        <v>7370</v>
      </c>
      <c r="JVZ11" t="s">
        <v>7371</v>
      </c>
      <c r="JWA11" t="s">
        <v>7372</v>
      </c>
      <c r="JWB11" t="s">
        <v>7373</v>
      </c>
      <c r="JWC11" t="s">
        <v>7374</v>
      </c>
      <c r="JWD11" t="s">
        <v>7375</v>
      </c>
      <c r="JWE11" t="s">
        <v>7376</v>
      </c>
      <c r="JWF11" t="s">
        <v>7377</v>
      </c>
      <c r="JWG11" t="s">
        <v>7378</v>
      </c>
      <c r="JWH11" t="s">
        <v>7379</v>
      </c>
      <c r="JWI11" t="s">
        <v>7380</v>
      </c>
      <c r="JWJ11" t="s">
        <v>7381</v>
      </c>
      <c r="JWK11" t="s">
        <v>7382</v>
      </c>
      <c r="JWL11" t="s">
        <v>7383</v>
      </c>
      <c r="JWM11" t="s">
        <v>7384</v>
      </c>
      <c r="JWN11" t="s">
        <v>7385</v>
      </c>
      <c r="JWO11" t="s">
        <v>7386</v>
      </c>
      <c r="JWP11" t="s">
        <v>7387</v>
      </c>
      <c r="JWQ11" t="s">
        <v>7388</v>
      </c>
      <c r="JWR11" t="s">
        <v>7389</v>
      </c>
      <c r="JWS11" t="s">
        <v>7390</v>
      </c>
      <c r="JWT11" t="s">
        <v>7391</v>
      </c>
      <c r="JWU11" t="s">
        <v>7392</v>
      </c>
      <c r="JWV11" t="s">
        <v>7393</v>
      </c>
      <c r="JWW11" t="s">
        <v>7394</v>
      </c>
      <c r="JWX11" t="s">
        <v>7395</v>
      </c>
      <c r="JWY11" t="s">
        <v>7396</v>
      </c>
      <c r="JWZ11" t="s">
        <v>7397</v>
      </c>
      <c r="JXA11" t="s">
        <v>7398</v>
      </c>
      <c r="JXB11" t="s">
        <v>7399</v>
      </c>
      <c r="JXC11" t="s">
        <v>7400</v>
      </c>
      <c r="JXD11" t="s">
        <v>7401</v>
      </c>
      <c r="JXE11" t="s">
        <v>7402</v>
      </c>
      <c r="JXF11" t="s">
        <v>7403</v>
      </c>
      <c r="JXG11" t="s">
        <v>7404</v>
      </c>
      <c r="JXH11" t="s">
        <v>7405</v>
      </c>
      <c r="JXI11" t="s">
        <v>7406</v>
      </c>
      <c r="JXJ11" t="s">
        <v>7407</v>
      </c>
      <c r="JXK11" t="s">
        <v>7408</v>
      </c>
      <c r="JXL11" t="s">
        <v>7409</v>
      </c>
      <c r="JXM11" t="s">
        <v>7410</v>
      </c>
      <c r="JXN11" t="s">
        <v>7411</v>
      </c>
      <c r="JXO11" t="s">
        <v>7412</v>
      </c>
      <c r="JXP11" t="s">
        <v>7413</v>
      </c>
      <c r="JXQ11" t="s">
        <v>7414</v>
      </c>
      <c r="JXR11" t="s">
        <v>7415</v>
      </c>
      <c r="JXS11" t="s">
        <v>7416</v>
      </c>
      <c r="JXT11" t="s">
        <v>7417</v>
      </c>
      <c r="JXU11" t="s">
        <v>7418</v>
      </c>
      <c r="JXV11" t="s">
        <v>7419</v>
      </c>
      <c r="JXW11" t="s">
        <v>7420</v>
      </c>
      <c r="JXX11" t="s">
        <v>7421</v>
      </c>
      <c r="JXY11" t="s">
        <v>7422</v>
      </c>
      <c r="JXZ11" t="s">
        <v>7423</v>
      </c>
      <c r="JYA11" t="s">
        <v>7424</v>
      </c>
      <c r="JYB11" t="s">
        <v>7425</v>
      </c>
      <c r="JYC11" t="s">
        <v>7426</v>
      </c>
      <c r="JYD11" t="s">
        <v>7427</v>
      </c>
      <c r="JYE11" t="s">
        <v>7428</v>
      </c>
      <c r="JYF11" t="s">
        <v>7429</v>
      </c>
      <c r="JYG11" t="s">
        <v>7430</v>
      </c>
      <c r="JYH11" t="s">
        <v>7431</v>
      </c>
      <c r="JYI11" t="s">
        <v>7432</v>
      </c>
      <c r="JYJ11" t="s">
        <v>7433</v>
      </c>
      <c r="JYK11" t="s">
        <v>7434</v>
      </c>
      <c r="JYL11" t="s">
        <v>7435</v>
      </c>
      <c r="JYM11" t="s">
        <v>7436</v>
      </c>
      <c r="JYN11" t="s">
        <v>7437</v>
      </c>
      <c r="JYO11" t="s">
        <v>7438</v>
      </c>
      <c r="JYP11" t="s">
        <v>7439</v>
      </c>
      <c r="JYQ11" t="s">
        <v>7440</v>
      </c>
      <c r="JYR11" t="s">
        <v>7441</v>
      </c>
      <c r="JYS11" t="s">
        <v>7442</v>
      </c>
      <c r="JYT11" t="s">
        <v>7443</v>
      </c>
      <c r="JYU11" t="s">
        <v>7444</v>
      </c>
      <c r="JYV11" t="s">
        <v>7445</v>
      </c>
      <c r="JYW11" t="s">
        <v>7446</v>
      </c>
      <c r="JYX11" t="s">
        <v>7447</v>
      </c>
      <c r="JYY11" t="s">
        <v>7448</v>
      </c>
      <c r="JYZ11" t="s">
        <v>7449</v>
      </c>
      <c r="JZA11" t="s">
        <v>7450</v>
      </c>
      <c r="JZB11" t="s">
        <v>7451</v>
      </c>
      <c r="JZC11" t="s">
        <v>7452</v>
      </c>
      <c r="JZD11" t="s">
        <v>7453</v>
      </c>
      <c r="JZE11" t="s">
        <v>7454</v>
      </c>
      <c r="JZF11" t="s">
        <v>7455</v>
      </c>
      <c r="JZG11" t="s">
        <v>7456</v>
      </c>
      <c r="JZH11" t="s">
        <v>7457</v>
      </c>
      <c r="JZI11" t="s">
        <v>7458</v>
      </c>
      <c r="JZJ11" t="s">
        <v>7459</v>
      </c>
      <c r="JZK11" t="s">
        <v>7460</v>
      </c>
      <c r="JZL11" t="s">
        <v>7461</v>
      </c>
      <c r="JZM11" t="s">
        <v>7462</v>
      </c>
      <c r="JZN11" t="s">
        <v>7463</v>
      </c>
      <c r="JZO11" t="s">
        <v>7464</v>
      </c>
      <c r="JZP11" t="s">
        <v>7465</v>
      </c>
      <c r="JZQ11" t="s">
        <v>7466</v>
      </c>
      <c r="JZR11" t="s">
        <v>7467</v>
      </c>
      <c r="JZS11" t="s">
        <v>7468</v>
      </c>
      <c r="JZT11" t="s">
        <v>7469</v>
      </c>
      <c r="JZU11" t="s">
        <v>7470</v>
      </c>
      <c r="JZV11" t="s">
        <v>7471</v>
      </c>
      <c r="JZW11" t="s">
        <v>7472</v>
      </c>
      <c r="JZX11" t="s">
        <v>7473</v>
      </c>
      <c r="JZY11" t="s">
        <v>7474</v>
      </c>
      <c r="JZZ11" t="s">
        <v>7475</v>
      </c>
      <c r="KAA11" t="s">
        <v>7476</v>
      </c>
      <c r="KAB11" t="s">
        <v>7477</v>
      </c>
      <c r="KAC11" t="s">
        <v>7478</v>
      </c>
      <c r="KAD11" t="s">
        <v>7479</v>
      </c>
      <c r="KAE11" t="s">
        <v>7480</v>
      </c>
      <c r="KAF11" t="s">
        <v>7481</v>
      </c>
      <c r="KAG11" t="s">
        <v>7482</v>
      </c>
      <c r="KAH11" t="s">
        <v>7483</v>
      </c>
      <c r="KAI11" t="s">
        <v>7484</v>
      </c>
      <c r="KAJ11" t="s">
        <v>7485</v>
      </c>
      <c r="KAK11" t="s">
        <v>7486</v>
      </c>
      <c r="KAL11" t="s">
        <v>7487</v>
      </c>
      <c r="KAM11" t="s">
        <v>7488</v>
      </c>
      <c r="KAN11" t="s">
        <v>7489</v>
      </c>
      <c r="KAO11" t="s">
        <v>7490</v>
      </c>
      <c r="KAP11" t="s">
        <v>7491</v>
      </c>
      <c r="KAQ11" t="s">
        <v>7492</v>
      </c>
      <c r="KAR11" t="s">
        <v>7493</v>
      </c>
      <c r="KAS11" t="s">
        <v>7494</v>
      </c>
      <c r="KAT11" t="s">
        <v>7495</v>
      </c>
      <c r="KAU11" t="s">
        <v>7496</v>
      </c>
      <c r="KAV11" t="s">
        <v>7497</v>
      </c>
      <c r="KAW11" t="s">
        <v>7498</v>
      </c>
      <c r="KAX11" t="s">
        <v>7499</v>
      </c>
      <c r="KAY11" t="s">
        <v>7500</v>
      </c>
      <c r="KAZ11" t="s">
        <v>7501</v>
      </c>
      <c r="KBA11" t="s">
        <v>7502</v>
      </c>
      <c r="KBB11" t="s">
        <v>7503</v>
      </c>
      <c r="KBC11" t="s">
        <v>7504</v>
      </c>
      <c r="KBD11" t="s">
        <v>7505</v>
      </c>
      <c r="KBE11" t="s">
        <v>7506</v>
      </c>
      <c r="KBF11" t="s">
        <v>7507</v>
      </c>
      <c r="KBG11" t="s">
        <v>7508</v>
      </c>
      <c r="KBH11" t="s">
        <v>7509</v>
      </c>
      <c r="KBI11" t="s">
        <v>7510</v>
      </c>
      <c r="KBJ11" t="s">
        <v>7511</v>
      </c>
      <c r="KBK11" t="s">
        <v>7512</v>
      </c>
      <c r="KBL11" t="s">
        <v>7513</v>
      </c>
      <c r="KBM11" t="s">
        <v>7514</v>
      </c>
      <c r="KBN11" t="s">
        <v>7515</v>
      </c>
      <c r="KBO11" t="s">
        <v>7516</v>
      </c>
      <c r="KBP11" t="s">
        <v>7517</v>
      </c>
      <c r="KBQ11" t="s">
        <v>7518</v>
      </c>
      <c r="KBR11" t="s">
        <v>7519</v>
      </c>
      <c r="KBS11" t="s">
        <v>7520</v>
      </c>
      <c r="KBT11" t="s">
        <v>7521</v>
      </c>
      <c r="KBU11" t="s">
        <v>7522</v>
      </c>
      <c r="KBV11" t="s">
        <v>7523</v>
      </c>
      <c r="KBW11" t="s">
        <v>7524</v>
      </c>
      <c r="KBX11" t="s">
        <v>7525</v>
      </c>
      <c r="KBY11" t="s">
        <v>7526</v>
      </c>
      <c r="KBZ11" t="s">
        <v>7527</v>
      </c>
      <c r="KCA11" t="s">
        <v>7528</v>
      </c>
      <c r="KCB11" t="s">
        <v>7529</v>
      </c>
      <c r="KCC11" t="s">
        <v>7530</v>
      </c>
      <c r="KCD11" t="s">
        <v>7531</v>
      </c>
      <c r="KCE11" t="s">
        <v>7532</v>
      </c>
      <c r="KCF11" t="s">
        <v>7533</v>
      </c>
      <c r="KCG11" t="s">
        <v>7534</v>
      </c>
      <c r="KCH11" t="s">
        <v>7535</v>
      </c>
      <c r="KCI11" t="s">
        <v>7536</v>
      </c>
      <c r="KCJ11" t="s">
        <v>7537</v>
      </c>
      <c r="KCK11" t="s">
        <v>7538</v>
      </c>
      <c r="KCL11" t="s">
        <v>7539</v>
      </c>
      <c r="KCM11" t="s">
        <v>7540</v>
      </c>
      <c r="KCN11" t="s">
        <v>7541</v>
      </c>
      <c r="KCO11" t="s">
        <v>7542</v>
      </c>
      <c r="KCP11" t="s">
        <v>7543</v>
      </c>
      <c r="KCQ11" t="s">
        <v>7544</v>
      </c>
      <c r="KCR11" t="s">
        <v>7545</v>
      </c>
      <c r="KCS11" t="s">
        <v>7546</v>
      </c>
      <c r="KCT11" t="s">
        <v>7547</v>
      </c>
      <c r="KCU11" t="s">
        <v>7548</v>
      </c>
      <c r="KCV11" t="s">
        <v>7549</v>
      </c>
      <c r="KCW11" t="s">
        <v>7550</v>
      </c>
      <c r="KCX11" t="s">
        <v>7551</v>
      </c>
      <c r="KCY11" t="s">
        <v>7552</v>
      </c>
      <c r="KCZ11" t="s">
        <v>7553</v>
      </c>
      <c r="KDA11" t="s">
        <v>7554</v>
      </c>
      <c r="KDB11" t="s">
        <v>7555</v>
      </c>
      <c r="KDC11" t="s">
        <v>7556</v>
      </c>
      <c r="KDD11" t="s">
        <v>7557</v>
      </c>
      <c r="KDE11" t="s">
        <v>7558</v>
      </c>
      <c r="KDF11" t="s">
        <v>7559</v>
      </c>
      <c r="KDG11" t="s">
        <v>7560</v>
      </c>
      <c r="KDH11" t="s">
        <v>7561</v>
      </c>
      <c r="KDI11" t="s">
        <v>7562</v>
      </c>
      <c r="KDJ11" t="s">
        <v>7563</v>
      </c>
      <c r="KDK11" t="s">
        <v>7564</v>
      </c>
      <c r="KDL11" t="s">
        <v>7565</v>
      </c>
      <c r="KDM11" t="s">
        <v>7566</v>
      </c>
      <c r="KDN11" t="s">
        <v>7567</v>
      </c>
      <c r="KDO11" t="s">
        <v>7568</v>
      </c>
      <c r="KDP11" t="s">
        <v>7569</v>
      </c>
      <c r="KDQ11" t="s">
        <v>7570</v>
      </c>
      <c r="KDR11" t="s">
        <v>7571</v>
      </c>
      <c r="KDS11" t="s">
        <v>7572</v>
      </c>
      <c r="KDT11" t="s">
        <v>7573</v>
      </c>
      <c r="KDU11" t="s">
        <v>7574</v>
      </c>
      <c r="KDV11" t="s">
        <v>7575</v>
      </c>
      <c r="KDW11" t="s">
        <v>7576</v>
      </c>
      <c r="KDX11" t="s">
        <v>7577</v>
      </c>
      <c r="KDY11" t="s">
        <v>7578</v>
      </c>
      <c r="KDZ11" t="s">
        <v>7579</v>
      </c>
      <c r="KEA11" t="s">
        <v>7580</v>
      </c>
      <c r="KEB11" t="s">
        <v>7581</v>
      </c>
      <c r="KEC11" t="s">
        <v>7582</v>
      </c>
      <c r="KED11" t="s">
        <v>7583</v>
      </c>
      <c r="KEE11" t="s">
        <v>7584</v>
      </c>
      <c r="KEF11" t="s">
        <v>7585</v>
      </c>
      <c r="KEG11" t="s">
        <v>7586</v>
      </c>
      <c r="KEH11" t="s">
        <v>7587</v>
      </c>
      <c r="KEI11" t="s">
        <v>7588</v>
      </c>
      <c r="KEJ11" t="s">
        <v>7589</v>
      </c>
      <c r="KEK11" t="s">
        <v>7590</v>
      </c>
      <c r="KEL11" t="s">
        <v>7591</v>
      </c>
      <c r="KEM11" t="s">
        <v>7592</v>
      </c>
      <c r="KEN11" t="s">
        <v>7593</v>
      </c>
      <c r="KEO11" t="s">
        <v>7594</v>
      </c>
      <c r="KEP11" t="s">
        <v>7595</v>
      </c>
      <c r="KEQ11" t="s">
        <v>7596</v>
      </c>
      <c r="KER11" t="s">
        <v>7597</v>
      </c>
      <c r="KES11" t="s">
        <v>7598</v>
      </c>
      <c r="KET11" t="s">
        <v>7599</v>
      </c>
      <c r="KEU11" t="s">
        <v>7600</v>
      </c>
      <c r="KEV11" t="s">
        <v>7601</v>
      </c>
      <c r="KEW11" t="s">
        <v>7602</v>
      </c>
      <c r="KEX11" t="s">
        <v>7603</v>
      </c>
      <c r="KEY11" t="s">
        <v>7604</v>
      </c>
      <c r="KEZ11" t="s">
        <v>7605</v>
      </c>
      <c r="KFA11" t="s">
        <v>7606</v>
      </c>
      <c r="KFB11" t="s">
        <v>7607</v>
      </c>
      <c r="KFC11" t="s">
        <v>7608</v>
      </c>
      <c r="KFD11" t="s">
        <v>7609</v>
      </c>
      <c r="KFE11" t="s">
        <v>7610</v>
      </c>
      <c r="KFF11" t="s">
        <v>7611</v>
      </c>
      <c r="KFG11" t="s">
        <v>7612</v>
      </c>
      <c r="KFH11" t="s">
        <v>7613</v>
      </c>
      <c r="KFI11" t="s">
        <v>7614</v>
      </c>
      <c r="KFJ11" t="s">
        <v>7615</v>
      </c>
      <c r="KFK11" t="s">
        <v>7616</v>
      </c>
      <c r="KFL11" t="s">
        <v>7617</v>
      </c>
      <c r="KFM11" t="s">
        <v>7618</v>
      </c>
      <c r="KFN11" t="s">
        <v>7619</v>
      </c>
      <c r="KFO11" t="s">
        <v>7620</v>
      </c>
      <c r="KFP11" t="s">
        <v>7621</v>
      </c>
      <c r="KFQ11" t="s">
        <v>7622</v>
      </c>
      <c r="KFR11" t="s">
        <v>7623</v>
      </c>
      <c r="KFS11" t="s">
        <v>7624</v>
      </c>
      <c r="KFT11" t="s">
        <v>7625</v>
      </c>
      <c r="KFU11" t="s">
        <v>7626</v>
      </c>
      <c r="KFV11" t="s">
        <v>7627</v>
      </c>
      <c r="KFW11" t="s">
        <v>7628</v>
      </c>
      <c r="KFX11" t="s">
        <v>7629</v>
      </c>
      <c r="KFY11" t="s">
        <v>7630</v>
      </c>
      <c r="KFZ11" t="s">
        <v>7631</v>
      </c>
      <c r="KGA11" t="s">
        <v>7632</v>
      </c>
      <c r="KGB11" t="s">
        <v>7633</v>
      </c>
      <c r="KGC11" t="s">
        <v>7634</v>
      </c>
      <c r="KGD11" t="s">
        <v>7635</v>
      </c>
      <c r="KGE11" t="s">
        <v>7636</v>
      </c>
      <c r="KGF11" t="s">
        <v>7637</v>
      </c>
      <c r="KGG11" t="s">
        <v>7638</v>
      </c>
      <c r="KGH11" t="s">
        <v>7639</v>
      </c>
      <c r="KGI11" t="s">
        <v>7640</v>
      </c>
      <c r="KGJ11" t="s">
        <v>7641</v>
      </c>
      <c r="KGK11" t="s">
        <v>7642</v>
      </c>
      <c r="KGL11" t="s">
        <v>7643</v>
      </c>
      <c r="KGM11" t="s">
        <v>7644</v>
      </c>
      <c r="KGN11" t="s">
        <v>7645</v>
      </c>
      <c r="KGO11" t="s">
        <v>7646</v>
      </c>
      <c r="KGP11" t="s">
        <v>7647</v>
      </c>
      <c r="KGQ11" t="s">
        <v>7648</v>
      </c>
      <c r="KGR11" t="s">
        <v>7649</v>
      </c>
      <c r="KGS11" t="s">
        <v>7650</v>
      </c>
      <c r="KGT11" t="s">
        <v>7651</v>
      </c>
      <c r="KGU11" t="s">
        <v>7652</v>
      </c>
      <c r="KGV11" t="s">
        <v>7653</v>
      </c>
      <c r="KGW11" t="s">
        <v>7654</v>
      </c>
      <c r="KGX11" t="s">
        <v>7655</v>
      </c>
      <c r="KGY11" t="s">
        <v>7656</v>
      </c>
      <c r="KGZ11" t="s">
        <v>7657</v>
      </c>
      <c r="KHA11" t="s">
        <v>7658</v>
      </c>
      <c r="KHB11" t="s">
        <v>7659</v>
      </c>
      <c r="KHC11" t="s">
        <v>7660</v>
      </c>
      <c r="KHD11" t="s">
        <v>7661</v>
      </c>
      <c r="KHE11" t="s">
        <v>7662</v>
      </c>
      <c r="KHF11" t="s">
        <v>7663</v>
      </c>
      <c r="KHG11" t="s">
        <v>7664</v>
      </c>
      <c r="KHH11" t="s">
        <v>7665</v>
      </c>
      <c r="KHI11" t="s">
        <v>7666</v>
      </c>
      <c r="KHJ11" t="s">
        <v>7667</v>
      </c>
      <c r="KHK11" t="s">
        <v>7668</v>
      </c>
      <c r="KHL11" t="s">
        <v>7669</v>
      </c>
      <c r="KHM11" t="s">
        <v>7670</v>
      </c>
      <c r="KHN11" t="s">
        <v>7671</v>
      </c>
      <c r="KHO11" t="s">
        <v>7672</v>
      </c>
      <c r="KHP11" t="s">
        <v>7673</v>
      </c>
      <c r="KHQ11" t="s">
        <v>7674</v>
      </c>
      <c r="KHR11" t="s">
        <v>7675</v>
      </c>
      <c r="KHS11" t="s">
        <v>7676</v>
      </c>
      <c r="KHT11" t="s">
        <v>7677</v>
      </c>
      <c r="KHU11" t="s">
        <v>7678</v>
      </c>
      <c r="KHV11" t="s">
        <v>7679</v>
      </c>
      <c r="KHW11" t="s">
        <v>7680</v>
      </c>
      <c r="KHX11" t="s">
        <v>7681</v>
      </c>
      <c r="KHY11" t="s">
        <v>7682</v>
      </c>
      <c r="KHZ11" t="s">
        <v>7683</v>
      </c>
      <c r="KIA11" t="s">
        <v>7684</v>
      </c>
      <c r="KIB11" t="s">
        <v>7685</v>
      </c>
      <c r="KIC11" t="s">
        <v>7686</v>
      </c>
      <c r="KID11" t="s">
        <v>7687</v>
      </c>
      <c r="KIE11" t="s">
        <v>7688</v>
      </c>
      <c r="KIF11" t="s">
        <v>7689</v>
      </c>
      <c r="KIG11" t="s">
        <v>7690</v>
      </c>
      <c r="KIH11" t="s">
        <v>7691</v>
      </c>
      <c r="KII11" t="s">
        <v>7692</v>
      </c>
      <c r="KIJ11" t="s">
        <v>7693</v>
      </c>
      <c r="KIK11" t="s">
        <v>7694</v>
      </c>
      <c r="KIL11" t="s">
        <v>7695</v>
      </c>
      <c r="KIM11" t="s">
        <v>7696</v>
      </c>
      <c r="KIN11" t="s">
        <v>7697</v>
      </c>
      <c r="KIO11" t="s">
        <v>7698</v>
      </c>
      <c r="KIP11" t="s">
        <v>7699</v>
      </c>
      <c r="KIQ11" t="s">
        <v>7700</v>
      </c>
      <c r="KIR11" t="s">
        <v>7701</v>
      </c>
      <c r="KIS11" t="s">
        <v>7702</v>
      </c>
      <c r="KIT11" t="s">
        <v>7703</v>
      </c>
      <c r="KIU11" t="s">
        <v>7704</v>
      </c>
      <c r="KIV11" t="s">
        <v>7705</v>
      </c>
      <c r="KIW11" t="s">
        <v>7706</v>
      </c>
      <c r="KIX11" t="s">
        <v>7707</v>
      </c>
      <c r="KIY11" t="s">
        <v>7708</v>
      </c>
      <c r="KIZ11" t="s">
        <v>7709</v>
      </c>
      <c r="KJA11" t="s">
        <v>7710</v>
      </c>
      <c r="KJB11" t="s">
        <v>7711</v>
      </c>
      <c r="KJC11" t="s">
        <v>7712</v>
      </c>
      <c r="KJD11" t="s">
        <v>7713</v>
      </c>
      <c r="KJE11" t="s">
        <v>7714</v>
      </c>
      <c r="KJF11" t="s">
        <v>7715</v>
      </c>
      <c r="KJG11" t="s">
        <v>7716</v>
      </c>
      <c r="KJH11" t="s">
        <v>7717</v>
      </c>
      <c r="KJI11" t="s">
        <v>7718</v>
      </c>
      <c r="KJJ11" t="s">
        <v>7719</v>
      </c>
      <c r="KJK11" t="s">
        <v>7720</v>
      </c>
      <c r="KJL11" t="s">
        <v>7721</v>
      </c>
      <c r="KJM11" t="s">
        <v>7722</v>
      </c>
      <c r="KJN11" t="s">
        <v>7723</v>
      </c>
      <c r="KJO11" t="s">
        <v>7724</v>
      </c>
      <c r="KJP11" t="s">
        <v>7725</v>
      </c>
      <c r="KJQ11" t="s">
        <v>7726</v>
      </c>
      <c r="KJR11" t="s">
        <v>7727</v>
      </c>
      <c r="KJS11" t="s">
        <v>7728</v>
      </c>
      <c r="KJT11" t="s">
        <v>7729</v>
      </c>
      <c r="KJU11" t="s">
        <v>7730</v>
      </c>
      <c r="KJV11" t="s">
        <v>7731</v>
      </c>
      <c r="KJW11" t="s">
        <v>7732</v>
      </c>
      <c r="KJX11" t="s">
        <v>7733</v>
      </c>
      <c r="KJY11" t="s">
        <v>7734</v>
      </c>
      <c r="KJZ11" t="s">
        <v>7735</v>
      </c>
      <c r="KKA11" t="s">
        <v>7736</v>
      </c>
      <c r="KKB11" t="s">
        <v>7737</v>
      </c>
      <c r="KKC11" t="s">
        <v>7738</v>
      </c>
      <c r="KKD11" t="s">
        <v>7739</v>
      </c>
      <c r="KKE11" t="s">
        <v>7740</v>
      </c>
      <c r="KKF11" t="s">
        <v>7741</v>
      </c>
      <c r="KKG11" t="s">
        <v>7742</v>
      </c>
      <c r="KKH11" t="s">
        <v>7743</v>
      </c>
      <c r="KKI11" t="s">
        <v>7744</v>
      </c>
      <c r="KKJ11" t="s">
        <v>7745</v>
      </c>
      <c r="KKK11" t="s">
        <v>7746</v>
      </c>
      <c r="KKL11" t="s">
        <v>7747</v>
      </c>
      <c r="KKM11" t="s">
        <v>7748</v>
      </c>
      <c r="KKN11" t="s">
        <v>7749</v>
      </c>
      <c r="KKO11" t="s">
        <v>7750</v>
      </c>
      <c r="KKP11" t="s">
        <v>7751</v>
      </c>
      <c r="KKQ11" t="s">
        <v>7752</v>
      </c>
      <c r="KKR11" t="s">
        <v>7753</v>
      </c>
      <c r="KKS11" t="s">
        <v>7754</v>
      </c>
      <c r="KKT11" t="s">
        <v>7755</v>
      </c>
      <c r="KKU11" t="s">
        <v>7756</v>
      </c>
      <c r="KKV11" t="s">
        <v>7757</v>
      </c>
      <c r="KKW11" t="s">
        <v>7758</v>
      </c>
      <c r="KKX11" t="s">
        <v>7759</v>
      </c>
      <c r="KKY11" t="s">
        <v>7760</v>
      </c>
      <c r="KKZ11" t="s">
        <v>7761</v>
      </c>
      <c r="KLA11" t="s">
        <v>7762</v>
      </c>
      <c r="KLB11" t="s">
        <v>7763</v>
      </c>
      <c r="KLC11" t="s">
        <v>7764</v>
      </c>
      <c r="KLD11" t="s">
        <v>7765</v>
      </c>
      <c r="KLE11" t="s">
        <v>7766</v>
      </c>
      <c r="KLF11" t="s">
        <v>7767</v>
      </c>
      <c r="KLG11" t="s">
        <v>7768</v>
      </c>
      <c r="KLH11" t="s">
        <v>7769</v>
      </c>
      <c r="KLI11" t="s">
        <v>7770</v>
      </c>
      <c r="KLJ11" t="s">
        <v>7771</v>
      </c>
      <c r="KLK11" t="s">
        <v>7772</v>
      </c>
      <c r="KLL11" t="s">
        <v>7773</v>
      </c>
      <c r="KLM11" t="s">
        <v>7774</v>
      </c>
      <c r="KLN11" t="s">
        <v>7775</v>
      </c>
      <c r="KLO11" t="s">
        <v>7776</v>
      </c>
      <c r="KLP11" t="s">
        <v>7777</v>
      </c>
      <c r="KLQ11" t="s">
        <v>7778</v>
      </c>
      <c r="KLR11" t="s">
        <v>7779</v>
      </c>
      <c r="KLS11" t="s">
        <v>7780</v>
      </c>
      <c r="KLT11" t="s">
        <v>7781</v>
      </c>
      <c r="KLU11" t="s">
        <v>7782</v>
      </c>
      <c r="KLV11" t="s">
        <v>7783</v>
      </c>
      <c r="KLW11" t="s">
        <v>7784</v>
      </c>
      <c r="KLX11" t="s">
        <v>7785</v>
      </c>
      <c r="KLY11" t="s">
        <v>7786</v>
      </c>
      <c r="KLZ11" t="s">
        <v>7787</v>
      </c>
      <c r="KMA11" t="s">
        <v>7788</v>
      </c>
      <c r="KMB11" t="s">
        <v>7789</v>
      </c>
      <c r="KMC11" t="s">
        <v>7790</v>
      </c>
      <c r="KMD11" t="s">
        <v>7791</v>
      </c>
      <c r="KME11" t="s">
        <v>7792</v>
      </c>
      <c r="KMF11" t="s">
        <v>7793</v>
      </c>
      <c r="KMG11" t="s">
        <v>7794</v>
      </c>
      <c r="KMH11" t="s">
        <v>7795</v>
      </c>
      <c r="KMI11" t="s">
        <v>7796</v>
      </c>
      <c r="KMJ11" t="s">
        <v>7797</v>
      </c>
      <c r="KMK11" t="s">
        <v>7798</v>
      </c>
      <c r="KML11" t="s">
        <v>7799</v>
      </c>
      <c r="KMM11" t="s">
        <v>7800</v>
      </c>
      <c r="KMN11" t="s">
        <v>7801</v>
      </c>
      <c r="KMO11" t="s">
        <v>7802</v>
      </c>
      <c r="KMP11" t="s">
        <v>7803</v>
      </c>
      <c r="KMQ11" t="s">
        <v>7804</v>
      </c>
      <c r="KMR11" t="s">
        <v>7805</v>
      </c>
      <c r="KMS11" t="s">
        <v>7806</v>
      </c>
      <c r="KMT11" t="s">
        <v>7807</v>
      </c>
      <c r="KMU11" t="s">
        <v>7808</v>
      </c>
      <c r="KMV11" t="s">
        <v>7809</v>
      </c>
      <c r="KMW11" t="s">
        <v>7810</v>
      </c>
      <c r="KMX11" t="s">
        <v>7811</v>
      </c>
      <c r="KMY11" t="s">
        <v>7812</v>
      </c>
      <c r="KMZ11" t="s">
        <v>7813</v>
      </c>
      <c r="KNA11" t="s">
        <v>7814</v>
      </c>
      <c r="KNB11" t="s">
        <v>7815</v>
      </c>
      <c r="KNC11" t="s">
        <v>7816</v>
      </c>
      <c r="KND11" t="s">
        <v>7817</v>
      </c>
      <c r="KNE11" t="s">
        <v>7818</v>
      </c>
      <c r="KNF11" t="s">
        <v>7819</v>
      </c>
      <c r="KNG11" t="s">
        <v>7820</v>
      </c>
      <c r="KNH11" t="s">
        <v>7821</v>
      </c>
      <c r="KNI11" t="s">
        <v>7822</v>
      </c>
      <c r="KNJ11" t="s">
        <v>7823</v>
      </c>
      <c r="KNK11" t="s">
        <v>7824</v>
      </c>
      <c r="KNL11" t="s">
        <v>7825</v>
      </c>
      <c r="KNM11" t="s">
        <v>7826</v>
      </c>
      <c r="KNN11" t="s">
        <v>7827</v>
      </c>
      <c r="KNO11" t="s">
        <v>7828</v>
      </c>
      <c r="KNP11" t="s">
        <v>7829</v>
      </c>
      <c r="KNQ11" t="s">
        <v>7830</v>
      </c>
      <c r="KNR11" t="s">
        <v>7831</v>
      </c>
      <c r="KNS11" t="s">
        <v>7832</v>
      </c>
      <c r="KNT11" t="s">
        <v>7833</v>
      </c>
      <c r="KNU11" t="s">
        <v>7834</v>
      </c>
      <c r="KNV11" t="s">
        <v>7835</v>
      </c>
      <c r="KNW11" t="s">
        <v>7836</v>
      </c>
      <c r="KNX11" t="s">
        <v>7837</v>
      </c>
      <c r="KNY11" t="s">
        <v>7838</v>
      </c>
      <c r="KNZ11" t="s">
        <v>7839</v>
      </c>
      <c r="KOA11" t="s">
        <v>7840</v>
      </c>
      <c r="KOB11" t="s">
        <v>7841</v>
      </c>
      <c r="KOC11" t="s">
        <v>7842</v>
      </c>
      <c r="KOD11" t="s">
        <v>7843</v>
      </c>
      <c r="KOE11" t="s">
        <v>7844</v>
      </c>
      <c r="KOF11" t="s">
        <v>7845</v>
      </c>
      <c r="KOG11" t="s">
        <v>7846</v>
      </c>
      <c r="KOH11" t="s">
        <v>7847</v>
      </c>
      <c r="KOI11" t="s">
        <v>7848</v>
      </c>
      <c r="KOJ11" t="s">
        <v>7849</v>
      </c>
      <c r="KOK11" t="s">
        <v>7850</v>
      </c>
      <c r="KOL11" t="s">
        <v>7851</v>
      </c>
      <c r="KOM11" t="s">
        <v>7852</v>
      </c>
      <c r="KON11" t="s">
        <v>7853</v>
      </c>
      <c r="KOO11" t="s">
        <v>7854</v>
      </c>
      <c r="KOP11" t="s">
        <v>7855</v>
      </c>
      <c r="KOQ11" t="s">
        <v>7856</v>
      </c>
      <c r="KOR11" t="s">
        <v>7857</v>
      </c>
      <c r="KOS11" t="s">
        <v>7858</v>
      </c>
      <c r="KOT11" t="s">
        <v>7859</v>
      </c>
      <c r="KOU11" t="s">
        <v>7860</v>
      </c>
      <c r="KOV11" t="s">
        <v>7861</v>
      </c>
      <c r="KOW11" t="s">
        <v>7862</v>
      </c>
      <c r="KOX11" t="s">
        <v>7863</v>
      </c>
      <c r="KOY11" t="s">
        <v>7864</v>
      </c>
      <c r="KOZ11" t="s">
        <v>7865</v>
      </c>
      <c r="KPA11" t="s">
        <v>7866</v>
      </c>
      <c r="KPB11" t="s">
        <v>7867</v>
      </c>
      <c r="KPC11" t="s">
        <v>7868</v>
      </c>
      <c r="KPD11" t="s">
        <v>7869</v>
      </c>
      <c r="KPE11" t="s">
        <v>7870</v>
      </c>
      <c r="KPF11" t="s">
        <v>7871</v>
      </c>
      <c r="KPG11" t="s">
        <v>7872</v>
      </c>
      <c r="KPH11" t="s">
        <v>7873</v>
      </c>
      <c r="KPI11" t="s">
        <v>7874</v>
      </c>
      <c r="KPJ11" t="s">
        <v>7875</v>
      </c>
      <c r="KPK11" t="s">
        <v>7876</v>
      </c>
      <c r="KPL11" t="s">
        <v>7877</v>
      </c>
      <c r="KPM11" t="s">
        <v>7878</v>
      </c>
      <c r="KPN11" t="s">
        <v>7879</v>
      </c>
      <c r="KPO11" t="s">
        <v>7880</v>
      </c>
      <c r="KPP11" t="s">
        <v>7881</v>
      </c>
      <c r="KPQ11" t="s">
        <v>7882</v>
      </c>
      <c r="KPR11" t="s">
        <v>7883</v>
      </c>
      <c r="KPS11" t="s">
        <v>7884</v>
      </c>
      <c r="KPT11" t="s">
        <v>7885</v>
      </c>
      <c r="KPU11" t="s">
        <v>7886</v>
      </c>
      <c r="KPV11" t="s">
        <v>7887</v>
      </c>
      <c r="KPW11" t="s">
        <v>7888</v>
      </c>
      <c r="KPX11" t="s">
        <v>7889</v>
      </c>
      <c r="KPY11" t="s">
        <v>7890</v>
      </c>
      <c r="KPZ11" t="s">
        <v>7891</v>
      </c>
      <c r="KQA11" t="s">
        <v>7892</v>
      </c>
      <c r="KQB11" t="s">
        <v>7893</v>
      </c>
      <c r="KQC11" t="s">
        <v>7894</v>
      </c>
      <c r="KQD11" t="s">
        <v>7895</v>
      </c>
      <c r="KQE11" t="s">
        <v>7896</v>
      </c>
      <c r="KQF11" t="s">
        <v>7897</v>
      </c>
      <c r="KQG11" t="s">
        <v>7898</v>
      </c>
      <c r="KQH11" t="s">
        <v>7899</v>
      </c>
      <c r="KQI11" t="s">
        <v>7900</v>
      </c>
      <c r="KQJ11" t="s">
        <v>7901</v>
      </c>
      <c r="KQK11" t="s">
        <v>7902</v>
      </c>
      <c r="KQL11" t="s">
        <v>7903</v>
      </c>
      <c r="KQM11" t="s">
        <v>7904</v>
      </c>
      <c r="KQN11" t="s">
        <v>7905</v>
      </c>
      <c r="KQO11" t="s">
        <v>7906</v>
      </c>
      <c r="KQP11" t="s">
        <v>7907</v>
      </c>
      <c r="KQQ11" t="s">
        <v>7908</v>
      </c>
      <c r="KQR11" t="s">
        <v>7909</v>
      </c>
      <c r="KQS11" t="s">
        <v>7910</v>
      </c>
      <c r="KQT11" t="s">
        <v>7911</v>
      </c>
      <c r="KQU11" t="s">
        <v>7912</v>
      </c>
      <c r="KQV11" t="s">
        <v>7913</v>
      </c>
      <c r="KQW11" t="s">
        <v>7914</v>
      </c>
      <c r="KQX11" t="s">
        <v>7915</v>
      </c>
      <c r="KQY11" t="s">
        <v>7916</v>
      </c>
      <c r="KQZ11" t="s">
        <v>7917</v>
      </c>
      <c r="KRA11" t="s">
        <v>7918</v>
      </c>
      <c r="KRB11" t="s">
        <v>7919</v>
      </c>
      <c r="KRC11" t="s">
        <v>7920</v>
      </c>
      <c r="KRD11" t="s">
        <v>7921</v>
      </c>
      <c r="KRE11" t="s">
        <v>7922</v>
      </c>
      <c r="KRF11" t="s">
        <v>7923</v>
      </c>
      <c r="KRG11" t="s">
        <v>7924</v>
      </c>
      <c r="KRH11" t="s">
        <v>7925</v>
      </c>
      <c r="KRI11" t="s">
        <v>7926</v>
      </c>
      <c r="KRJ11" t="s">
        <v>7927</v>
      </c>
      <c r="KRK11" t="s">
        <v>7928</v>
      </c>
      <c r="KRL11" t="s">
        <v>7929</v>
      </c>
      <c r="KRM11" t="s">
        <v>7930</v>
      </c>
      <c r="KRN11" t="s">
        <v>7931</v>
      </c>
      <c r="KRO11" t="s">
        <v>7932</v>
      </c>
      <c r="KRP11" t="s">
        <v>7933</v>
      </c>
      <c r="KRQ11" t="s">
        <v>7934</v>
      </c>
      <c r="KRR11" t="s">
        <v>7935</v>
      </c>
      <c r="KRS11" t="s">
        <v>7936</v>
      </c>
      <c r="KRT11" t="s">
        <v>7937</v>
      </c>
      <c r="KRU11" t="s">
        <v>7938</v>
      </c>
      <c r="KRV11" t="s">
        <v>7939</v>
      </c>
      <c r="KRW11" t="s">
        <v>7940</v>
      </c>
      <c r="KRX11" t="s">
        <v>7941</v>
      </c>
      <c r="KRY11" t="s">
        <v>7942</v>
      </c>
      <c r="KRZ11" t="s">
        <v>7943</v>
      </c>
      <c r="KSA11" t="s">
        <v>7944</v>
      </c>
      <c r="KSB11" t="s">
        <v>7945</v>
      </c>
      <c r="KSC11" t="s">
        <v>7946</v>
      </c>
      <c r="KSD11" t="s">
        <v>7947</v>
      </c>
      <c r="KSE11" t="s">
        <v>7948</v>
      </c>
      <c r="KSF11" t="s">
        <v>7949</v>
      </c>
      <c r="KSG11" t="s">
        <v>7950</v>
      </c>
      <c r="KSH11" t="s">
        <v>7951</v>
      </c>
      <c r="KSI11" t="s">
        <v>7952</v>
      </c>
      <c r="KSJ11" t="s">
        <v>7953</v>
      </c>
      <c r="KSK11" t="s">
        <v>7954</v>
      </c>
      <c r="KSL11" t="s">
        <v>7955</v>
      </c>
      <c r="KSM11" t="s">
        <v>7956</v>
      </c>
      <c r="KSN11" t="s">
        <v>7957</v>
      </c>
      <c r="KSO11" t="s">
        <v>7958</v>
      </c>
      <c r="KSP11" t="s">
        <v>7959</v>
      </c>
      <c r="KSQ11" t="s">
        <v>7960</v>
      </c>
      <c r="KSR11" t="s">
        <v>7961</v>
      </c>
      <c r="KSS11" t="s">
        <v>7962</v>
      </c>
      <c r="KST11" t="s">
        <v>7963</v>
      </c>
      <c r="KSU11" t="s">
        <v>7964</v>
      </c>
      <c r="KSV11" t="s">
        <v>7965</v>
      </c>
      <c r="KSW11" t="s">
        <v>7966</v>
      </c>
      <c r="KSX11" t="s">
        <v>7967</v>
      </c>
      <c r="KSY11" t="s">
        <v>7968</v>
      </c>
      <c r="KSZ11" t="s">
        <v>7969</v>
      </c>
      <c r="KTA11" t="s">
        <v>7970</v>
      </c>
      <c r="KTB11" t="s">
        <v>7971</v>
      </c>
      <c r="KTC11" t="s">
        <v>7972</v>
      </c>
      <c r="KTD11" t="s">
        <v>7973</v>
      </c>
      <c r="KTE11" t="s">
        <v>7974</v>
      </c>
      <c r="KTF11" t="s">
        <v>7975</v>
      </c>
      <c r="KTG11" t="s">
        <v>7976</v>
      </c>
      <c r="KTH11" t="s">
        <v>7977</v>
      </c>
      <c r="KTI11" t="s">
        <v>7978</v>
      </c>
      <c r="KTJ11" t="s">
        <v>7979</v>
      </c>
      <c r="KTK11" t="s">
        <v>7980</v>
      </c>
      <c r="KTL11" t="s">
        <v>7981</v>
      </c>
      <c r="KTM11" t="s">
        <v>7982</v>
      </c>
      <c r="KTN11" t="s">
        <v>7983</v>
      </c>
      <c r="KTO11" t="s">
        <v>7984</v>
      </c>
      <c r="KTP11" t="s">
        <v>7985</v>
      </c>
      <c r="KTQ11" t="s">
        <v>7986</v>
      </c>
      <c r="KTR11" t="s">
        <v>7987</v>
      </c>
      <c r="KTS11" t="s">
        <v>7988</v>
      </c>
      <c r="KTT11" t="s">
        <v>7989</v>
      </c>
      <c r="KTU11" t="s">
        <v>7990</v>
      </c>
      <c r="KTV11" t="s">
        <v>7991</v>
      </c>
      <c r="KTW11" t="s">
        <v>7992</v>
      </c>
      <c r="KTX11" t="s">
        <v>7993</v>
      </c>
      <c r="KTY11" t="s">
        <v>7994</v>
      </c>
      <c r="KTZ11" t="s">
        <v>7995</v>
      </c>
      <c r="KUA11" t="s">
        <v>7996</v>
      </c>
      <c r="KUB11" t="s">
        <v>7997</v>
      </c>
      <c r="KUC11" t="s">
        <v>7998</v>
      </c>
      <c r="KUD11" t="s">
        <v>7999</v>
      </c>
      <c r="KUE11" t="s">
        <v>8000</v>
      </c>
      <c r="KUF11" t="s">
        <v>8001</v>
      </c>
      <c r="KUG11" t="s">
        <v>8002</v>
      </c>
      <c r="KUH11" t="s">
        <v>8003</v>
      </c>
      <c r="KUI11" t="s">
        <v>8004</v>
      </c>
      <c r="KUJ11" t="s">
        <v>8005</v>
      </c>
      <c r="KUK11" t="s">
        <v>8006</v>
      </c>
      <c r="KUL11" t="s">
        <v>8007</v>
      </c>
      <c r="KUM11" t="s">
        <v>8008</v>
      </c>
      <c r="KUN11" t="s">
        <v>8009</v>
      </c>
      <c r="KUO11" t="s">
        <v>8010</v>
      </c>
      <c r="KUP11" t="s">
        <v>8011</v>
      </c>
      <c r="KUQ11" t="s">
        <v>8012</v>
      </c>
      <c r="KUR11" t="s">
        <v>8013</v>
      </c>
      <c r="KUS11" t="s">
        <v>8014</v>
      </c>
      <c r="KUT11" t="s">
        <v>8015</v>
      </c>
      <c r="KUU11" t="s">
        <v>8016</v>
      </c>
      <c r="KUV11" t="s">
        <v>8017</v>
      </c>
      <c r="KUW11" t="s">
        <v>8018</v>
      </c>
      <c r="KUX11" t="s">
        <v>8019</v>
      </c>
      <c r="KUY11" t="s">
        <v>8020</v>
      </c>
      <c r="KUZ11" t="s">
        <v>8021</v>
      </c>
      <c r="KVA11" t="s">
        <v>8022</v>
      </c>
      <c r="KVB11" t="s">
        <v>8023</v>
      </c>
      <c r="KVC11" t="s">
        <v>8024</v>
      </c>
      <c r="KVD11" t="s">
        <v>8025</v>
      </c>
      <c r="KVE11" t="s">
        <v>8026</v>
      </c>
      <c r="KVF11" t="s">
        <v>8027</v>
      </c>
      <c r="KVG11" t="s">
        <v>8028</v>
      </c>
      <c r="KVH11" t="s">
        <v>8029</v>
      </c>
      <c r="KVI11" t="s">
        <v>8030</v>
      </c>
      <c r="KVJ11" t="s">
        <v>8031</v>
      </c>
      <c r="KVK11" t="s">
        <v>8032</v>
      </c>
      <c r="KVL11" t="s">
        <v>8033</v>
      </c>
      <c r="KVM11" t="s">
        <v>8034</v>
      </c>
      <c r="KVN11" t="s">
        <v>8035</v>
      </c>
      <c r="KVO11" t="s">
        <v>8036</v>
      </c>
      <c r="KVP11" t="s">
        <v>8037</v>
      </c>
      <c r="KVQ11" t="s">
        <v>8038</v>
      </c>
      <c r="KVR11" t="s">
        <v>8039</v>
      </c>
      <c r="KVS11" t="s">
        <v>8040</v>
      </c>
      <c r="KVT11" t="s">
        <v>8041</v>
      </c>
      <c r="KVU11" t="s">
        <v>8042</v>
      </c>
      <c r="KVV11" t="s">
        <v>8043</v>
      </c>
      <c r="KVW11" t="s">
        <v>8044</v>
      </c>
      <c r="KVX11" t="s">
        <v>8045</v>
      </c>
      <c r="KVY11" t="s">
        <v>8046</v>
      </c>
      <c r="KVZ11" t="s">
        <v>8047</v>
      </c>
      <c r="KWA11" t="s">
        <v>8048</v>
      </c>
      <c r="KWB11" t="s">
        <v>8049</v>
      </c>
      <c r="KWC11" t="s">
        <v>8050</v>
      </c>
      <c r="KWD11" t="s">
        <v>8051</v>
      </c>
      <c r="KWE11" t="s">
        <v>8052</v>
      </c>
      <c r="KWF11" t="s">
        <v>8053</v>
      </c>
      <c r="KWG11" t="s">
        <v>8054</v>
      </c>
      <c r="KWH11" t="s">
        <v>8055</v>
      </c>
      <c r="KWI11" t="s">
        <v>8056</v>
      </c>
      <c r="KWJ11" t="s">
        <v>8057</v>
      </c>
      <c r="KWK11" t="s">
        <v>8058</v>
      </c>
      <c r="KWL11" t="s">
        <v>8059</v>
      </c>
      <c r="KWM11" t="s">
        <v>8060</v>
      </c>
      <c r="KWN11" t="s">
        <v>8061</v>
      </c>
      <c r="KWO11" t="s">
        <v>8062</v>
      </c>
      <c r="KWP11" t="s">
        <v>8063</v>
      </c>
      <c r="KWQ11" t="s">
        <v>8064</v>
      </c>
      <c r="KWR11" t="s">
        <v>8065</v>
      </c>
      <c r="KWS11" t="s">
        <v>8066</v>
      </c>
      <c r="KWT11" t="s">
        <v>8067</v>
      </c>
      <c r="KWU11" t="s">
        <v>8068</v>
      </c>
      <c r="KWV11" t="s">
        <v>8069</v>
      </c>
      <c r="KWW11" t="s">
        <v>8070</v>
      </c>
      <c r="KWX11" t="s">
        <v>8071</v>
      </c>
      <c r="KWY11" t="s">
        <v>8072</v>
      </c>
      <c r="KWZ11" t="s">
        <v>8073</v>
      </c>
      <c r="KXA11" t="s">
        <v>8074</v>
      </c>
      <c r="KXB11" t="s">
        <v>8075</v>
      </c>
      <c r="KXC11" t="s">
        <v>8076</v>
      </c>
      <c r="KXD11" t="s">
        <v>8077</v>
      </c>
      <c r="KXE11" t="s">
        <v>8078</v>
      </c>
      <c r="KXF11" t="s">
        <v>8079</v>
      </c>
      <c r="KXG11" t="s">
        <v>8080</v>
      </c>
      <c r="KXH11" t="s">
        <v>8081</v>
      </c>
      <c r="KXI11" t="s">
        <v>8082</v>
      </c>
      <c r="KXJ11" t="s">
        <v>8083</v>
      </c>
      <c r="KXK11" t="s">
        <v>8084</v>
      </c>
      <c r="KXL11" t="s">
        <v>8085</v>
      </c>
      <c r="KXM11" t="s">
        <v>8086</v>
      </c>
      <c r="KXN11" t="s">
        <v>8087</v>
      </c>
      <c r="KXO11" t="s">
        <v>8088</v>
      </c>
      <c r="KXP11" t="s">
        <v>8089</v>
      </c>
      <c r="KXQ11" t="s">
        <v>8090</v>
      </c>
      <c r="KXR11" t="s">
        <v>8091</v>
      </c>
      <c r="KXS11" t="s">
        <v>8092</v>
      </c>
      <c r="KXT11" t="s">
        <v>8093</v>
      </c>
      <c r="KXU11" t="s">
        <v>8094</v>
      </c>
      <c r="KXV11" t="s">
        <v>8095</v>
      </c>
      <c r="KXW11" t="s">
        <v>8096</v>
      </c>
      <c r="KXX11" t="s">
        <v>8097</v>
      </c>
      <c r="KXY11" t="s">
        <v>8098</v>
      </c>
      <c r="KXZ11" t="s">
        <v>8099</v>
      </c>
      <c r="KYA11" t="s">
        <v>8100</v>
      </c>
      <c r="KYB11" t="s">
        <v>8101</v>
      </c>
      <c r="KYC11" t="s">
        <v>8102</v>
      </c>
      <c r="KYD11" t="s">
        <v>8103</v>
      </c>
      <c r="KYE11" t="s">
        <v>8104</v>
      </c>
      <c r="KYF11" t="s">
        <v>8105</v>
      </c>
      <c r="KYG11" t="s">
        <v>8106</v>
      </c>
      <c r="KYH11" t="s">
        <v>8107</v>
      </c>
      <c r="KYI11" t="s">
        <v>8108</v>
      </c>
      <c r="KYJ11" t="s">
        <v>8109</v>
      </c>
      <c r="KYK11" t="s">
        <v>8110</v>
      </c>
      <c r="KYL11" t="s">
        <v>8111</v>
      </c>
      <c r="KYM11" t="s">
        <v>8112</v>
      </c>
      <c r="KYN11" t="s">
        <v>8113</v>
      </c>
      <c r="KYO11" t="s">
        <v>8114</v>
      </c>
      <c r="KYP11" t="s">
        <v>8115</v>
      </c>
      <c r="KYQ11" t="s">
        <v>8116</v>
      </c>
      <c r="KYR11" t="s">
        <v>8117</v>
      </c>
      <c r="KYS11" t="s">
        <v>8118</v>
      </c>
      <c r="KYT11" t="s">
        <v>8119</v>
      </c>
      <c r="KYU11" t="s">
        <v>8120</v>
      </c>
      <c r="KYV11" t="s">
        <v>8121</v>
      </c>
      <c r="KYW11" t="s">
        <v>8122</v>
      </c>
      <c r="KYX11" t="s">
        <v>8123</v>
      </c>
      <c r="KYY11" t="s">
        <v>8124</v>
      </c>
      <c r="KYZ11" t="s">
        <v>8125</v>
      </c>
      <c r="KZA11" t="s">
        <v>8126</v>
      </c>
      <c r="KZB11" t="s">
        <v>8127</v>
      </c>
      <c r="KZC11" t="s">
        <v>8128</v>
      </c>
      <c r="KZD11" t="s">
        <v>8129</v>
      </c>
      <c r="KZE11" t="s">
        <v>8130</v>
      </c>
      <c r="KZF11" t="s">
        <v>8131</v>
      </c>
      <c r="KZG11" t="s">
        <v>8132</v>
      </c>
      <c r="KZH11" t="s">
        <v>8133</v>
      </c>
      <c r="KZI11" t="s">
        <v>8134</v>
      </c>
      <c r="KZJ11" t="s">
        <v>8135</v>
      </c>
      <c r="KZK11" t="s">
        <v>8136</v>
      </c>
      <c r="KZL11" t="s">
        <v>8137</v>
      </c>
      <c r="KZM11" t="s">
        <v>8138</v>
      </c>
      <c r="KZN11" t="s">
        <v>8139</v>
      </c>
      <c r="KZO11" t="s">
        <v>8140</v>
      </c>
      <c r="KZP11" t="s">
        <v>8141</v>
      </c>
      <c r="KZQ11" t="s">
        <v>8142</v>
      </c>
      <c r="KZR11" t="s">
        <v>8143</v>
      </c>
      <c r="KZS11" t="s">
        <v>8144</v>
      </c>
      <c r="KZT11" t="s">
        <v>8145</v>
      </c>
      <c r="KZU11" t="s">
        <v>8146</v>
      </c>
      <c r="KZV11" t="s">
        <v>8147</v>
      </c>
      <c r="KZW11" t="s">
        <v>8148</v>
      </c>
      <c r="KZX11" t="s">
        <v>8149</v>
      </c>
      <c r="KZY11" t="s">
        <v>8150</v>
      </c>
      <c r="KZZ11" t="s">
        <v>8151</v>
      </c>
      <c r="LAA11" t="s">
        <v>8152</v>
      </c>
      <c r="LAB11" t="s">
        <v>8153</v>
      </c>
      <c r="LAC11" t="s">
        <v>8154</v>
      </c>
      <c r="LAD11" t="s">
        <v>8155</v>
      </c>
      <c r="LAE11" t="s">
        <v>8156</v>
      </c>
      <c r="LAF11" t="s">
        <v>8157</v>
      </c>
      <c r="LAG11" t="s">
        <v>8158</v>
      </c>
      <c r="LAH11" t="s">
        <v>8159</v>
      </c>
      <c r="LAI11" t="s">
        <v>8160</v>
      </c>
      <c r="LAJ11" t="s">
        <v>8161</v>
      </c>
      <c r="LAK11" t="s">
        <v>8162</v>
      </c>
      <c r="LAL11" t="s">
        <v>8163</v>
      </c>
      <c r="LAM11" t="s">
        <v>8164</v>
      </c>
      <c r="LAN11" t="s">
        <v>8165</v>
      </c>
      <c r="LAO11" t="s">
        <v>8166</v>
      </c>
      <c r="LAP11" t="s">
        <v>8167</v>
      </c>
      <c r="LAQ11" t="s">
        <v>8168</v>
      </c>
      <c r="LAR11" t="s">
        <v>8169</v>
      </c>
      <c r="LAS11" t="s">
        <v>8170</v>
      </c>
      <c r="LAT11" t="s">
        <v>8171</v>
      </c>
      <c r="LAU11" t="s">
        <v>8172</v>
      </c>
      <c r="LAV11" t="s">
        <v>8173</v>
      </c>
      <c r="LAW11" t="s">
        <v>8174</v>
      </c>
      <c r="LAX11" t="s">
        <v>8175</v>
      </c>
      <c r="LAY11" t="s">
        <v>8176</v>
      </c>
      <c r="LAZ11" t="s">
        <v>8177</v>
      </c>
      <c r="LBA11" t="s">
        <v>8178</v>
      </c>
      <c r="LBB11" t="s">
        <v>8179</v>
      </c>
      <c r="LBC11" t="s">
        <v>8180</v>
      </c>
      <c r="LBD11" t="s">
        <v>8181</v>
      </c>
      <c r="LBE11" t="s">
        <v>8182</v>
      </c>
      <c r="LBF11" t="s">
        <v>8183</v>
      </c>
      <c r="LBG11" t="s">
        <v>8184</v>
      </c>
      <c r="LBH11" t="s">
        <v>8185</v>
      </c>
      <c r="LBI11" t="s">
        <v>8186</v>
      </c>
      <c r="LBJ11" t="s">
        <v>8187</v>
      </c>
      <c r="LBK11" t="s">
        <v>8188</v>
      </c>
      <c r="LBL11" t="s">
        <v>8189</v>
      </c>
      <c r="LBM11" t="s">
        <v>8190</v>
      </c>
      <c r="LBN11" t="s">
        <v>8191</v>
      </c>
      <c r="LBO11" t="s">
        <v>8192</v>
      </c>
      <c r="LBP11" t="s">
        <v>8193</v>
      </c>
      <c r="LBQ11" t="s">
        <v>8194</v>
      </c>
      <c r="LBR11" t="s">
        <v>8195</v>
      </c>
      <c r="LBS11" t="s">
        <v>8196</v>
      </c>
      <c r="LBT11" t="s">
        <v>8197</v>
      </c>
      <c r="LBU11" t="s">
        <v>8198</v>
      </c>
      <c r="LBV11" t="s">
        <v>8199</v>
      </c>
      <c r="LBW11" t="s">
        <v>8200</v>
      </c>
      <c r="LBX11" t="s">
        <v>8201</v>
      </c>
      <c r="LBY11" t="s">
        <v>8202</v>
      </c>
      <c r="LBZ11" t="s">
        <v>8203</v>
      </c>
      <c r="LCA11" t="s">
        <v>8204</v>
      </c>
      <c r="LCB11" t="s">
        <v>8205</v>
      </c>
      <c r="LCC11" t="s">
        <v>8206</v>
      </c>
      <c r="LCD11" t="s">
        <v>8207</v>
      </c>
      <c r="LCE11" t="s">
        <v>8208</v>
      </c>
      <c r="LCF11" t="s">
        <v>8209</v>
      </c>
      <c r="LCG11" t="s">
        <v>8210</v>
      </c>
      <c r="LCH11" t="s">
        <v>8211</v>
      </c>
      <c r="LCI11" t="s">
        <v>8212</v>
      </c>
      <c r="LCJ11" t="s">
        <v>8213</v>
      </c>
      <c r="LCK11" t="s">
        <v>8214</v>
      </c>
      <c r="LCL11" t="s">
        <v>8215</v>
      </c>
      <c r="LCM11" t="s">
        <v>8216</v>
      </c>
      <c r="LCN11" t="s">
        <v>8217</v>
      </c>
      <c r="LCO11" t="s">
        <v>8218</v>
      </c>
      <c r="LCP11" t="s">
        <v>8219</v>
      </c>
      <c r="LCQ11" t="s">
        <v>8220</v>
      </c>
      <c r="LCR11" t="s">
        <v>8221</v>
      </c>
      <c r="LCS11" t="s">
        <v>8222</v>
      </c>
      <c r="LCT11" t="s">
        <v>8223</v>
      </c>
      <c r="LCU11" t="s">
        <v>8224</v>
      </c>
      <c r="LCV11" t="s">
        <v>8225</v>
      </c>
      <c r="LCW11" t="s">
        <v>8226</v>
      </c>
      <c r="LCX11" t="s">
        <v>8227</v>
      </c>
      <c r="LCY11" t="s">
        <v>8228</v>
      </c>
      <c r="LCZ11" t="s">
        <v>8229</v>
      </c>
      <c r="LDA11" t="s">
        <v>8230</v>
      </c>
      <c r="LDB11" t="s">
        <v>8231</v>
      </c>
      <c r="LDC11" t="s">
        <v>8232</v>
      </c>
      <c r="LDD11" t="s">
        <v>8233</v>
      </c>
      <c r="LDE11" t="s">
        <v>8234</v>
      </c>
      <c r="LDF11" t="s">
        <v>8235</v>
      </c>
      <c r="LDG11" t="s">
        <v>8236</v>
      </c>
      <c r="LDH11" t="s">
        <v>8237</v>
      </c>
      <c r="LDI11" t="s">
        <v>8238</v>
      </c>
      <c r="LDJ11" t="s">
        <v>8239</v>
      </c>
      <c r="LDK11" t="s">
        <v>8240</v>
      </c>
      <c r="LDL11" t="s">
        <v>8241</v>
      </c>
      <c r="LDM11" t="s">
        <v>8242</v>
      </c>
      <c r="LDN11" t="s">
        <v>8243</v>
      </c>
      <c r="LDO11" t="s">
        <v>8244</v>
      </c>
      <c r="LDP11" t="s">
        <v>8245</v>
      </c>
      <c r="LDQ11" t="s">
        <v>8246</v>
      </c>
      <c r="LDR11" t="s">
        <v>8247</v>
      </c>
      <c r="LDS11" t="s">
        <v>8248</v>
      </c>
      <c r="LDT11" t="s">
        <v>8249</v>
      </c>
      <c r="LDU11" t="s">
        <v>8250</v>
      </c>
      <c r="LDV11" t="s">
        <v>8251</v>
      </c>
      <c r="LDW11" t="s">
        <v>8252</v>
      </c>
      <c r="LDX11" t="s">
        <v>8253</v>
      </c>
      <c r="LDY11" t="s">
        <v>8254</v>
      </c>
      <c r="LDZ11" t="s">
        <v>8255</v>
      </c>
      <c r="LEA11" t="s">
        <v>8256</v>
      </c>
      <c r="LEB11" t="s">
        <v>8257</v>
      </c>
      <c r="LEC11" t="s">
        <v>8258</v>
      </c>
      <c r="LED11" t="s">
        <v>8259</v>
      </c>
      <c r="LEE11" t="s">
        <v>8260</v>
      </c>
      <c r="LEF11" t="s">
        <v>8261</v>
      </c>
      <c r="LEG11" t="s">
        <v>8262</v>
      </c>
      <c r="LEH11" t="s">
        <v>8263</v>
      </c>
      <c r="LEI11" t="s">
        <v>8264</v>
      </c>
      <c r="LEJ11" t="s">
        <v>8265</v>
      </c>
      <c r="LEK11" t="s">
        <v>8266</v>
      </c>
      <c r="LEL11" t="s">
        <v>8267</v>
      </c>
      <c r="LEM11" t="s">
        <v>8268</v>
      </c>
      <c r="LEN11" t="s">
        <v>8269</v>
      </c>
      <c r="LEO11" t="s">
        <v>8270</v>
      </c>
      <c r="LEP11" t="s">
        <v>8271</v>
      </c>
      <c r="LEQ11" t="s">
        <v>8272</v>
      </c>
      <c r="LER11" t="s">
        <v>8273</v>
      </c>
      <c r="LES11" t="s">
        <v>8274</v>
      </c>
      <c r="LET11" t="s">
        <v>8275</v>
      </c>
      <c r="LEU11" t="s">
        <v>8276</v>
      </c>
      <c r="LEV11" t="s">
        <v>8277</v>
      </c>
      <c r="LEW11" t="s">
        <v>8278</v>
      </c>
      <c r="LEX11" t="s">
        <v>8279</v>
      </c>
      <c r="LEY11" t="s">
        <v>8280</v>
      </c>
      <c r="LEZ11" t="s">
        <v>8281</v>
      </c>
      <c r="LFA11" t="s">
        <v>8282</v>
      </c>
      <c r="LFB11" t="s">
        <v>8283</v>
      </c>
      <c r="LFC11" t="s">
        <v>8284</v>
      </c>
      <c r="LFD11" t="s">
        <v>8285</v>
      </c>
      <c r="LFE11" t="s">
        <v>8286</v>
      </c>
      <c r="LFF11" t="s">
        <v>8287</v>
      </c>
      <c r="LFG11" t="s">
        <v>8288</v>
      </c>
      <c r="LFH11" t="s">
        <v>8289</v>
      </c>
      <c r="LFI11" t="s">
        <v>8290</v>
      </c>
      <c r="LFJ11" t="s">
        <v>8291</v>
      </c>
      <c r="LFK11" t="s">
        <v>8292</v>
      </c>
      <c r="LFL11" t="s">
        <v>8293</v>
      </c>
      <c r="LFM11" t="s">
        <v>8294</v>
      </c>
      <c r="LFN11" t="s">
        <v>8295</v>
      </c>
      <c r="LFO11" t="s">
        <v>8296</v>
      </c>
      <c r="LFP11" t="s">
        <v>8297</v>
      </c>
      <c r="LFQ11" t="s">
        <v>8298</v>
      </c>
      <c r="LFR11" t="s">
        <v>8299</v>
      </c>
      <c r="LFS11" t="s">
        <v>8300</v>
      </c>
      <c r="LFT11" t="s">
        <v>8301</v>
      </c>
      <c r="LFU11" t="s">
        <v>8302</v>
      </c>
      <c r="LFV11" t="s">
        <v>8303</v>
      </c>
      <c r="LFW11" t="s">
        <v>8304</v>
      </c>
      <c r="LFX11" t="s">
        <v>8305</v>
      </c>
      <c r="LFY11" t="s">
        <v>8306</v>
      </c>
      <c r="LFZ11" t="s">
        <v>8307</v>
      </c>
      <c r="LGA11" t="s">
        <v>8308</v>
      </c>
      <c r="LGB11" t="s">
        <v>8309</v>
      </c>
      <c r="LGC11" t="s">
        <v>8310</v>
      </c>
      <c r="LGD11" t="s">
        <v>8311</v>
      </c>
      <c r="LGE11" t="s">
        <v>8312</v>
      </c>
      <c r="LGF11" t="s">
        <v>8313</v>
      </c>
      <c r="LGG11" t="s">
        <v>8314</v>
      </c>
      <c r="LGH11" t="s">
        <v>8315</v>
      </c>
      <c r="LGI11" t="s">
        <v>8316</v>
      </c>
      <c r="LGJ11" t="s">
        <v>8317</v>
      </c>
      <c r="LGK11" t="s">
        <v>8318</v>
      </c>
      <c r="LGL11" t="s">
        <v>8319</v>
      </c>
      <c r="LGM11" t="s">
        <v>8320</v>
      </c>
      <c r="LGN11" t="s">
        <v>8321</v>
      </c>
      <c r="LGO11" t="s">
        <v>8322</v>
      </c>
      <c r="LGP11" t="s">
        <v>8323</v>
      </c>
      <c r="LGQ11" t="s">
        <v>8324</v>
      </c>
      <c r="LGR11" t="s">
        <v>8325</v>
      </c>
      <c r="LGS11" t="s">
        <v>8326</v>
      </c>
      <c r="LGT11" t="s">
        <v>8327</v>
      </c>
      <c r="LGU11" t="s">
        <v>8328</v>
      </c>
      <c r="LGV11" t="s">
        <v>8329</v>
      </c>
      <c r="LGW11" t="s">
        <v>8330</v>
      </c>
      <c r="LGX11" t="s">
        <v>8331</v>
      </c>
      <c r="LGY11" t="s">
        <v>8332</v>
      </c>
      <c r="LGZ11" t="s">
        <v>8333</v>
      </c>
      <c r="LHA11" t="s">
        <v>8334</v>
      </c>
      <c r="LHB11" t="s">
        <v>8335</v>
      </c>
      <c r="LHC11" t="s">
        <v>8336</v>
      </c>
      <c r="LHD11" t="s">
        <v>8337</v>
      </c>
      <c r="LHE11" t="s">
        <v>8338</v>
      </c>
      <c r="LHF11" t="s">
        <v>8339</v>
      </c>
      <c r="LHG11" t="s">
        <v>8340</v>
      </c>
      <c r="LHH11" t="s">
        <v>8341</v>
      </c>
      <c r="LHI11" t="s">
        <v>8342</v>
      </c>
      <c r="LHJ11" t="s">
        <v>8343</v>
      </c>
      <c r="LHK11" t="s">
        <v>8344</v>
      </c>
      <c r="LHL11" t="s">
        <v>8345</v>
      </c>
      <c r="LHM11" t="s">
        <v>8346</v>
      </c>
      <c r="LHN11" t="s">
        <v>8347</v>
      </c>
      <c r="LHO11" t="s">
        <v>8348</v>
      </c>
      <c r="LHP11" t="s">
        <v>8349</v>
      </c>
      <c r="LHQ11" t="s">
        <v>8350</v>
      </c>
      <c r="LHR11" t="s">
        <v>8351</v>
      </c>
      <c r="LHS11" t="s">
        <v>8352</v>
      </c>
      <c r="LHT11" t="s">
        <v>8353</v>
      </c>
      <c r="LHU11" t="s">
        <v>8354</v>
      </c>
      <c r="LHV11" t="s">
        <v>8355</v>
      </c>
      <c r="LHW11" t="s">
        <v>8356</v>
      </c>
      <c r="LHX11" t="s">
        <v>8357</v>
      </c>
      <c r="LHY11" t="s">
        <v>8358</v>
      </c>
      <c r="LHZ11" t="s">
        <v>8359</v>
      </c>
      <c r="LIA11" t="s">
        <v>8360</v>
      </c>
      <c r="LIB11" t="s">
        <v>8361</v>
      </c>
      <c r="LIC11" t="s">
        <v>8362</v>
      </c>
      <c r="LID11" t="s">
        <v>8363</v>
      </c>
      <c r="LIE11" t="s">
        <v>8364</v>
      </c>
      <c r="LIF11" t="s">
        <v>8365</v>
      </c>
      <c r="LIG11" t="s">
        <v>8366</v>
      </c>
      <c r="LIH11" t="s">
        <v>8367</v>
      </c>
      <c r="LII11" t="s">
        <v>8368</v>
      </c>
      <c r="LIJ11" t="s">
        <v>8369</v>
      </c>
      <c r="LIK11" t="s">
        <v>8370</v>
      </c>
      <c r="LIL11" t="s">
        <v>8371</v>
      </c>
      <c r="LIM11" t="s">
        <v>8372</v>
      </c>
      <c r="LIN11" t="s">
        <v>8373</v>
      </c>
      <c r="LIO11" t="s">
        <v>8374</v>
      </c>
      <c r="LIP11" t="s">
        <v>8375</v>
      </c>
      <c r="LIQ11" t="s">
        <v>8376</v>
      </c>
      <c r="LIR11" t="s">
        <v>8377</v>
      </c>
      <c r="LIS11" t="s">
        <v>8378</v>
      </c>
      <c r="LIT11" t="s">
        <v>8379</v>
      </c>
      <c r="LIU11" t="s">
        <v>8380</v>
      </c>
      <c r="LIV11" t="s">
        <v>8381</v>
      </c>
      <c r="LIW11" t="s">
        <v>8382</v>
      </c>
      <c r="LIX11" t="s">
        <v>8383</v>
      </c>
      <c r="LIY11" t="s">
        <v>8384</v>
      </c>
      <c r="LIZ11" t="s">
        <v>8385</v>
      </c>
      <c r="LJA11" t="s">
        <v>8386</v>
      </c>
      <c r="LJB11" t="s">
        <v>8387</v>
      </c>
      <c r="LJC11" t="s">
        <v>8388</v>
      </c>
      <c r="LJD11" t="s">
        <v>8389</v>
      </c>
      <c r="LJE11" t="s">
        <v>8390</v>
      </c>
      <c r="LJF11" t="s">
        <v>8391</v>
      </c>
      <c r="LJG11" t="s">
        <v>8392</v>
      </c>
      <c r="LJH11" t="s">
        <v>8393</v>
      </c>
      <c r="LJI11" t="s">
        <v>8394</v>
      </c>
      <c r="LJJ11" t="s">
        <v>8395</v>
      </c>
      <c r="LJK11" t="s">
        <v>8396</v>
      </c>
      <c r="LJL11" t="s">
        <v>8397</v>
      </c>
      <c r="LJM11" t="s">
        <v>8398</v>
      </c>
      <c r="LJN11" t="s">
        <v>8399</v>
      </c>
      <c r="LJO11" t="s">
        <v>8400</v>
      </c>
      <c r="LJP11" t="s">
        <v>8401</v>
      </c>
      <c r="LJQ11" t="s">
        <v>8402</v>
      </c>
      <c r="LJR11" t="s">
        <v>8403</v>
      </c>
      <c r="LJS11" t="s">
        <v>8404</v>
      </c>
      <c r="LJT11" t="s">
        <v>8405</v>
      </c>
      <c r="LJU11" t="s">
        <v>8406</v>
      </c>
      <c r="LJV11" t="s">
        <v>8407</v>
      </c>
      <c r="LJW11" t="s">
        <v>8408</v>
      </c>
      <c r="LJX11" t="s">
        <v>8409</v>
      </c>
      <c r="LJY11" t="s">
        <v>8410</v>
      </c>
      <c r="LJZ11" t="s">
        <v>8411</v>
      </c>
      <c r="LKA11" t="s">
        <v>8412</v>
      </c>
      <c r="LKB11" t="s">
        <v>8413</v>
      </c>
      <c r="LKC11" t="s">
        <v>8414</v>
      </c>
      <c r="LKD11" t="s">
        <v>8415</v>
      </c>
      <c r="LKE11" t="s">
        <v>8416</v>
      </c>
      <c r="LKF11" t="s">
        <v>8417</v>
      </c>
      <c r="LKG11" t="s">
        <v>8418</v>
      </c>
      <c r="LKH11" t="s">
        <v>8419</v>
      </c>
      <c r="LKI11" t="s">
        <v>8420</v>
      </c>
      <c r="LKJ11" t="s">
        <v>8421</v>
      </c>
      <c r="LKK11" t="s">
        <v>8422</v>
      </c>
      <c r="LKL11" t="s">
        <v>8423</v>
      </c>
      <c r="LKM11" t="s">
        <v>8424</v>
      </c>
      <c r="LKN11" t="s">
        <v>8425</v>
      </c>
      <c r="LKO11" t="s">
        <v>8426</v>
      </c>
      <c r="LKP11" t="s">
        <v>8427</v>
      </c>
      <c r="LKQ11" t="s">
        <v>8428</v>
      </c>
      <c r="LKR11" t="s">
        <v>8429</v>
      </c>
      <c r="LKS11" t="s">
        <v>8430</v>
      </c>
      <c r="LKT11" t="s">
        <v>8431</v>
      </c>
      <c r="LKU11" t="s">
        <v>8432</v>
      </c>
      <c r="LKV11" t="s">
        <v>8433</v>
      </c>
      <c r="LKW11" t="s">
        <v>8434</v>
      </c>
      <c r="LKX11" t="s">
        <v>8435</v>
      </c>
      <c r="LKY11" t="s">
        <v>8436</v>
      </c>
      <c r="LKZ11" t="s">
        <v>8437</v>
      </c>
      <c r="LLA11" t="s">
        <v>8438</v>
      </c>
      <c r="LLB11" t="s">
        <v>8439</v>
      </c>
      <c r="LLC11" t="s">
        <v>8440</v>
      </c>
      <c r="LLD11" t="s">
        <v>8441</v>
      </c>
      <c r="LLE11" t="s">
        <v>8442</v>
      </c>
      <c r="LLF11" t="s">
        <v>8443</v>
      </c>
      <c r="LLG11" t="s">
        <v>8444</v>
      </c>
      <c r="LLH11" t="s">
        <v>8445</v>
      </c>
      <c r="LLI11" t="s">
        <v>8446</v>
      </c>
      <c r="LLJ11" t="s">
        <v>8447</v>
      </c>
      <c r="LLK11" t="s">
        <v>8448</v>
      </c>
      <c r="LLL11" t="s">
        <v>8449</v>
      </c>
      <c r="LLM11" t="s">
        <v>8450</v>
      </c>
      <c r="LLN11" t="s">
        <v>8451</v>
      </c>
      <c r="LLO11" t="s">
        <v>8452</v>
      </c>
      <c r="LLP11" t="s">
        <v>8453</v>
      </c>
      <c r="LLQ11" t="s">
        <v>8454</v>
      </c>
      <c r="LLR11" t="s">
        <v>8455</v>
      </c>
      <c r="LLS11" t="s">
        <v>8456</v>
      </c>
      <c r="LLT11" t="s">
        <v>8457</v>
      </c>
      <c r="LLU11" t="s">
        <v>8458</v>
      </c>
      <c r="LLV11" t="s">
        <v>8459</v>
      </c>
      <c r="LLW11" t="s">
        <v>8460</v>
      </c>
      <c r="LLX11" t="s">
        <v>8461</v>
      </c>
      <c r="LLY11" t="s">
        <v>8462</v>
      </c>
      <c r="LLZ11" t="s">
        <v>8463</v>
      </c>
      <c r="LMA11" t="s">
        <v>8464</v>
      </c>
      <c r="LMB11" t="s">
        <v>8465</v>
      </c>
      <c r="LMC11" t="s">
        <v>8466</v>
      </c>
      <c r="LMD11" t="s">
        <v>8467</v>
      </c>
      <c r="LME11" t="s">
        <v>8468</v>
      </c>
      <c r="LMF11" t="s">
        <v>8469</v>
      </c>
      <c r="LMG11" t="s">
        <v>8470</v>
      </c>
      <c r="LMH11" t="s">
        <v>8471</v>
      </c>
      <c r="LMI11" t="s">
        <v>8472</v>
      </c>
      <c r="LMJ11" t="s">
        <v>8473</v>
      </c>
      <c r="LMK11" t="s">
        <v>8474</v>
      </c>
      <c r="LML11" t="s">
        <v>8475</v>
      </c>
      <c r="LMM11" t="s">
        <v>8476</v>
      </c>
      <c r="LMN11" t="s">
        <v>8477</v>
      </c>
      <c r="LMO11" t="s">
        <v>8478</v>
      </c>
      <c r="LMP11" t="s">
        <v>8479</v>
      </c>
      <c r="LMQ11" t="s">
        <v>8480</v>
      </c>
      <c r="LMR11" t="s">
        <v>8481</v>
      </c>
      <c r="LMS11" t="s">
        <v>8482</v>
      </c>
      <c r="LMT11" t="s">
        <v>8483</v>
      </c>
      <c r="LMU11" t="s">
        <v>8484</v>
      </c>
      <c r="LMV11" t="s">
        <v>8485</v>
      </c>
      <c r="LMW11" t="s">
        <v>8486</v>
      </c>
      <c r="LMX11" t="s">
        <v>8487</v>
      </c>
      <c r="LMY11" t="s">
        <v>8488</v>
      </c>
      <c r="LMZ11" t="s">
        <v>8489</v>
      </c>
      <c r="LNA11" t="s">
        <v>8490</v>
      </c>
      <c r="LNB11" t="s">
        <v>8491</v>
      </c>
      <c r="LNC11" t="s">
        <v>8492</v>
      </c>
      <c r="LND11" t="s">
        <v>8493</v>
      </c>
      <c r="LNE11" t="s">
        <v>8494</v>
      </c>
      <c r="LNF11" t="s">
        <v>8495</v>
      </c>
      <c r="LNG11" t="s">
        <v>8496</v>
      </c>
      <c r="LNH11" t="s">
        <v>8497</v>
      </c>
      <c r="LNI11" t="s">
        <v>8498</v>
      </c>
      <c r="LNJ11" t="s">
        <v>8499</v>
      </c>
      <c r="LNK11" t="s">
        <v>8500</v>
      </c>
      <c r="LNL11" t="s">
        <v>8501</v>
      </c>
      <c r="LNM11" t="s">
        <v>8502</v>
      </c>
      <c r="LNN11" t="s">
        <v>8503</v>
      </c>
      <c r="LNO11" t="s">
        <v>8504</v>
      </c>
      <c r="LNP11" t="s">
        <v>8505</v>
      </c>
      <c r="LNQ11" t="s">
        <v>8506</v>
      </c>
      <c r="LNR11" t="s">
        <v>8507</v>
      </c>
      <c r="LNS11" t="s">
        <v>8508</v>
      </c>
      <c r="LNT11" t="s">
        <v>8509</v>
      </c>
      <c r="LNU11" t="s">
        <v>8510</v>
      </c>
      <c r="LNV11" t="s">
        <v>8511</v>
      </c>
      <c r="LNW11" t="s">
        <v>8512</v>
      </c>
      <c r="LNX11" t="s">
        <v>8513</v>
      </c>
      <c r="LNY11" t="s">
        <v>8514</v>
      </c>
      <c r="LNZ11" t="s">
        <v>8515</v>
      </c>
      <c r="LOA11" t="s">
        <v>8516</v>
      </c>
      <c r="LOB11" t="s">
        <v>8517</v>
      </c>
      <c r="LOC11" t="s">
        <v>8518</v>
      </c>
      <c r="LOD11" t="s">
        <v>8519</v>
      </c>
      <c r="LOE11" t="s">
        <v>8520</v>
      </c>
      <c r="LOF11" t="s">
        <v>8521</v>
      </c>
      <c r="LOG11" t="s">
        <v>8522</v>
      </c>
      <c r="LOH11" t="s">
        <v>8523</v>
      </c>
      <c r="LOI11" t="s">
        <v>8524</v>
      </c>
      <c r="LOJ11" t="s">
        <v>8525</v>
      </c>
      <c r="LOK11" t="s">
        <v>8526</v>
      </c>
      <c r="LOL11" t="s">
        <v>8527</v>
      </c>
      <c r="LOM11" t="s">
        <v>8528</v>
      </c>
      <c r="LON11" t="s">
        <v>8529</v>
      </c>
      <c r="LOO11" t="s">
        <v>8530</v>
      </c>
      <c r="LOP11" t="s">
        <v>8531</v>
      </c>
      <c r="LOQ11" t="s">
        <v>8532</v>
      </c>
      <c r="LOR11" t="s">
        <v>8533</v>
      </c>
      <c r="LOS11" t="s">
        <v>8534</v>
      </c>
      <c r="LOT11" t="s">
        <v>8535</v>
      </c>
      <c r="LOU11" t="s">
        <v>8536</v>
      </c>
      <c r="LOV11" t="s">
        <v>8537</v>
      </c>
      <c r="LOW11" t="s">
        <v>8538</v>
      </c>
      <c r="LOX11" t="s">
        <v>8539</v>
      </c>
      <c r="LOY11" t="s">
        <v>8540</v>
      </c>
      <c r="LOZ11" t="s">
        <v>8541</v>
      </c>
      <c r="LPA11" t="s">
        <v>8542</v>
      </c>
      <c r="LPB11" t="s">
        <v>8543</v>
      </c>
      <c r="LPC11" t="s">
        <v>8544</v>
      </c>
      <c r="LPD11" t="s">
        <v>8545</v>
      </c>
      <c r="LPE11" t="s">
        <v>8546</v>
      </c>
      <c r="LPF11" t="s">
        <v>8547</v>
      </c>
      <c r="LPG11" t="s">
        <v>8548</v>
      </c>
      <c r="LPH11" t="s">
        <v>8549</v>
      </c>
      <c r="LPI11" t="s">
        <v>8550</v>
      </c>
      <c r="LPJ11" t="s">
        <v>8551</v>
      </c>
      <c r="LPK11" t="s">
        <v>8552</v>
      </c>
      <c r="LPL11" t="s">
        <v>8553</v>
      </c>
      <c r="LPM11" t="s">
        <v>8554</v>
      </c>
      <c r="LPN11" t="s">
        <v>8555</v>
      </c>
      <c r="LPO11" t="s">
        <v>8556</v>
      </c>
      <c r="LPP11" t="s">
        <v>8557</v>
      </c>
      <c r="LPQ11" t="s">
        <v>8558</v>
      </c>
      <c r="LPR11" t="s">
        <v>8559</v>
      </c>
      <c r="LPS11" t="s">
        <v>8560</v>
      </c>
      <c r="LPT11" t="s">
        <v>8561</v>
      </c>
      <c r="LPU11" t="s">
        <v>8562</v>
      </c>
      <c r="LPV11" t="s">
        <v>8563</v>
      </c>
      <c r="LPW11" t="s">
        <v>8564</v>
      </c>
      <c r="LPX11" t="s">
        <v>8565</v>
      </c>
      <c r="LPY11" t="s">
        <v>8566</v>
      </c>
      <c r="LPZ11" t="s">
        <v>8567</v>
      </c>
      <c r="LQA11" t="s">
        <v>8568</v>
      </c>
      <c r="LQB11" t="s">
        <v>8569</v>
      </c>
      <c r="LQC11" t="s">
        <v>8570</v>
      </c>
      <c r="LQD11" t="s">
        <v>8571</v>
      </c>
      <c r="LQE11" t="s">
        <v>8572</v>
      </c>
      <c r="LQF11" t="s">
        <v>8573</v>
      </c>
      <c r="LQG11" t="s">
        <v>8574</v>
      </c>
      <c r="LQH11" t="s">
        <v>8575</v>
      </c>
      <c r="LQI11" t="s">
        <v>8576</v>
      </c>
      <c r="LQJ11" t="s">
        <v>8577</v>
      </c>
      <c r="LQK11" t="s">
        <v>8578</v>
      </c>
      <c r="LQL11" t="s">
        <v>8579</v>
      </c>
      <c r="LQM11" t="s">
        <v>8580</v>
      </c>
      <c r="LQN11" t="s">
        <v>8581</v>
      </c>
      <c r="LQO11" t="s">
        <v>8582</v>
      </c>
      <c r="LQP11" t="s">
        <v>8583</v>
      </c>
      <c r="LQQ11" t="s">
        <v>8584</v>
      </c>
      <c r="LQR11" t="s">
        <v>8585</v>
      </c>
      <c r="LQS11" t="s">
        <v>8586</v>
      </c>
      <c r="LQT11" t="s">
        <v>8587</v>
      </c>
      <c r="LQU11" t="s">
        <v>8588</v>
      </c>
      <c r="LQV11" t="s">
        <v>8589</v>
      </c>
      <c r="LQW11" t="s">
        <v>8590</v>
      </c>
      <c r="LQX11" t="s">
        <v>8591</v>
      </c>
      <c r="LQY11" t="s">
        <v>8592</v>
      </c>
      <c r="LQZ11" t="s">
        <v>8593</v>
      </c>
      <c r="LRA11" t="s">
        <v>8594</v>
      </c>
      <c r="LRB11" t="s">
        <v>8595</v>
      </c>
      <c r="LRC11" t="s">
        <v>8596</v>
      </c>
      <c r="LRD11" t="s">
        <v>8597</v>
      </c>
      <c r="LRE11" t="s">
        <v>8598</v>
      </c>
      <c r="LRF11" t="s">
        <v>8599</v>
      </c>
      <c r="LRG11" t="s">
        <v>8600</v>
      </c>
      <c r="LRH11" t="s">
        <v>8601</v>
      </c>
      <c r="LRI11" t="s">
        <v>8602</v>
      </c>
      <c r="LRJ11" t="s">
        <v>8603</v>
      </c>
      <c r="LRK11" t="s">
        <v>8604</v>
      </c>
      <c r="LRL11" t="s">
        <v>8605</v>
      </c>
      <c r="LRM11" t="s">
        <v>8606</v>
      </c>
      <c r="LRN11" t="s">
        <v>8607</v>
      </c>
      <c r="LRO11" t="s">
        <v>8608</v>
      </c>
      <c r="LRP11" t="s">
        <v>8609</v>
      </c>
      <c r="LRQ11" t="s">
        <v>8610</v>
      </c>
      <c r="LRR11" t="s">
        <v>8611</v>
      </c>
      <c r="LRS11" t="s">
        <v>8612</v>
      </c>
      <c r="LRT11" t="s">
        <v>8613</v>
      </c>
      <c r="LRU11" t="s">
        <v>8614</v>
      </c>
      <c r="LRV11" t="s">
        <v>8615</v>
      </c>
      <c r="LRW11" t="s">
        <v>8616</v>
      </c>
      <c r="LRX11" t="s">
        <v>8617</v>
      </c>
      <c r="LRY11" t="s">
        <v>8618</v>
      </c>
      <c r="LRZ11" t="s">
        <v>8619</v>
      </c>
      <c r="LSA11" t="s">
        <v>8620</v>
      </c>
      <c r="LSB11" t="s">
        <v>8621</v>
      </c>
      <c r="LSC11" t="s">
        <v>8622</v>
      </c>
      <c r="LSD11" t="s">
        <v>8623</v>
      </c>
      <c r="LSE11" t="s">
        <v>8624</v>
      </c>
      <c r="LSF11" t="s">
        <v>8625</v>
      </c>
      <c r="LSG11" t="s">
        <v>8626</v>
      </c>
      <c r="LSH11" t="s">
        <v>8627</v>
      </c>
      <c r="LSI11" t="s">
        <v>8628</v>
      </c>
      <c r="LSJ11" t="s">
        <v>8629</v>
      </c>
      <c r="LSK11" t="s">
        <v>8630</v>
      </c>
      <c r="LSL11" t="s">
        <v>8631</v>
      </c>
      <c r="LSM11" t="s">
        <v>8632</v>
      </c>
      <c r="LSN11" t="s">
        <v>8633</v>
      </c>
      <c r="LSO11" t="s">
        <v>8634</v>
      </c>
      <c r="LSP11" t="s">
        <v>8635</v>
      </c>
      <c r="LSQ11" t="s">
        <v>8636</v>
      </c>
      <c r="LSR11" t="s">
        <v>8637</v>
      </c>
      <c r="LSS11" t="s">
        <v>8638</v>
      </c>
      <c r="LST11" t="s">
        <v>8639</v>
      </c>
      <c r="LSU11" t="s">
        <v>8640</v>
      </c>
      <c r="LSV11" t="s">
        <v>8641</v>
      </c>
      <c r="LSW11" t="s">
        <v>8642</v>
      </c>
      <c r="LSX11" t="s">
        <v>8643</v>
      </c>
      <c r="LSY11" t="s">
        <v>8644</v>
      </c>
      <c r="LSZ11" t="s">
        <v>8645</v>
      </c>
      <c r="LTA11" t="s">
        <v>8646</v>
      </c>
      <c r="LTB11" t="s">
        <v>8647</v>
      </c>
      <c r="LTC11" t="s">
        <v>8648</v>
      </c>
      <c r="LTD11" t="s">
        <v>8649</v>
      </c>
      <c r="LTE11" t="s">
        <v>8650</v>
      </c>
      <c r="LTF11" t="s">
        <v>8651</v>
      </c>
      <c r="LTG11" t="s">
        <v>8652</v>
      </c>
      <c r="LTH11" t="s">
        <v>8653</v>
      </c>
      <c r="LTI11" t="s">
        <v>8654</v>
      </c>
      <c r="LTJ11" t="s">
        <v>8655</v>
      </c>
      <c r="LTK11" t="s">
        <v>8656</v>
      </c>
      <c r="LTL11" t="s">
        <v>8657</v>
      </c>
      <c r="LTM11" t="s">
        <v>8658</v>
      </c>
      <c r="LTN11" t="s">
        <v>8659</v>
      </c>
      <c r="LTO11" t="s">
        <v>8660</v>
      </c>
      <c r="LTP11" t="s">
        <v>8661</v>
      </c>
      <c r="LTQ11" t="s">
        <v>8662</v>
      </c>
      <c r="LTR11" t="s">
        <v>8663</v>
      </c>
      <c r="LTS11" t="s">
        <v>8664</v>
      </c>
      <c r="LTT11" t="s">
        <v>8665</v>
      </c>
      <c r="LTU11" t="s">
        <v>8666</v>
      </c>
      <c r="LTV11" t="s">
        <v>8667</v>
      </c>
      <c r="LTW11" t="s">
        <v>8668</v>
      </c>
      <c r="LTX11" t="s">
        <v>8669</v>
      </c>
      <c r="LTY11" t="s">
        <v>8670</v>
      </c>
      <c r="LTZ11" t="s">
        <v>8671</v>
      </c>
      <c r="LUA11" t="s">
        <v>8672</v>
      </c>
      <c r="LUB11" t="s">
        <v>8673</v>
      </c>
      <c r="LUC11" t="s">
        <v>8674</v>
      </c>
      <c r="LUD11" t="s">
        <v>8675</v>
      </c>
      <c r="LUE11" t="s">
        <v>8676</v>
      </c>
      <c r="LUF11" t="s">
        <v>8677</v>
      </c>
      <c r="LUG11" t="s">
        <v>8678</v>
      </c>
      <c r="LUH11" t="s">
        <v>8679</v>
      </c>
      <c r="LUI11" t="s">
        <v>8680</v>
      </c>
      <c r="LUJ11" t="s">
        <v>8681</v>
      </c>
      <c r="LUK11" t="s">
        <v>8682</v>
      </c>
      <c r="LUL11" t="s">
        <v>8683</v>
      </c>
      <c r="LUM11" t="s">
        <v>8684</v>
      </c>
      <c r="LUN11" t="s">
        <v>8685</v>
      </c>
      <c r="LUO11" t="s">
        <v>8686</v>
      </c>
      <c r="LUP11" t="s">
        <v>8687</v>
      </c>
      <c r="LUQ11" t="s">
        <v>8688</v>
      </c>
      <c r="LUR11" t="s">
        <v>8689</v>
      </c>
      <c r="LUS11" t="s">
        <v>8690</v>
      </c>
      <c r="LUT11" t="s">
        <v>8691</v>
      </c>
      <c r="LUU11" t="s">
        <v>8692</v>
      </c>
      <c r="LUV11" t="s">
        <v>8693</v>
      </c>
      <c r="LUW11" t="s">
        <v>8694</v>
      </c>
      <c r="LUX11" t="s">
        <v>8695</v>
      </c>
      <c r="LUY11" t="s">
        <v>8696</v>
      </c>
      <c r="LUZ11" t="s">
        <v>8697</v>
      </c>
      <c r="LVA11" t="s">
        <v>8698</v>
      </c>
      <c r="LVB11" t="s">
        <v>8699</v>
      </c>
      <c r="LVC11" t="s">
        <v>8700</v>
      </c>
      <c r="LVD11" t="s">
        <v>8701</v>
      </c>
      <c r="LVE11" t="s">
        <v>8702</v>
      </c>
      <c r="LVF11" t="s">
        <v>8703</v>
      </c>
      <c r="LVG11" t="s">
        <v>8704</v>
      </c>
      <c r="LVH11" t="s">
        <v>8705</v>
      </c>
      <c r="LVI11" t="s">
        <v>8706</v>
      </c>
      <c r="LVJ11" t="s">
        <v>8707</v>
      </c>
      <c r="LVK11" t="s">
        <v>8708</v>
      </c>
      <c r="LVL11" t="s">
        <v>8709</v>
      </c>
      <c r="LVM11" t="s">
        <v>8710</v>
      </c>
      <c r="LVN11" t="s">
        <v>8711</v>
      </c>
      <c r="LVO11" t="s">
        <v>8712</v>
      </c>
      <c r="LVP11" t="s">
        <v>8713</v>
      </c>
      <c r="LVQ11" t="s">
        <v>8714</v>
      </c>
      <c r="LVR11" t="s">
        <v>8715</v>
      </c>
      <c r="LVS11" t="s">
        <v>8716</v>
      </c>
      <c r="LVT11" t="s">
        <v>8717</v>
      </c>
      <c r="LVU11" t="s">
        <v>8718</v>
      </c>
      <c r="LVV11" t="s">
        <v>8719</v>
      </c>
      <c r="LVW11" t="s">
        <v>8720</v>
      </c>
      <c r="LVX11" t="s">
        <v>8721</v>
      </c>
      <c r="LVY11" t="s">
        <v>8722</v>
      </c>
      <c r="LVZ11" t="s">
        <v>8723</v>
      </c>
      <c r="LWA11" t="s">
        <v>8724</v>
      </c>
      <c r="LWB11" t="s">
        <v>8725</v>
      </c>
      <c r="LWC11" t="s">
        <v>8726</v>
      </c>
      <c r="LWD11" t="s">
        <v>8727</v>
      </c>
      <c r="LWE11" t="s">
        <v>8728</v>
      </c>
      <c r="LWF11" t="s">
        <v>8729</v>
      </c>
      <c r="LWG11" t="s">
        <v>8730</v>
      </c>
      <c r="LWH11" t="s">
        <v>8731</v>
      </c>
      <c r="LWI11" t="s">
        <v>8732</v>
      </c>
      <c r="LWJ11" t="s">
        <v>8733</v>
      </c>
      <c r="LWK11" t="s">
        <v>8734</v>
      </c>
      <c r="LWL11" t="s">
        <v>8735</v>
      </c>
      <c r="LWM11" t="s">
        <v>8736</v>
      </c>
      <c r="LWN11" t="s">
        <v>8737</v>
      </c>
      <c r="LWO11" t="s">
        <v>8738</v>
      </c>
      <c r="LWP11" t="s">
        <v>8739</v>
      </c>
      <c r="LWQ11" t="s">
        <v>8740</v>
      </c>
      <c r="LWR11" t="s">
        <v>8741</v>
      </c>
      <c r="LWS11" t="s">
        <v>8742</v>
      </c>
      <c r="LWT11" t="s">
        <v>8743</v>
      </c>
      <c r="LWU11" t="s">
        <v>8744</v>
      </c>
      <c r="LWV11" t="s">
        <v>8745</v>
      </c>
      <c r="LWW11" t="s">
        <v>8746</v>
      </c>
      <c r="LWX11" t="s">
        <v>8747</v>
      </c>
      <c r="LWY11" t="s">
        <v>8748</v>
      </c>
      <c r="LWZ11" t="s">
        <v>8749</v>
      </c>
      <c r="LXA11" t="s">
        <v>8750</v>
      </c>
      <c r="LXB11" t="s">
        <v>8751</v>
      </c>
      <c r="LXC11" t="s">
        <v>8752</v>
      </c>
      <c r="LXD11" t="s">
        <v>8753</v>
      </c>
      <c r="LXE11" t="s">
        <v>8754</v>
      </c>
      <c r="LXF11" t="s">
        <v>8755</v>
      </c>
      <c r="LXG11" t="s">
        <v>8756</v>
      </c>
      <c r="LXH11" t="s">
        <v>8757</v>
      </c>
      <c r="LXI11" t="s">
        <v>8758</v>
      </c>
      <c r="LXJ11" t="s">
        <v>8759</v>
      </c>
      <c r="LXK11" t="s">
        <v>8760</v>
      </c>
      <c r="LXL11" t="s">
        <v>8761</v>
      </c>
      <c r="LXM11" t="s">
        <v>8762</v>
      </c>
      <c r="LXN11" t="s">
        <v>8763</v>
      </c>
      <c r="LXO11" t="s">
        <v>8764</v>
      </c>
      <c r="LXP11" t="s">
        <v>8765</v>
      </c>
      <c r="LXQ11" t="s">
        <v>8766</v>
      </c>
      <c r="LXR11" t="s">
        <v>8767</v>
      </c>
      <c r="LXS11" t="s">
        <v>8768</v>
      </c>
      <c r="LXT11" t="s">
        <v>8769</v>
      </c>
      <c r="LXU11" t="s">
        <v>8770</v>
      </c>
      <c r="LXV11" t="s">
        <v>8771</v>
      </c>
      <c r="LXW11" t="s">
        <v>8772</v>
      </c>
      <c r="LXX11" t="s">
        <v>8773</v>
      </c>
      <c r="LXY11" t="s">
        <v>8774</v>
      </c>
      <c r="LXZ11" t="s">
        <v>8775</v>
      </c>
      <c r="LYA11" t="s">
        <v>8776</v>
      </c>
      <c r="LYB11" t="s">
        <v>8777</v>
      </c>
      <c r="LYC11" t="s">
        <v>8778</v>
      </c>
      <c r="LYD11" t="s">
        <v>8779</v>
      </c>
      <c r="LYE11" t="s">
        <v>8780</v>
      </c>
      <c r="LYF11" t="s">
        <v>8781</v>
      </c>
      <c r="LYG11" t="s">
        <v>8782</v>
      </c>
      <c r="LYH11" t="s">
        <v>8783</v>
      </c>
      <c r="LYI11" t="s">
        <v>8784</v>
      </c>
      <c r="LYJ11" t="s">
        <v>8785</v>
      </c>
      <c r="LYK11" t="s">
        <v>8786</v>
      </c>
      <c r="LYL11" t="s">
        <v>8787</v>
      </c>
      <c r="LYM11" t="s">
        <v>8788</v>
      </c>
      <c r="LYN11" t="s">
        <v>8789</v>
      </c>
      <c r="LYO11" t="s">
        <v>8790</v>
      </c>
      <c r="LYP11" t="s">
        <v>8791</v>
      </c>
      <c r="LYQ11" t="s">
        <v>8792</v>
      </c>
      <c r="LYR11" t="s">
        <v>8793</v>
      </c>
      <c r="LYS11" t="s">
        <v>8794</v>
      </c>
      <c r="LYT11" t="s">
        <v>8795</v>
      </c>
      <c r="LYU11" t="s">
        <v>8796</v>
      </c>
      <c r="LYV11" t="s">
        <v>8797</v>
      </c>
      <c r="LYW11" t="s">
        <v>8798</v>
      </c>
      <c r="LYX11" t="s">
        <v>8799</v>
      </c>
      <c r="LYY11" t="s">
        <v>8800</v>
      </c>
      <c r="LYZ11" t="s">
        <v>8801</v>
      </c>
      <c r="LZA11" t="s">
        <v>8802</v>
      </c>
      <c r="LZB11" t="s">
        <v>8803</v>
      </c>
      <c r="LZC11" t="s">
        <v>8804</v>
      </c>
      <c r="LZD11" t="s">
        <v>8805</v>
      </c>
      <c r="LZE11" t="s">
        <v>8806</v>
      </c>
      <c r="LZF11" t="s">
        <v>8807</v>
      </c>
      <c r="LZG11" t="s">
        <v>8808</v>
      </c>
      <c r="LZH11" t="s">
        <v>8809</v>
      </c>
      <c r="LZI11" t="s">
        <v>8810</v>
      </c>
      <c r="LZJ11" t="s">
        <v>8811</v>
      </c>
      <c r="LZK11" t="s">
        <v>8812</v>
      </c>
      <c r="LZL11" t="s">
        <v>8813</v>
      </c>
      <c r="LZM11" t="s">
        <v>8814</v>
      </c>
      <c r="LZN11" t="s">
        <v>8815</v>
      </c>
      <c r="LZO11" t="s">
        <v>8816</v>
      </c>
      <c r="LZP11" t="s">
        <v>8817</v>
      </c>
      <c r="LZQ11" t="s">
        <v>8818</v>
      </c>
      <c r="LZR11" t="s">
        <v>8819</v>
      </c>
      <c r="LZS11" t="s">
        <v>8820</v>
      </c>
      <c r="LZT11" t="s">
        <v>8821</v>
      </c>
      <c r="LZU11" t="s">
        <v>8822</v>
      </c>
      <c r="LZV11" t="s">
        <v>8823</v>
      </c>
      <c r="LZW11" t="s">
        <v>8824</v>
      </c>
      <c r="LZX11" t="s">
        <v>8825</v>
      </c>
      <c r="LZY11" t="s">
        <v>8826</v>
      </c>
      <c r="LZZ11" t="s">
        <v>8827</v>
      </c>
      <c r="MAA11" t="s">
        <v>8828</v>
      </c>
      <c r="MAB11" t="s">
        <v>8829</v>
      </c>
      <c r="MAC11" t="s">
        <v>8830</v>
      </c>
      <c r="MAD11" t="s">
        <v>8831</v>
      </c>
      <c r="MAE11" t="s">
        <v>8832</v>
      </c>
      <c r="MAF11" t="s">
        <v>8833</v>
      </c>
      <c r="MAG11" t="s">
        <v>8834</v>
      </c>
      <c r="MAH11" t="s">
        <v>8835</v>
      </c>
      <c r="MAI11" t="s">
        <v>8836</v>
      </c>
      <c r="MAJ11" t="s">
        <v>8837</v>
      </c>
      <c r="MAK11" t="s">
        <v>8838</v>
      </c>
      <c r="MAL11" t="s">
        <v>8839</v>
      </c>
      <c r="MAM11" t="s">
        <v>8840</v>
      </c>
      <c r="MAN11" t="s">
        <v>8841</v>
      </c>
      <c r="MAO11" t="s">
        <v>8842</v>
      </c>
      <c r="MAP11" t="s">
        <v>8843</v>
      </c>
      <c r="MAQ11" t="s">
        <v>8844</v>
      </c>
      <c r="MAR11" t="s">
        <v>8845</v>
      </c>
      <c r="MAS11" t="s">
        <v>8846</v>
      </c>
      <c r="MAT11" t="s">
        <v>8847</v>
      </c>
      <c r="MAU11" t="s">
        <v>8848</v>
      </c>
      <c r="MAV11" t="s">
        <v>8849</v>
      </c>
      <c r="MAW11" t="s">
        <v>8850</v>
      </c>
      <c r="MAX11" t="s">
        <v>8851</v>
      </c>
      <c r="MAY11" t="s">
        <v>8852</v>
      </c>
      <c r="MAZ11" t="s">
        <v>8853</v>
      </c>
      <c r="MBA11" t="s">
        <v>8854</v>
      </c>
      <c r="MBB11" t="s">
        <v>8855</v>
      </c>
      <c r="MBC11" t="s">
        <v>8856</v>
      </c>
      <c r="MBD11" t="s">
        <v>8857</v>
      </c>
      <c r="MBE11" t="s">
        <v>8858</v>
      </c>
      <c r="MBF11" t="s">
        <v>8859</v>
      </c>
      <c r="MBG11" t="s">
        <v>8860</v>
      </c>
      <c r="MBH11" t="s">
        <v>8861</v>
      </c>
      <c r="MBI11" t="s">
        <v>8862</v>
      </c>
      <c r="MBJ11" t="s">
        <v>8863</v>
      </c>
      <c r="MBK11" t="s">
        <v>8864</v>
      </c>
      <c r="MBL11" t="s">
        <v>8865</v>
      </c>
      <c r="MBM11" t="s">
        <v>8866</v>
      </c>
      <c r="MBN11" t="s">
        <v>8867</v>
      </c>
      <c r="MBO11" t="s">
        <v>8868</v>
      </c>
      <c r="MBP11" t="s">
        <v>8869</v>
      </c>
      <c r="MBQ11" t="s">
        <v>8870</v>
      </c>
      <c r="MBR11" t="s">
        <v>8871</v>
      </c>
      <c r="MBS11" t="s">
        <v>8872</v>
      </c>
      <c r="MBT11" t="s">
        <v>8873</v>
      </c>
      <c r="MBU11" t="s">
        <v>8874</v>
      </c>
      <c r="MBV11" t="s">
        <v>8875</v>
      </c>
      <c r="MBW11" t="s">
        <v>8876</v>
      </c>
      <c r="MBX11" t="s">
        <v>8877</v>
      </c>
      <c r="MBY11" t="s">
        <v>8878</v>
      </c>
      <c r="MBZ11" t="s">
        <v>8879</v>
      </c>
      <c r="MCA11" t="s">
        <v>8880</v>
      </c>
      <c r="MCB11" t="s">
        <v>8881</v>
      </c>
      <c r="MCC11" t="s">
        <v>8882</v>
      </c>
      <c r="MCD11" t="s">
        <v>8883</v>
      </c>
      <c r="MCE11" t="s">
        <v>8884</v>
      </c>
      <c r="MCF11" t="s">
        <v>8885</v>
      </c>
      <c r="MCG11" t="s">
        <v>8886</v>
      </c>
      <c r="MCH11" t="s">
        <v>8887</v>
      </c>
      <c r="MCI11" t="s">
        <v>8888</v>
      </c>
      <c r="MCJ11" t="s">
        <v>8889</v>
      </c>
      <c r="MCK11" t="s">
        <v>8890</v>
      </c>
      <c r="MCL11" t="s">
        <v>8891</v>
      </c>
      <c r="MCM11" t="s">
        <v>8892</v>
      </c>
      <c r="MCN11" t="s">
        <v>8893</v>
      </c>
      <c r="MCO11" t="s">
        <v>8894</v>
      </c>
      <c r="MCP11" t="s">
        <v>8895</v>
      </c>
      <c r="MCQ11" t="s">
        <v>8896</v>
      </c>
      <c r="MCR11" t="s">
        <v>8897</v>
      </c>
      <c r="MCS11" t="s">
        <v>8898</v>
      </c>
      <c r="MCT11" t="s">
        <v>8899</v>
      </c>
      <c r="MCU11" t="s">
        <v>8900</v>
      </c>
      <c r="MCV11" t="s">
        <v>8901</v>
      </c>
      <c r="MCW11" t="s">
        <v>8902</v>
      </c>
      <c r="MCX11" t="s">
        <v>8903</v>
      </c>
      <c r="MCY11" t="s">
        <v>8904</v>
      </c>
      <c r="MCZ11" t="s">
        <v>8905</v>
      </c>
      <c r="MDA11" t="s">
        <v>8906</v>
      </c>
      <c r="MDB11" t="s">
        <v>8907</v>
      </c>
      <c r="MDC11" t="s">
        <v>8908</v>
      </c>
      <c r="MDD11" t="s">
        <v>8909</v>
      </c>
      <c r="MDE11" t="s">
        <v>8910</v>
      </c>
      <c r="MDF11" t="s">
        <v>8911</v>
      </c>
      <c r="MDG11" t="s">
        <v>8912</v>
      </c>
      <c r="MDH11" t="s">
        <v>8913</v>
      </c>
      <c r="MDI11" t="s">
        <v>8914</v>
      </c>
      <c r="MDJ11" t="s">
        <v>8915</v>
      </c>
      <c r="MDK11" t="s">
        <v>8916</v>
      </c>
      <c r="MDL11" t="s">
        <v>8917</v>
      </c>
      <c r="MDM11" t="s">
        <v>8918</v>
      </c>
      <c r="MDN11" t="s">
        <v>8919</v>
      </c>
      <c r="MDO11" t="s">
        <v>8920</v>
      </c>
      <c r="MDP11" t="s">
        <v>8921</v>
      </c>
      <c r="MDQ11" t="s">
        <v>8922</v>
      </c>
      <c r="MDR11" t="s">
        <v>8923</v>
      </c>
      <c r="MDS11" t="s">
        <v>8924</v>
      </c>
      <c r="MDT11" t="s">
        <v>8925</v>
      </c>
      <c r="MDU11" t="s">
        <v>8926</v>
      </c>
      <c r="MDV11" t="s">
        <v>8927</v>
      </c>
      <c r="MDW11" t="s">
        <v>8928</v>
      </c>
      <c r="MDX11" t="s">
        <v>8929</v>
      </c>
      <c r="MDY11" t="s">
        <v>8930</v>
      </c>
      <c r="MDZ11" t="s">
        <v>8931</v>
      </c>
      <c r="MEA11" t="s">
        <v>8932</v>
      </c>
      <c r="MEB11" t="s">
        <v>8933</v>
      </c>
      <c r="MEC11" t="s">
        <v>8934</v>
      </c>
      <c r="MED11" t="s">
        <v>8935</v>
      </c>
      <c r="MEE11" t="s">
        <v>8936</v>
      </c>
      <c r="MEF11" t="s">
        <v>8937</v>
      </c>
      <c r="MEG11" t="s">
        <v>8938</v>
      </c>
      <c r="MEH11" t="s">
        <v>8939</v>
      </c>
      <c r="MEI11" t="s">
        <v>8940</v>
      </c>
      <c r="MEJ11" t="s">
        <v>8941</v>
      </c>
      <c r="MEK11" t="s">
        <v>8942</v>
      </c>
      <c r="MEL11" t="s">
        <v>8943</v>
      </c>
      <c r="MEM11" t="s">
        <v>8944</v>
      </c>
      <c r="MEN11" t="s">
        <v>8945</v>
      </c>
      <c r="MEO11" t="s">
        <v>8946</v>
      </c>
      <c r="MEP11" t="s">
        <v>8947</v>
      </c>
      <c r="MEQ11" t="s">
        <v>8948</v>
      </c>
      <c r="MER11" t="s">
        <v>8949</v>
      </c>
      <c r="MES11" t="s">
        <v>8950</v>
      </c>
      <c r="MET11" t="s">
        <v>8951</v>
      </c>
      <c r="MEU11" t="s">
        <v>8952</v>
      </c>
      <c r="MEV11" t="s">
        <v>8953</v>
      </c>
      <c r="MEW11" t="s">
        <v>8954</v>
      </c>
      <c r="MEX11" t="s">
        <v>8955</v>
      </c>
      <c r="MEY11" t="s">
        <v>8956</v>
      </c>
      <c r="MEZ11" t="s">
        <v>8957</v>
      </c>
      <c r="MFA11" t="s">
        <v>8958</v>
      </c>
      <c r="MFB11" t="s">
        <v>8959</v>
      </c>
      <c r="MFC11" t="s">
        <v>8960</v>
      </c>
      <c r="MFD11" t="s">
        <v>8961</v>
      </c>
      <c r="MFE11" t="s">
        <v>8962</v>
      </c>
      <c r="MFF11" t="s">
        <v>8963</v>
      </c>
      <c r="MFG11" t="s">
        <v>8964</v>
      </c>
      <c r="MFH11" t="s">
        <v>8965</v>
      </c>
      <c r="MFI11" t="s">
        <v>8966</v>
      </c>
      <c r="MFJ11" t="s">
        <v>8967</v>
      </c>
      <c r="MFK11" t="s">
        <v>8968</v>
      </c>
      <c r="MFL11" t="s">
        <v>8969</v>
      </c>
      <c r="MFM11" t="s">
        <v>8970</v>
      </c>
      <c r="MFN11" t="s">
        <v>8971</v>
      </c>
      <c r="MFO11" t="s">
        <v>8972</v>
      </c>
      <c r="MFP11" t="s">
        <v>8973</v>
      </c>
      <c r="MFQ11" t="s">
        <v>8974</v>
      </c>
      <c r="MFR11" t="s">
        <v>8975</v>
      </c>
      <c r="MFS11" t="s">
        <v>8976</v>
      </c>
      <c r="MFT11" t="s">
        <v>8977</v>
      </c>
      <c r="MFU11" t="s">
        <v>8978</v>
      </c>
      <c r="MFV11" t="s">
        <v>8979</v>
      </c>
      <c r="MFW11" t="s">
        <v>8980</v>
      </c>
      <c r="MFX11" t="s">
        <v>8981</v>
      </c>
      <c r="MFY11" t="s">
        <v>8982</v>
      </c>
      <c r="MFZ11" t="s">
        <v>8983</v>
      </c>
      <c r="MGA11" t="s">
        <v>8984</v>
      </c>
      <c r="MGB11" t="s">
        <v>8985</v>
      </c>
      <c r="MGC11" t="s">
        <v>8986</v>
      </c>
      <c r="MGD11" t="s">
        <v>8987</v>
      </c>
      <c r="MGE11" t="s">
        <v>8988</v>
      </c>
      <c r="MGF11" t="s">
        <v>8989</v>
      </c>
      <c r="MGG11" t="s">
        <v>8990</v>
      </c>
      <c r="MGH11" t="s">
        <v>8991</v>
      </c>
      <c r="MGI11" t="s">
        <v>8992</v>
      </c>
      <c r="MGJ11" t="s">
        <v>8993</v>
      </c>
      <c r="MGK11" t="s">
        <v>8994</v>
      </c>
      <c r="MGL11" t="s">
        <v>8995</v>
      </c>
      <c r="MGM11" t="s">
        <v>8996</v>
      </c>
      <c r="MGN11" t="s">
        <v>8997</v>
      </c>
      <c r="MGO11" t="s">
        <v>8998</v>
      </c>
      <c r="MGP11" t="s">
        <v>8999</v>
      </c>
      <c r="MGQ11" t="s">
        <v>9000</v>
      </c>
      <c r="MGR11" t="s">
        <v>9001</v>
      </c>
      <c r="MGS11" t="s">
        <v>9002</v>
      </c>
      <c r="MGT11" t="s">
        <v>9003</v>
      </c>
      <c r="MGU11" t="s">
        <v>9004</v>
      </c>
      <c r="MGV11" t="s">
        <v>9005</v>
      </c>
      <c r="MGW11" t="s">
        <v>9006</v>
      </c>
      <c r="MGX11" t="s">
        <v>9007</v>
      </c>
      <c r="MGY11" t="s">
        <v>9008</v>
      </c>
      <c r="MGZ11" t="s">
        <v>9009</v>
      </c>
      <c r="MHA11" t="s">
        <v>9010</v>
      </c>
      <c r="MHB11" t="s">
        <v>9011</v>
      </c>
      <c r="MHC11" t="s">
        <v>9012</v>
      </c>
      <c r="MHD11" t="s">
        <v>9013</v>
      </c>
      <c r="MHE11" t="s">
        <v>9014</v>
      </c>
      <c r="MHF11" t="s">
        <v>9015</v>
      </c>
      <c r="MHG11" t="s">
        <v>9016</v>
      </c>
      <c r="MHH11" t="s">
        <v>9017</v>
      </c>
      <c r="MHI11" t="s">
        <v>9018</v>
      </c>
      <c r="MHJ11" t="s">
        <v>9019</v>
      </c>
      <c r="MHK11" t="s">
        <v>9020</v>
      </c>
      <c r="MHL11" t="s">
        <v>9021</v>
      </c>
      <c r="MHM11" t="s">
        <v>9022</v>
      </c>
      <c r="MHN11" t="s">
        <v>9023</v>
      </c>
      <c r="MHO11" t="s">
        <v>9024</v>
      </c>
      <c r="MHP11" t="s">
        <v>9025</v>
      </c>
      <c r="MHQ11" t="s">
        <v>9026</v>
      </c>
      <c r="MHR11" t="s">
        <v>9027</v>
      </c>
      <c r="MHS11" t="s">
        <v>9028</v>
      </c>
      <c r="MHT11" t="s">
        <v>9029</v>
      </c>
      <c r="MHU11" t="s">
        <v>9030</v>
      </c>
      <c r="MHV11" t="s">
        <v>9031</v>
      </c>
      <c r="MHW11" t="s">
        <v>9032</v>
      </c>
      <c r="MHX11" t="s">
        <v>9033</v>
      </c>
      <c r="MHY11" t="s">
        <v>9034</v>
      </c>
      <c r="MHZ11" t="s">
        <v>9035</v>
      </c>
      <c r="MIA11" t="s">
        <v>9036</v>
      </c>
      <c r="MIB11" t="s">
        <v>9037</v>
      </c>
      <c r="MIC11" t="s">
        <v>9038</v>
      </c>
      <c r="MID11" t="s">
        <v>9039</v>
      </c>
      <c r="MIE11" t="s">
        <v>9040</v>
      </c>
      <c r="MIF11" t="s">
        <v>9041</v>
      </c>
      <c r="MIG11" t="s">
        <v>9042</v>
      </c>
      <c r="MIH11" t="s">
        <v>9043</v>
      </c>
      <c r="MII11" t="s">
        <v>9044</v>
      </c>
      <c r="MIJ11" t="s">
        <v>9045</v>
      </c>
      <c r="MIK11" t="s">
        <v>9046</v>
      </c>
      <c r="MIL11" t="s">
        <v>9047</v>
      </c>
      <c r="MIM11" t="s">
        <v>9048</v>
      </c>
      <c r="MIN11" t="s">
        <v>9049</v>
      </c>
      <c r="MIO11" t="s">
        <v>9050</v>
      </c>
      <c r="MIP11" t="s">
        <v>9051</v>
      </c>
      <c r="MIQ11" t="s">
        <v>9052</v>
      </c>
      <c r="MIR11" t="s">
        <v>9053</v>
      </c>
      <c r="MIS11" t="s">
        <v>9054</v>
      </c>
      <c r="MIT11" t="s">
        <v>9055</v>
      </c>
      <c r="MIU11" t="s">
        <v>9056</v>
      </c>
      <c r="MIV11" t="s">
        <v>9057</v>
      </c>
      <c r="MIW11" t="s">
        <v>9058</v>
      </c>
      <c r="MIX11" t="s">
        <v>9059</v>
      </c>
      <c r="MIY11" t="s">
        <v>9060</v>
      </c>
      <c r="MIZ11" t="s">
        <v>9061</v>
      </c>
      <c r="MJA11" t="s">
        <v>9062</v>
      </c>
      <c r="MJB11" t="s">
        <v>9063</v>
      </c>
      <c r="MJC11" t="s">
        <v>9064</v>
      </c>
      <c r="MJD11" t="s">
        <v>9065</v>
      </c>
      <c r="MJE11" t="s">
        <v>9066</v>
      </c>
      <c r="MJF11" t="s">
        <v>9067</v>
      </c>
      <c r="MJG11" t="s">
        <v>9068</v>
      </c>
      <c r="MJH11" t="s">
        <v>9069</v>
      </c>
      <c r="MJI11" t="s">
        <v>9070</v>
      </c>
      <c r="MJJ11" t="s">
        <v>9071</v>
      </c>
      <c r="MJK11" t="s">
        <v>9072</v>
      </c>
      <c r="MJL11" t="s">
        <v>9073</v>
      </c>
      <c r="MJM11" t="s">
        <v>9074</v>
      </c>
      <c r="MJN11" t="s">
        <v>9075</v>
      </c>
      <c r="MJO11" t="s">
        <v>9076</v>
      </c>
      <c r="MJP11" t="s">
        <v>9077</v>
      </c>
      <c r="MJQ11" t="s">
        <v>9078</v>
      </c>
      <c r="MJR11" t="s">
        <v>9079</v>
      </c>
      <c r="MJS11" t="s">
        <v>9080</v>
      </c>
      <c r="MJT11" t="s">
        <v>9081</v>
      </c>
      <c r="MJU11" t="s">
        <v>9082</v>
      </c>
      <c r="MJV11" t="s">
        <v>9083</v>
      </c>
      <c r="MJW11" t="s">
        <v>9084</v>
      </c>
      <c r="MJX11" t="s">
        <v>9085</v>
      </c>
      <c r="MJY11" t="s">
        <v>9086</v>
      </c>
      <c r="MJZ11" t="s">
        <v>9087</v>
      </c>
      <c r="MKA11" t="s">
        <v>9088</v>
      </c>
      <c r="MKB11" t="s">
        <v>9089</v>
      </c>
      <c r="MKC11" t="s">
        <v>9090</v>
      </c>
      <c r="MKD11" t="s">
        <v>9091</v>
      </c>
      <c r="MKE11" t="s">
        <v>9092</v>
      </c>
      <c r="MKF11" t="s">
        <v>9093</v>
      </c>
      <c r="MKG11" t="s">
        <v>9094</v>
      </c>
      <c r="MKH11" t="s">
        <v>9095</v>
      </c>
      <c r="MKI11" t="s">
        <v>9096</v>
      </c>
      <c r="MKJ11" t="s">
        <v>9097</v>
      </c>
      <c r="MKK11" t="s">
        <v>9098</v>
      </c>
      <c r="MKL11" t="s">
        <v>9099</v>
      </c>
      <c r="MKM11" t="s">
        <v>9100</v>
      </c>
      <c r="MKN11" t="s">
        <v>9101</v>
      </c>
      <c r="MKO11" t="s">
        <v>9102</v>
      </c>
      <c r="MKP11" t="s">
        <v>9103</v>
      </c>
      <c r="MKQ11" t="s">
        <v>9104</v>
      </c>
      <c r="MKR11" t="s">
        <v>9105</v>
      </c>
      <c r="MKS11" t="s">
        <v>9106</v>
      </c>
      <c r="MKT11" t="s">
        <v>9107</v>
      </c>
      <c r="MKU11" t="s">
        <v>9108</v>
      </c>
      <c r="MKV11" t="s">
        <v>9109</v>
      </c>
      <c r="MKW11" t="s">
        <v>9110</v>
      </c>
      <c r="MKX11" t="s">
        <v>9111</v>
      </c>
      <c r="MKY11" t="s">
        <v>9112</v>
      </c>
      <c r="MKZ11" t="s">
        <v>9113</v>
      </c>
      <c r="MLA11" t="s">
        <v>9114</v>
      </c>
      <c r="MLB11" t="s">
        <v>9115</v>
      </c>
      <c r="MLC11" t="s">
        <v>9116</v>
      </c>
      <c r="MLD11" t="s">
        <v>9117</v>
      </c>
      <c r="MLE11" t="s">
        <v>9118</v>
      </c>
      <c r="MLF11" t="s">
        <v>9119</v>
      </c>
      <c r="MLG11" t="s">
        <v>9120</v>
      </c>
      <c r="MLH11" t="s">
        <v>9121</v>
      </c>
      <c r="MLI11" t="s">
        <v>9122</v>
      </c>
      <c r="MLJ11" t="s">
        <v>9123</v>
      </c>
      <c r="MLK11" t="s">
        <v>9124</v>
      </c>
      <c r="MLL11" t="s">
        <v>9125</v>
      </c>
      <c r="MLM11" t="s">
        <v>9126</v>
      </c>
      <c r="MLN11" t="s">
        <v>9127</v>
      </c>
      <c r="MLO11" t="s">
        <v>9128</v>
      </c>
      <c r="MLP11" t="s">
        <v>9129</v>
      </c>
      <c r="MLQ11" t="s">
        <v>9130</v>
      </c>
      <c r="MLR11" t="s">
        <v>9131</v>
      </c>
      <c r="MLS11" t="s">
        <v>9132</v>
      </c>
      <c r="MLT11" t="s">
        <v>9133</v>
      </c>
      <c r="MLU11" t="s">
        <v>9134</v>
      </c>
      <c r="MLV11" t="s">
        <v>9135</v>
      </c>
      <c r="MLW11" t="s">
        <v>9136</v>
      </c>
      <c r="MLX11" t="s">
        <v>9137</v>
      </c>
      <c r="MLY11" t="s">
        <v>9138</v>
      </c>
      <c r="MLZ11" t="s">
        <v>9139</v>
      </c>
      <c r="MMA11" t="s">
        <v>9140</v>
      </c>
      <c r="MMB11" t="s">
        <v>9141</v>
      </c>
      <c r="MMC11" t="s">
        <v>9142</v>
      </c>
      <c r="MMD11" t="s">
        <v>9143</v>
      </c>
      <c r="MME11" t="s">
        <v>9144</v>
      </c>
      <c r="MMF11" t="s">
        <v>9145</v>
      </c>
      <c r="MMG11" t="s">
        <v>9146</v>
      </c>
      <c r="MMH11" t="s">
        <v>9147</v>
      </c>
      <c r="MMI11" t="s">
        <v>9148</v>
      </c>
      <c r="MMJ11" t="s">
        <v>9149</v>
      </c>
      <c r="MMK11" t="s">
        <v>9150</v>
      </c>
      <c r="MML11" t="s">
        <v>9151</v>
      </c>
      <c r="MMM11" t="s">
        <v>9152</v>
      </c>
      <c r="MMN11" t="s">
        <v>9153</v>
      </c>
      <c r="MMO11" t="s">
        <v>9154</v>
      </c>
      <c r="MMP11" t="s">
        <v>9155</v>
      </c>
      <c r="MMQ11" t="s">
        <v>9156</v>
      </c>
      <c r="MMR11" t="s">
        <v>9157</v>
      </c>
      <c r="MMS11" t="s">
        <v>9158</v>
      </c>
      <c r="MMT11" t="s">
        <v>9159</v>
      </c>
      <c r="MMU11" t="s">
        <v>9160</v>
      </c>
      <c r="MMV11" t="s">
        <v>9161</v>
      </c>
      <c r="MMW11" t="s">
        <v>9162</v>
      </c>
      <c r="MMX11" t="s">
        <v>9163</v>
      </c>
      <c r="MMY11" t="s">
        <v>9164</v>
      </c>
      <c r="MMZ11" t="s">
        <v>9165</v>
      </c>
      <c r="MNA11" t="s">
        <v>9166</v>
      </c>
      <c r="MNB11" t="s">
        <v>9167</v>
      </c>
      <c r="MNC11" t="s">
        <v>9168</v>
      </c>
      <c r="MND11" t="s">
        <v>9169</v>
      </c>
      <c r="MNE11" t="s">
        <v>9170</v>
      </c>
      <c r="MNF11" t="s">
        <v>9171</v>
      </c>
      <c r="MNG11" t="s">
        <v>9172</v>
      </c>
      <c r="MNH11" t="s">
        <v>9173</v>
      </c>
      <c r="MNI11" t="s">
        <v>9174</v>
      </c>
      <c r="MNJ11" t="s">
        <v>9175</v>
      </c>
      <c r="MNK11" t="s">
        <v>9176</v>
      </c>
      <c r="MNL11" t="s">
        <v>9177</v>
      </c>
      <c r="MNM11" t="s">
        <v>9178</v>
      </c>
      <c r="MNN11" t="s">
        <v>9179</v>
      </c>
      <c r="MNO11" t="s">
        <v>9180</v>
      </c>
      <c r="MNP11" t="s">
        <v>9181</v>
      </c>
      <c r="MNQ11" t="s">
        <v>9182</v>
      </c>
      <c r="MNR11" t="s">
        <v>9183</v>
      </c>
      <c r="MNS11" t="s">
        <v>9184</v>
      </c>
      <c r="MNT11" t="s">
        <v>9185</v>
      </c>
      <c r="MNU11" t="s">
        <v>9186</v>
      </c>
      <c r="MNV11" t="s">
        <v>9187</v>
      </c>
      <c r="MNW11" t="s">
        <v>9188</v>
      </c>
      <c r="MNX11" t="s">
        <v>9189</v>
      </c>
      <c r="MNY11" t="s">
        <v>9190</v>
      </c>
      <c r="MNZ11" t="s">
        <v>9191</v>
      </c>
      <c r="MOA11" t="s">
        <v>9192</v>
      </c>
      <c r="MOB11" t="s">
        <v>9193</v>
      </c>
      <c r="MOC11" t="s">
        <v>9194</v>
      </c>
      <c r="MOD11" t="s">
        <v>9195</v>
      </c>
      <c r="MOE11" t="s">
        <v>9196</v>
      </c>
      <c r="MOF11" t="s">
        <v>9197</v>
      </c>
      <c r="MOG11" t="s">
        <v>9198</v>
      </c>
      <c r="MOH11" t="s">
        <v>9199</v>
      </c>
      <c r="MOI11" t="s">
        <v>9200</v>
      </c>
      <c r="MOJ11" t="s">
        <v>9201</v>
      </c>
      <c r="MOK11" t="s">
        <v>9202</v>
      </c>
      <c r="MOL11" t="s">
        <v>9203</v>
      </c>
      <c r="MOM11" t="s">
        <v>9204</v>
      </c>
      <c r="MON11" t="s">
        <v>9205</v>
      </c>
      <c r="MOO11" t="s">
        <v>9206</v>
      </c>
      <c r="MOP11" t="s">
        <v>9207</v>
      </c>
      <c r="MOQ11" t="s">
        <v>9208</v>
      </c>
      <c r="MOR11" t="s">
        <v>9209</v>
      </c>
      <c r="MOS11" t="s">
        <v>9210</v>
      </c>
      <c r="MOT11" t="s">
        <v>9211</v>
      </c>
      <c r="MOU11" t="s">
        <v>9212</v>
      </c>
      <c r="MOV11" t="s">
        <v>9213</v>
      </c>
      <c r="MOW11" t="s">
        <v>9214</v>
      </c>
      <c r="MOX11" t="s">
        <v>9215</v>
      </c>
      <c r="MOY11" t="s">
        <v>9216</v>
      </c>
      <c r="MOZ11" t="s">
        <v>9217</v>
      </c>
      <c r="MPA11" t="s">
        <v>9218</v>
      </c>
      <c r="MPB11" t="s">
        <v>9219</v>
      </c>
      <c r="MPC11" t="s">
        <v>9220</v>
      </c>
      <c r="MPD11" t="s">
        <v>9221</v>
      </c>
      <c r="MPE11" t="s">
        <v>9222</v>
      </c>
      <c r="MPF11" t="s">
        <v>9223</v>
      </c>
      <c r="MPG11" t="s">
        <v>9224</v>
      </c>
      <c r="MPH11" t="s">
        <v>9225</v>
      </c>
      <c r="MPI11" t="s">
        <v>9226</v>
      </c>
      <c r="MPJ11" t="s">
        <v>9227</v>
      </c>
      <c r="MPK11" t="s">
        <v>9228</v>
      </c>
      <c r="MPL11" t="s">
        <v>9229</v>
      </c>
      <c r="MPM11" t="s">
        <v>9230</v>
      </c>
      <c r="MPN11" t="s">
        <v>9231</v>
      </c>
      <c r="MPO11" t="s">
        <v>9232</v>
      </c>
      <c r="MPP11" t="s">
        <v>9233</v>
      </c>
      <c r="MPQ11" t="s">
        <v>9234</v>
      </c>
      <c r="MPR11" t="s">
        <v>9235</v>
      </c>
      <c r="MPS11" t="s">
        <v>9236</v>
      </c>
      <c r="MPT11" t="s">
        <v>9237</v>
      </c>
      <c r="MPU11" t="s">
        <v>9238</v>
      </c>
      <c r="MPV11" t="s">
        <v>9239</v>
      </c>
      <c r="MPW11" t="s">
        <v>9240</v>
      </c>
      <c r="MPX11" t="s">
        <v>9241</v>
      </c>
      <c r="MPY11" t="s">
        <v>9242</v>
      </c>
      <c r="MPZ11" t="s">
        <v>9243</v>
      </c>
      <c r="MQA11" t="s">
        <v>9244</v>
      </c>
      <c r="MQB11" t="s">
        <v>9245</v>
      </c>
      <c r="MQC11" t="s">
        <v>9246</v>
      </c>
      <c r="MQD11" t="s">
        <v>9247</v>
      </c>
      <c r="MQE11" t="s">
        <v>9248</v>
      </c>
      <c r="MQF11" t="s">
        <v>9249</v>
      </c>
      <c r="MQG11" t="s">
        <v>9250</v>
      </c>
      <c r="MQH11" t="s">
        <v>9251</v>
      </c>
      <c r="MQI11" t="s">
        <v>9252</v>
      </c>
      <c r="MQJ11" t="s">
        <v>9253</v>
      </c>
      <c r="MQK11" t="s">
        <v>9254</v>
      </c>
      <c r="MQL11" t="s">
        <v>9255</v>
      </c>
      <c r="MQM11" t="s">
        <v>9256</v>
      </c>
      <c r="MQN11" t="s">
        <v>9257</v>
      </c>
      <c r="MQO11" t="s">
        <v>9258</v>
      </c>
      <c r="MQP11" t="s">
        <v>9259</v>
      </c>
      <c r="MQQ11" t="s">
        <v>9260</v>
      </c>
      <c r="MQR11" t="s">
        <v>9261</v>
      </c>
      <c r="MQS11" t="s">
        <v>9262</v>
      </c>
      <c r="MQT11" t="s">
        <v>9263</v>
      </c>
      <c r="MQU11" t="s">
        <v>9264</v>
      </c>
      <c r="MQV11" t="s">
        <v>9265</v>
      </c>
      <c r="MQW11" t="s">
        <v>9266</v>
      </c>
      <c r="MQX11" t="s">
        <v>9267</v>
      </c>
      <c r="MQY11" t="s">
        <v>9268</v>
      </c>
      <c r="MQZ11" t="s">
        <v>9269</v>
      </c>
      <c r="MRA11" t="s">
        <v>9270</v>
      </c>
      <c r="MRB11" t="s">
        <v>9271</v>
      </c>
      <c r="MRC11" t="s">
        <v>9272</v>
      </c>
      <c r="MRD11" t="s">
        <v>9273</v>
      </c>
      <c r="MRE11" t="s">
        <v>9274</v>
      </c>
      <c r="MRF11" t="s">
        <v>9275</v>
      </c>
      <c r="MRG11" t="s">
        <v>9276</v>
      </c>
      <c r="MRH11" t="s">
        <v>9277</v>
      </c>
      <c r="MRI11" t="s">
        <v>9278</v>
      </c>
      <c r="MRJ11" t="s">
        <v>9279</v>
      </c>
      <c r="MRK11" t="s">
        <v>9280</v>
      </c>
      <c r="MRL11" t="s">
        <v>9281</v>
      </c>
      <c r="MRM11" t="s">
        <v>9282</v>
      </c>
      <c r="MRN11" t="s">
        <v>9283</v>
      </c>
      <c r="MRO11" t="s">
        <v>9284</v>
      </c>
      <c r="MRP11" t="s">
        <v>9285</v>
      </c>
      <c r="MRQ11" t="s">
        <v>9286</v>
      </c>
      <c r="MRR11" t="s">
        <v>9287</v>
      </c>
      <c r="MRS11" t="s">
        <v>9288</v>
      </c>
      <c r="MRT11" t="s">
        <v>9289</v>
      </c>
      <c r="MRU11" t="s">
        <v>9290</v>
      </c>
      <c r="MRV11" t="s">
        <v>9291</v>
      </c>
      <c r="MRW11" t="s">
        <v>9292</v>
      </c>
      <c r="MRX11" t="s">
        <v>9293</v>
      </c>
      <c r="MRY11" t="s">
        <v>9294</v>
      </c>
      <c r="MRZ11" t="s">
        <v>9295</v>
      </c>
      <c r="MSA11" t="s">
        <v>9296</v>
      </c>
      <c r="MSB11" t="s">
        <v>9297</v>
      </c>
      <c r="MSC11" t="s">
        <v>9298</v>
      </c>
      <c r="MSD11" t="s">
        <v>9299</v>
      </c>
      <c r="MSE11" t="s">
        <v>9300</v>
      </c>
      <c r="MSF11" t="s">
        <v>9301</v>
      </c>
      <c r="MSG11" t="s">
        <v>9302</v>
      </c>
      <c r="MSH11" t="s">
        <v>9303</v>
      </c>
      <c r="MSI11" t="s">
        <v>9304</v>
      </c>
      <c r="MSJ11" t="s">
        <v>9305</v>
      </c>
      <c r="MSK11" t="s">
        <v>9306</v>
      </c>
      <c r="MSL11" t="s">
        <v>9307</v>
      </c>
      <c r="MSM11" t="s">
        <v>9308</v>
      </c>
      <c r="MSN11" t="s">
        <v>9309</v>
      </c>
      <c r="MSO11" t="s">
        <v>9310</v>
      </c>
      <c r="MSP11" t="s">
        <v>9311</v>
      </c>
      <c r="MSQ11" t="s">
        <v>9312</v>
      </c>
      <c r="MSR11" t="s">
        <v>9313</v>
      </c>
      <c r="MSS11" t="s">
        <v>9314</v>
      </c>
      <c r="MST11" t="s">
        <v>9315</v>
      </c>
      <c r="MSU11" t="s">
        <v>9316</v>
      </c>
      <c r="MSV11" t="s">
        <v>9317</v>
      </c>
      <c r="MSW11" t="s">
        <v>9318</v>
      </c>
      <c r="MSX11" t="s">
        <v>9319</v>
      </c>
      <c r="MSY11" t="s">
        <v>9320</v>
      </c>
      <c r="MSZ11" t="s">
        <v>9321</v>
      </c>
      <c r="MTA11" t="s">
        <v>9322</v>
      </c>
      <c r="MTB11" t="s">
        <v>9323</v>
      </c>
      <c r="MTC11" t="s">
        <v>9324</v>
      </c>
      <c r="MTD11" t="s">
        <v>9325</v>
      </c>
      <c r="MTE11" t="s">
        <v>9326</v>
      </c>
      <c r="MTF11" t="s">
        <v>9327</v>
      </c>
      <c r="MTG11" t="s">
        <v>9328</v>
      </c>
      <c r="MTH11" t="s">
        <v>9329</v>
      </c>
      <c r="MTI11" t="s">
        <v>9330</v>
      </c>
      <c r="MTJ11" t="s">
        <v>9331</v>
      </c>
      <c r="MTK11" t="s">
        <v>9332</v>
      </c>
      <c r="MTL11" t="s">
        <v>9333</v>
      </c>
      <c r="MTM11" t="s">
        <v>9334</v>
      </c>
      <c r="MTN11" t="s">
        <v>9335</v>
      </c>
      <c r="MTO11" t="s">
        <v>9336</v>
      </c>
      <c r="MTP11" t="s">
        <v>9337</v>
      </c>
      <c r="MTQ11" t="s">
        <v>9338</v>
      </c>
      <c r="MTR11" t="s">
        <v>9339</v>
      </c>
      <c r="MTS11" t="s">
        <v>9340</v>
      </c>
      <c r="MTT11" t="s">
        <v>9341</v>
      </c>
      <c r="MTU11" t="s">
        <v>9342</v>
      </c>
      <c r="MTV11" t="s">
        <v>9343</v>
      </c>
      <c r="MTW11" t="s">
        <v>9344</v>
      </c>
      <c r="MTX11" t="s">
        <v>9345</v>
      </c>
      <c r="MTY11" t="s">
        <v>9346</v>
      </c>
      <c r="MTZ11" t="s">
        <v>9347</v>
      </c>
      <c r="MUA11" t="s">
        <v>9348</v>
      </c>
      <c r="MUB11" t="s">
        <v>9349</v>
      </c>
      <c r="MUC11" t="s">
        <v>9350</v>
      </c>
      <c r="MUD11" t="s">
        <v>9351</v>
      </c>
      <c r="MUE11" t="s">
        <v>9352</v>
      </c>
      <c r="MUF11" t="s">
        <v>9353</v>
      </c>
      <c r="MUG11" t="s">
        <v>9354</v>
      </c>
      <c r="MUH11" t="s">
        <v>9355</v>
      </c>
      <c r="MUI11" t="s">
        <v>9356</v>
      </c>
      <c r="MUJ11" t="s">
        <v>9357</v>
      </c>
      <c r="MUK11" t="s">
        <v>9358</v>
      </c>
      <c r="MUL11" t="s">
        <v>9359</v>
      </c>
      <c r="MUM11" t="s">
        <v>9360</v>
      </c>
      <c r="MUN11" t="s">
        <v>9361</v>
      </c>
      <c r="MUO11" t="s">
        <v>9362</v>
      </c>
      <c r="MUP11" t="s">
        <v>9363</v>
      </c>
      <c r="MUQ11" t="s">
        <v>9364</v>
      </c>
      <c r="MUR11" t="s">
        <v>9365</v>
      </c>
      <c r="MUS11" t="s">
        <v>9366</v>
      </c>
      <c r="MUT11" t="s">
        <v>9367</v>
      </c>
      <c r="MUU11" t="s">
        <v>9368</v>
      </c>
      <c r="MUV11" t="s">
        <v>9369</v>
      </c>
      <c r="MUW11" t="s">
        <v>9370</v>
      </c>
      <c r="MUX11" t="s">
        <v>9371</v>
      </c>
      <c r="MUY11" t="s">
        <v>9372</v>
      </c>
      <c r="MUZ11" t="s">
        <v>9373</v>
      </c>
      <c r="MVA11" t="s">
        <v>9374</v>
      </c>
      <c r="MVB11" t="s">
        <v>9375</v>
      </c>
      <c r="MVC11" t="s">
        <v>9376</v>
      </c>
      <c r="MVD11" t="s">
        <v>9377</v>
      </c>
      <c r="MVE11" t="s">
        <v>9378</v>
      </c>
      <c r="MVF11" t="s">
        <v>9379</v>
      </c>
      <c r="MVG11" t="s">
        <v>9380</v>
      </c>
      <c r="MVH11" t="s">
        <v>9381</v>
      </c>
      <c r="MVI11" t="s">
        <v>9382</v>
      </c>
      <c r="MVJ11" t="s">
        <v>9383</v>
      </c>
      <c r="MVK11" t="s">
        <v>9384</v>
      </c>
      <c r="MVL11" t="s">
        <v>9385</v>
      </c>
      <c r="MVM11" t="s">
        <v>9386</v>
      </c>
      <c r="MVN11" t="s">
        <v>9387</v>
      </c>
      <c r="MVO11" t="s">
        <v>9388</v>
      </c>
      <c r="MVP11" t="s">
        <v>9389</v>
      </c>
      <c r="MVQ11" t="s">
        <v>9390</v>
      </c>
      <c r="MVR11" t="s">
        <v>9391</v>
      </c>
      <c r="MVS11" t="s">
        <v>9392</v>
      </c>
      <c r="MVT11" t="s">
        <v>9393</v>
      </c>
      <c r="MVU11" t="s">
        <v>9394</v>
      </c>
      <c r="MVV11" t="s">
        <v>9395</v>
      </c>
      <c r="MVW11" t="s">
        <v>9396</v>
      </c>
      <c r="MVX11" t="s">
        <v>9397</v>
      </c>
      <c r="MVY11" t="s">
        <v>9398</v>
      </c>
      <c r="MVZ11" t="s">
        <v>9399</v>
      </c>
      <c r="MWA11" t="s">
        <v>9400</v>
      </c>
      <c r="MWB11" t="s">
        <v>9401</v>
      </c>
      <c r="MWC11" t="s">
        <v>9402</v>
      </c>
      <c r="MWD11" t="s">
        <v>9403</v>
      </c>
      <c r="MWE11" t="s">
        <v>9404</v>
      </c>
      <c r="MWF11" t="s">
        <v>9405</v>
      </c>
      <c r="MWG11" t="s">
        <v>9406</v>
      </c>
      <c r="MWH11" t="s">
        <v>9407</v>
      </c>
      <c r="MWI11" t="s">
        <v>9408</v>
      </c>
      <c r="MWJ11" t="s">
        <v>9409</v>
      </c>
      <c r="MWK11" t="s">
        <v>9410</v>
      </c>
      <c r="MWL11" t="s">
        <v>9411</v>
      </c>
      <c r="MWM11" t="s">
        <v>9412</v>
      </c>
      <c r="MWN11" t="s">
        <v>9413</v>
      </c>
      <c r="MWO11" t="s">
        <v>9414</v>
      </c>
      <c r="MWP11" t="s">
        <v>9415</v>
      </c>
      <c r="MWQ11" t="s">
        <v>9416</v>
      </c>
      <c r="MWR11" t="s">
        <v>9417</v>
      </c>
      <c r="MWS11" t="s">
        <v>9418</v>
      </c>
      <c r="MWT11" t="s">
        <v>9419</v>
      </c>
      <c r="MWU11" t="s">
        <v>9420</v>
      </c>
      <c r="MWV11" t="s">
        <v>9421</v>
      </c>
      <c r="MWW11" t="s">
        <v>9422</v>
      </c>
      <c r="MWX11" t="s">
        <v>9423</v>
      </c>
      <c r="MWY11" t="s">
        <v>9424</v>
      </c>
      <c r="MWZ11" t="s">
        <v>9425</v>
      </c>
      <c r="MXA11" t="s">
        <v>9426</v>
      </c>
      <c r="MXB11" t="s">
        <v>9427</v>
      </c>
      <c r="MXC11" t="s">
        <v>9428</v>
      </c>
      <c r="MXD11" t="s">
        <v>9429</v>
      </c>
      <c r="MXE11" t="s">
        <v>9430</v>
      </c>
      <c r="MXF11" t="s">
        <v>9431</v>
      </c>
      <c r="MXG11" t="s">
        <v>9432</v>
      </c>
      <c r="MXH11" t="s">
        <v>9433</v>
      </c>
      <c r="MXI11" t="s">
        <v>9434</v>
      </c>
      <c r="MXJ11" t="s">
        <v>9435</v>
      </c>
      <c r="MXK11" t="s">
        <v>9436</v>
      </c>
      <c r="MXL11" t="s">
        <v>9437</v>
      </c>
      <c r="MXM11" t="s">
        <v>9438</v>
      </c>
      <c r="MXN11" t="s">
        <v>9439</v>
      </c>
      <c r="MXO11" t="s">
        <v>9440</v>
      </c>
      <c r="MXP11" t="s">
        <v>9441</v>
      </c>
      <c r="MXQ11" t="s">
        <v>9442</v>
      </c>
      <c r="MXR11" t="s">
        <v>9443</v>
      </c>
      <c r="MXS11" t="s">
        <v>9444</v>
      </c>
      <c r="MXT11" t="s">
        <v>9445</v>
      </c>
      <c r="MXU11" t="s">
        <v>9446</v>
      </c>
      <c r="MXV11" t="s">
        <v>9447</v>
      </c>
      <c r="MXW11" t="s">
        <v>9448</v>
      </c>
      <c r="MXX11" t="s">
        <v>9449</v>
      </c>
      <c r="MXY11" t="s">
        <v>9450</v>
      </c>
      <c r="MXZ11" t="s">
        <v>9451</v>
      </c>
      <c r="MYA11" t="s">
        <v>9452</v>
      </c>
      <c r="MYB11" t="s">
        <v>9453</v>
      </c>
      <c r="MYC11" t="s">
        <v>9454</v>
      </c>
      <c r="MYD11" t="s">
        <v>9455</v>
      </c>
      <c r="MYE11" t="s">
        <v>9456</v>
      </c>
      <c r="MYF11" t="s">
        <v>9457</v>
      </c>
      <c r="MYG11" t="s">
        <v>9458</v>
      </c>
      <c r="MYH11" t="s">
        <v>9459</v>
      </c>
      <c r="MYI11" t="s">
        <v>9460</v>
      </c>
      <c r="MYJ11" t="s">
        <v>9461</v>
      </c>
      <c r="MYK11" t="s">
        <v>9462</v>
      </c>
      <c r="MYL11" t="s">
        <v>9463</v>
      </c>
      <c r="MYM11" t="s">
        <v>9464</v>
      </c>
      <c r="MYN11" t="s">
        <v>9465</v>
      </c>
      <c r="MYO11" t="s">
        <v>9466</v>
      </c>
      <c r="MYP11" t="s">
        <v>9467</v>
      </c>
      <c r="MYQ11" t="s">
        <v>9468</v>
      </c>
      <c r="MYR11" t="s">
        <v>9469</v>
      </c>
      <c r="MYS11" t="s">
        <v>9470</v>
      </c>
      <c r="MYT11" t="s">
        <v>9471</v>
      </c>
      <c r="MYU11" t="s">
        <v>9472</v>
      </c>
      <c r="MYV11" t="s">
        <v>9473</v>
      </c>
      <c r="MYW11" t="s">
        <v>9474</v>
      </c>
      <c r="MYX11" t="s">
        <v>9475</v>
      </c>
      <c r="MYY11" t="s">
        <v>9476</v>
      </c>
      <c r="MYZ11" t="s">
        <v>9477</v>
      </c>
      <c r="MZA11" t="s">
        <v>9478</v>
      </c>
      <c r="MZB11" t="s">
        <v>9479</v>
      </c>
      <c r="MZC11" t="s">
        <v>9480</v>
      </c>
      <c r="MZD11" t="s">
        <v>9481</v>
      </c>
      <c r="MZE11" t="s">
        <v>9482</v>
      </c>
      <c r="MZF11" t="s">
        <v>9483</v>
      </c>
      <c r="MZG11" t="s">
        <v>9484</v>
      </c>
      <c r="MZH11" t="s">
        <v>9485</v>
      </c>
      <c r="MZI11" t="s">
        <v>9486</v>
      </c>
      <c r="MZJ11" t="s">
        <v>9487</v>
      </c>
      <c r="MZK11" t="s">
        <v>9488</v>
      </c>
      <c r="MZL11" t="s">
        <v>9489</v>
      </c>
      <c r="MZM11" t="s">
        <v>9490</v>
      </c>
      <c r="MZN11" t="s">
        <v>9491</v>
      </c>
      <c r="MZO11" t="s">
        <v>9492</v>
      </c>
      <c r="MZP11" t="s">
        <v>9493</v>
      </c>
      <c r="MZQ11" t="s">
        <v>9494</v>
      </c>
      <c r="MZR11" t="s">
        <v>9495</v>
      </c>
      <c r="MZS11" t="s">
        <v>9496</v>
      </c>
      <c r="MZT11" t="s">
        <v>9497</v>
      </c>
      <c r="MZU11" t="s">
        <v>9498</v>
      </c>
      <c r="MZV11" t="s">
        <v>9499</v>
      </c>
      <c r="MZW11" t="s">
        <v>9500</v>
      </c>
      <c r="MZX11" t="s">
        <v>9501</v>
      </c>
      <c r="MZY11" t="s">
        <v>9502</v>
      </c>
      <c r="MZZ11" t="s">
        <v>9503</v>
      </c>
      <c r="NAA11" t="s">
        <v>9504</v>
      </c>
      <c r="NAB11" t="s">
        <v>9505</v>
      </c>
      <c r="NAC11" t="s">
        <v>9506</v>
      </c>
      <c r="NAD11" t="s">
        <v>9507</v>
      </c>
      <c r="NAE11" t="s">
        <v>9508</v>
      </c>
      <c r="NAF11" t="s">
        <v>9509</v>
      </c>
      <c r="NAG11" t="s">
        <v>9510</v>
      </c>
      <c r="NAH11" t="s">
        <v>9511</v>
      </c>
      <c r="NAI11" t="s">
        <v>9512</v>
      </c>
      <c r="NAJ11" t="s">
        <v>9513</v>
      </c>
      <c r="NAK11" t="s">
        <v>9514</v>
      </c>
      <c r="NAL11" t="s">
        <v>9515</v>
      </c>
      <c r="NAM11" t="s">
        <v>9516</v>
      </c>
      <c r="NAN11" t="s">
        <v>9517</v>
      </c>
      <c r="NAO11" t="s">
        <v>9518</v>
      </c>
      <c r="NAP11" t="s">
        <v>9519</v>
      </c>
      <c r="NAQ11" t="s">
        <v>9520</v>
      </c>
      <c r="NAR11" t="s">
        <v>9521</v>
      </c>
      <c r="NAS11" t="s">
        <v>9522</v>
      </c>
      <c r="NAT11" t="s">
        <v>9523</v>
      </c>
      <c r="NAU11" t="s">
        <v>9524</v>
      </c>
      <c r="NAV11" t="s">
        <v>9525</v>
      </c>
      <c r="NAW11" t="s">
        <v>9526</v>
      </c>
      <c r="NAX11" t="s">
        <v>9527</v>
      </c>
      <c r="NAY11" t="s">
        <v>9528</v>
      </c>
      <c r="NAZ11" t="s">
        <v>9529</v>
      </c>
      <c r="NBA11" t="s">
        <v>9530</v>
      </c>
      <c r="NBB11" t="s">
        <v>9531</v>
      </c>
      <c r="NBC11" t="s">
        <v>9532</v>
      </c>
      <c r="NBD11" t="s">
        <v>9533</v>
      </c>
      <c r="NBE11" t="s">
        <v>9534</v>
      </c>
      <c r="NBF11" t="s">
        <v>9535</v>
      </c>
      <c r="NBG11" t="s">
        <v>9536</v>
      </c>
      <c r="NBH11" t="s">
        <v>9537</v>
      </c>
      <c r="NBI11" t="s">
        <v>9538</v>
      </c>
      <c r="NBJ11" t="s">
        <v>9539</v>
      </c>
      <c r="NBK11" t="s">
        <v>9540</v>
      </c>
      <c r="NBL11" t="s">
        <v>9541</v>
      </c>
      <c r="NBM11" t="s">
        <v>9542</v>
      </c>
      <c r="NBN11" t="s">
        <v>9543</v>
      </c>
      <c r="NBO11" t="s">
        <v>9544</v>
      </c>
      <c r="NBP11" t="s">
        <v>9545</v>
      </c>
      <c r="NBQ11" t="s">
        <v>9546</v>
      </c>
      <c r="NBR11" t="s">
        <v>9547</v>
      </c>
      <c r="NBS11" t="s">
        <v>9548</v>
      </c>
      <c r="NBT11" t="s">
        <v>9549</v>
      </c>
      <c r="NBU11" t="s">
        <v>9550</v>
      </c>
      <c r="NBV11" t="s">
        <v>9551</v>
      </c>
      <c r="NBW11" t="s">
        <v>9552</v>
      </c>
      <c r="NBX11" t="s">
        <v>9553</v>
      </c>
      <c r="NBY11" t="s">
        <v>9554</v>
      </c>
      <c r="NBZ11" t="s">
        <v>9555</v>
      </c>
      <c r="NCA11" t="s">
        <v>9556</v>
      </c>
      <c r="NCB11" t="s">
        <v>9557</v>
      </c>
      <c r="NCC11" t="s">
        <v>9558</v>
      </c>
      <c r="NCD11" t="s">
        <v>9559</v>
      </c>
      <c r="NCE11" t="s">
        <v>9560</v>
      </c>
      <c r="NCF11" t="s">
        <v>9561</v>
      </c>
      <c r="NCG11" t="s">
        <v>9562</v>
      </c>
      <c r="NCH11" t="s">
        <v>9563</v>
      </c>
      <c r="NCI11" t="s">
        <v>9564</v>
      </c>
      <c r="NCJ11" t="s">
        <v>9565</v>
      </c>
      <c r="NCK11" t="s">
        <v>9566</v>
      </c>
      <c r="NCL11" t="s">
        <v>9567</v>
      </c>
      <c r="NCM11" t="s">
        <v>9568</v>
      </c>
      <c r="NCN11" t="s">
        <v>9569</v>
      </c>
      <c r="NCO11" t="s">
        <v>9570</v>
      </c>
      <c r="NCP11" t="s">
        <v>9571</v>
      </c>
      <c r="NCQ11" t="s">
        <v>9572</v>
      </c>
      <c r="NCR11" t="s">
        <v>9573</v>
      </c>
      <c r="NCS11" t="s">
        <v>9574</v>
      </c>
      <c r="NCT11" t="s">
        <v>9575</v>
      </c>
      <c r="NCU11" t="s">
        <v>9576</v>
      </c>
      <c r="NCV11" t="s">
        <v>9577</v>
      </c>
      <c r="NCW11" t="s">
        <v>9578</v>
      </c>
      <c r="NCX11" t="s">
        <v>9579</v>
      </c>
      <c r="NCY11" t="s">
        <v>9580</v>
      </c>
      <c r="NCZ11" t="s">
        <v>9581</v>
      </c>
      <c r="NDA11" t="s">
        <v>9582</v>
      </c>
      <c r="NDB11" t="s">
        <v>9583</v>
      </c>
      <c r="NDC11" t="s">
        <v>9584</v>
      </c>
      <c r="NDD11" t="s">
        <v>9585</v>
      </c>
      <c r="NDE11" t="s">
        <v>9586</v>
      </c>
      <c r="NDF11" t="s">
        <v>9587</v>
      </c>
      <c r="NDG11" t="s">
        <v>9588</v>
      </c>
      <c r="NDH11" t="s">
        <v>9589</v>
      </c>
      <c r="NDI11" t="s">
        <v>9590</v>
      </c>
      <c r="NDJ11" t="s">
        <v>9591</v>
      </c>
      <c r="NDK11" t="s">
        <v>9592</v>
      </c>
      <c r="NDL11" t="s">
        <v>9593</v>
      </c>
      <c r="NDM11" t="s">
        <v>9594</v>
      </c>
      <c r="NDN11" t="s">
        <v>9595</v>
      </c>
      <c r="NDO11" t="s">
        <v>9596</v>
      </c>
      <c r="NDP11" t="s">
        <v>9597</v>
      </c>
      <c r="NDQ11" t="s">
        <v>9598</v>
      </c>
      <c r="NDR11" t="s">
        <v>9599</v>
      </c>
      <c r="NDS11" t="s">
        <v>9600</v>
      </c>
      <c r="NDT11" t="s">
        <v>9601</v>
      </c>
      <c r="NDU11" t="s">
        <v>9602</v>
      </c>
      <c r="NDV11" t="s">
        <v>9603</v>
      </c>
      <c r="NDW11" t="s">
        <v>9604</v>
      </c>
      <c r="NDX11" t="s">
        <v>9605</v>
      </c>
      <c r="NDY11" t="s">
        <v>9606</v>
      </c>
      <c r="NDZ11" t="s">
        <v>9607</v>
      </c>
      <c r="NEA11" t="s">
        <v>9608</v>
      </c>
      <c r="NEB11" t="s">
        <v>9609</v>
      </c>
      <c r="NEC11" t="s">
        <v>9610</v>
      </c>
      <c r="NED11" t="s">
        <v>9611</v>
      </c>
      <c r="NEE11" t="s">
        <v>9612</v>
      </c>
      <c r="NEF11" t="s">
        <v>9613</v>
      </c>
      <c r="NEG11" t="s">
        <v>9614</v>
      </c>
      <c r="NEH11" t="s">
        <v>9615</v>
      </c>
      <c r="NEI11" t="s">
        <v>9616</v>
      </c>
      <c r="NEJ11" t="s">
        <v>9617</v>
      </c>
      <c r="NEK11" t="s">
        <v>9618</v>
      </c>
      <c r="NEL11" t="s">
        <v>9619</v>
      </c>
      <c r="NEM11" t="s">
        <v>9620</v>
      </c>
      <c r="NEN11" t="s">
        <v>9621</v>
      </c>
      <c r="NEO11" t="s">
        <v>9622</v>
      </c>
      <c r="NEP11" t="s">
        <v>9623</v>
      </c>
      <c r="NEQ11" t="s">
        <v>9624</v>
      </c>
      <c r="NER11" t="s">
        <v>9625</v>
      </c>
      <c r="NES11" t="s">
        <v>9626</v>
      </c>
      <c r="NET11" t="s">
        <v>9627</v>
      </c>
      <c r="NEU11" t="s">
        <v>9628</v>
      </c>
      <c r="NEV11" t="s">
        <v>9629</v>
      </c>
      <c r="NEW11" t="s">
        <v>9630</v>
      </c>
      <c r="NEX11" t="s">
        <v>9631</v>
      </c>
      <c r="NEY11" t="s">
        <v>9632</v>
      </c>
      <c r="NEZ11" t="s">
        <v>9633</v>
      </c>
      <c r="NFA11" t="s">
        <v>9634</v>
      </c>
      <c r="NFB11" t="s">
        <v>9635</v>
      </c>
      <c r="NFC11" t="s">
        <v>9636</v>
      </c>
      <c r="NFD11" t="s">
        <v>9637</v>
      </c>
      <c r="NFE11" t="s">
        <v>9638</v>
      </c>
      <c r="NFF11" t="s">
        <v>9639</v>
      </c>
      <c r="NFG11" t="s">
        <v>9640</v>
      </c>
      <c r="NFH11" t="s">
        <v>9641</v>
      </c>
      <c r="NFI11" t="s">
        <v>9642</v>
      </c>
      <c r="NFJ11" t="s">
        <v>9643</v>
      </c>
      <c r="NFK11" t="s">
        <v>9644</v>
      </c>
      <c r="NFL11" t="s">
        <v>9645</v>
      </c>
      <c r="NFM11" t="s">
        <v>9646</v>
      </c>
      <c r="NFN11" t="s">
        <v>9647</v>
      </c>
      <c r="NFO11" t="s">
        <v>9648</v>
      </c>
      <c r="NFP11" t="s">
        <v>9649</v>
      </c>
      <c r="NFQ11" t="s">
        <v>9650</v>
      </c>
      <c r="NFR11" t="s">
        <v>9651</v>
      </c>
      <c r="NFS11" t="s">
        <v>9652</v>
      </c>
      <c r="NFT11" t="s">
        <v>9653</v>
      </c>
      <c r="NFU11" t="s">
        <v>9654</v>
      </c>
      <c r="NFV11" t="s">
        <v>9655</v>
      </c>
      <c r="NFW11" t="s">
        <v>9656</v>
      </c>
      <c r="NFX11" t="s">
        <v>9657</v>
      </c>
      <c r="NFY11" t="s">
        <v>9658</v>
      </c>
      <c r="NFZ11" t="s">
        <v>9659</v>
      </c>
      <c r="NGA11" t="s">
        <v>9660</v>
      </c>
      <c r="NGB11" t="s">
        <v>9661</v>
      </c>
      <c r="NGC11" t="s">
        <v>9662</v>
      </c>
      <c r="NGD11" t="s">
        <v>9663</v>
      </c>
      <c r="NGE11" t="s">
        <v>9664</v>
      </c>
      <c r="NGF11" t="s">
        <v>9665</v>
      </c>
      <c r="NGG11" t="s">
        <v>9666</v>
      </c>
      <c r="NGH11" t="s">
        <v>9667</v>
      </c>
      <c r="NGI11" t="s">
        <v>9668</v>
      </c>
      <c r="NGJ11" t="s">
        <v>9669</v>
      </c>
      <c r="NGK11" t="s">
        <v>9670</v>
      </c>
      <c r="NGL11" t="s">
        <v>9671</v>
      </c>
      <c r="NGM11" t="s">
        <v>9672</v>
      </c>
      <c r="NGN11" t="s">
        <v>9673</v>
      </c>
      <c r="NGO11" t="s">
        <v>9674</v>
      </c>
      <c r="NGP11" t="s">
        <v>9675</v>
      </c>
      <c r="NGQ11" t="s">
        <v>9676</v>
      </c>
      <c r="NGR11" t="s">
        <v>9677</v>
      </c>
      <c r="NGS11" t="s">
        <v>9678</v>
      </c>
      <c r="NGT11" t="s">
        <v>9679</v>
      </c>
      <c r="NGU11" t="s">
        <v>9680</v>
      </c>
      <c r="NGV11" t="s">
        <v>9681</v>
      </c>
      <c r="NGW11" t="s">
        <v>9682</v>
      </c>
      <c r="NGX11" t="s">
        <v>9683</v>
      </c>
      <c r="NGY11" t="s">
        <v>9684</v>
      </c>
      <c r="NGZ11" t="s">
        <v>9685</v>
      </c>
      <c r="NHA11" t="s">
        <v>9686</v>
      </c>
      <c r="NHB11" t="s">
        <v>9687</v>
      </c>
      <c r="NHC11" t="s">
        <v>9688</v>
      </c>
      <c r="NHD11" t="s">
        <v>9689</v>
      </c>
      <c r="NHE11" t="s">
        <v>9690</v>
      </c>
      <c r="NHF11" t="s">
        <v>9691</v>
      </c>
      <c r="NHG11" t="s">
        <v>9692</v>
      </c>
      <c r="NHH11" t="s">
        <v>9693</v>
      </c>
      <c r="NHI11" t="s">
        <v>9694</v>
      </c>
      <c r="NHJ11" t="s">
        <v>9695</v>
      </c>
      <c r="NHK11" t="s">
        <v>9696</v>
      </c>
      <c r="NHL11" t="s">
        <v>9697</v>
      </c>
      <c r="NHM11" t="s">
        <v>9698</v>
      </c>
      <c r="NHN11" t="s">
        <v>9699</v>
      </c>
      <c r="NHO11" t="s">
        <v>9700</v>
      </c>
      <c r="NHP11" t="s">
        <v>9701</v>
      </c>
      <c r="NHQ11" t="s">
        <v>9702</v>
      </c>
      <c r="NHR11" t="s">
        <v>9703</v>
      </c>
      <c r="NHS11" t="s">
        <v>9704</v>
      </c>
      <c r="NHT11" t="s">
        <v>9705</v>
      </c>
      <c r="NHU11" t="s">
        <v>9706</v>
      </c>
      <c r="NHV11" t="s">
        <v>9707</v>
      </c>
      <c r="NHW11" t="s">
        <v>9708</v>
      </c>
      <c r="NHX11" t="s">
        <v>9709</v>
      </c>
      <c r="NHY11" t="s">
        <v>9710</v>
      </c>
      <c r="NHZ11" t="s">
        <v>9711</v>
      </c>
      <c r="NIA11" t="s">
        <v>9712</v>
      </c>
      <c r="NIB11" t="s">
        <v>9713</v>
      </c>
      <c r="NIC11" t="s">
        <v>9714</v>
      </c>
      <c r="NID11" t="s">
        <v>9715</v>
      </c>
      <c r="NIE11" t="s">
        <v>9716</v>
      </c>
      <c r="NIF11" t="s">
        <v>9717</v>
      </c>
      <c r="NIG11" t="s">
        <v>9718</v>
      </c>
      <c r="NIH11" t="s">
        <v>9719</v>
      </c>
      <c r="NII11" t="s">
        <v>9720</v>
      </c>
      <c r="NIJ11" t="s">
        <v>9721</v>
      </c>
      <c r="NIK11" t="s">
        <v>9722</v>
      </c>
      <c r="NIL11" t="s">
        <v>9723</v>
      </c>
      <c r="NIM11" t="s">
        <v>9724</v>
      </c>
      <c r="NIN11" t="s">
        <v>9725</v>
      </c>
      <c r="NIO11" t="s">
        <v>9726</v>
      </c>
      <c r="NIP11" t="s">
        <v>9727</v>
      </c>
      <c r="NIQ11" t="s">
        <v>9728</v>
      </c>
      <c r="NIR11" t="s">
        <v>9729</v>
      </c>
      <c r="NIS11" t="s">
        <v>9730</v>
      </c>
      <c r="NIT11" t="s">
        <v>9731</v>
      </c>
      <c r="NIU11" t="s">
        <v>9732</v>
      </c>
      <c r="NIV11" t="s">
        <v>9733</v>
      </c>
      <c r="NIW11" t="s">
        <v>9734</v>
      </c>
      <c r="NIX11" t="s">
        <v>9735</v>
      </c>
      <c r="NIY11" t="s">
        <v>9736</v>
      </c>
      <c r="NIZ11" t="s">
        <v>9737</v>
      </c>
      <c r="NJA11" t="s">
        <v>9738</v>
      </c>
      <c r="NJB11" t="s">
        <v>9739</v>
      </c>
      <c r="NJC11" t="s">
        <v>9740</v>
      </c>
      <c r="NJD11" t="s">
        <v>9741</v>
      </c>
      <c r="NJE11" t="s">
        <v>9742</v>
      </c>
      <c r="NJF11" t="s">
        <v>9743</v>
      </c>
      <c r="NJG11" t="s">
        <v>9744</v>
      </c>
      <c r="NJH11" t="s">
        <v>9745</v>
      </c>
      <c r="NJI11" t="s">
        <v>9746</v>
      </c>
      <c r="NJJ11" t="s">
        <v>9747</v>
      </c>
      <c r="NJK11" t="s">
        <v>9748</v>
      </c>
      <c r="NJL11" t="s">
        <v>9749</v>
      </c>
      <c r="NJM11" t="s">
        <v>9750</v>
      </c>
      <c r="NJN11" t="s">
        <v>9751</v>
      </c>
      <c r="NJO11" t="s">
        <v>9752</v>
      </c>
      <c r="NJP11" t="s">
        <v>9753</v>
      </c>
      <c r="NJQ11" t="s">
        <v>9754</v>
      </c>
      <c r="NJR11" t="s">
        <v>9755</v>
      </c>
      <c r="NJS11" t="s">
        <v>9756</v>
      </c>
      <c r="NJT11" t="s">
        <v>9757</v>
      </c>
      <c r="NJU11" t="s">
        <v>9758</v>
      </c>
      <c r="NJV11" t="s">
        <v>9759</v>
      </c>
      <c r="NJW11" t="s">
        <v>9760</v>
      </c>
      <c r="NJX11" t="s">
        <v>9761</v>
      </c>
      <c r="NJY11" t="s">
        <v>9762</v>
      </c>
      <c r="NJZ11" t="s">
        <v>9763</v>
      </c>
      <c r="NKA11" t="s">
        <v>9764</v>
      </c>
      <c r="NKB11" t="s">
        <v>9765</v>
      </c>
      <c r="NKC11" t="s">
        <v>9766</v>
      </c>
      <c r="NKD11" t="s">
        <v>9767</v>
      </c>
      <c r="NKE11" t="s">
        <v>9768</v>
      </c>
      <c r="NKF11" t="s">
        <v>9769</v>
      </c>
      <c r="NKG11" t="s">
        <v>9770</v>
      </c>
      <c r="NKH11" t="s">
        <v>9771</v>
      </c>
      <c r="NKI11" t="s">
        <v>9772</v>
      </c>
      <c r="NKJ11" t="s">
        <v>9773</v>
      </c>
      <c r="NKK11" t="s">
        <v>9774</v>
      </c>
      <c r="NKL11" t="s">
        <v>9775</v>
      </c>
      <c r="NKM11" t="s">
        <v>9776</v>
      </c>
      <c r="NKN11" t="s">
        <v>9777</v>
      </c>
      <c r="NKO11" t="s">
        <v>9778</v>
      </c>
      <c r="NKP11" t="s">
        <v>9779</v>
      </c>
      <c r="NKQ11" t="s">
        <v>9780</v>
      </c>
      <c r="NKR11" t="s">
        <v>9781</v>
      </c>
      <c r="NKS11" t="s">
        <v>9782</v>
      </c>
      <c r="NKT11" t="s">
        <v>9783</v>
      </c>
      <c r="NKU11" t="s">
        <v>9784</v>
      </c>
      <c r="NKV11" t="s">
        <v>9785</v>
      </c>
      <c r="NKW11" t="s">
        <v>9786</v>
      </c>
      <c r="NKX11" t="s">
        <v>9787</v>
      </c>
      <c r="NKY11" t="s">
        <v>9788</v>
      </c>
      <c r="NKZ11" t="s">
        <v>9789</v>
      </c>
      <c r="NLA11" t="s">
        <v>9790</v>
      </c>
      <c r="NLB11" t="s">
        <v>9791</v>
      </c>
      <c r="NLC11" t="s">
        <v>9792</v>
      </c>
      <c r="NLD11" t="s">
        <v>9793</v>
      </c>
      <c r="NLE11" t="s">
        <v>9794</v>
      </c>
      <c r="NLF11" t="s">
        <v>9795</v>
      </c>
      <c r="NLG11" t="s">
        <v>9796</v>
      </c>
      <c r="NLH11" t="s">
        <v>9797</v>
      </c>
      <c r="NLI11" t="s">
        <v>9798</v>
      </c>
      <c r="NLJ11" t="s">
        <v>9799</v>
      </c>
      <c r="NLK11" t="s">
        <v>9800</v>
      </c>
      <c r="NLL11" t="s">
        <v>9801</v>
      </c>
      <c r="NLM11" t="s">
        <v>9802</v>
      </c>
      <c r="NLN11" t="s">
        <v>9803</v>
      </c>
      <c r="NLO11" t="s">
        <v>9804</v>
      </c>
      <c r="NLP11" t="s">
        <v>9805</v>
      </c>
      <c r="NLQ11" t="s">
        <v>9806</v>
      </c>
      <c r="NLR11" t="s">
        <v>9807</v>
      </c>
      <c r="NLS11" t="s">
        <v>9808</v>
      </c>
      <c r="NLT11" t="s">
        <v>9809</v>
      </c>
      <c r="NLU11" t="s">
        <v>9810</v>
      </c>
      <c r="NLV11" t="s">
        <v>9811</v>
      </c>
      <c r="NLW11" t="s">
        <v>9812</v>
      </c>
      <c r="NLX11" t="s">
        <v>9813</v>
      </c>
      <c r="NLY11" t="s">
        <v>9814</v>
      </c>
      <c r="NLZ11" t="s">
        <v>9815</v>
      </c>
      <c r="NMA11" t="s">
        <v>9816</v>
      </c>
      <c r="NMB11" t="s">
        <v>9817</v>
      </c>
      <c r="NMC11" t="s">
        <v>9818</v>
      </c>
      <c r="NMD11" t="s">
        <v>9819</v>
      </c>
      <c r="NME11" t="s">
        <v>9820</v>
      </c>
      <c r="NMF11" t="s">
        <v>9821</v>
      </c>
      <c r="NMG11" t="s">
        <v>9822</v>
      </c>
      <c r="NMH11" t="s">
        <v>9823</v>
      </c>
      <c r="NMI11" t="s">
        <v>9824</v>
      </c>
      <c r="NMJ11" t="s">
        <v>9825</v>
      </c>
      <c r="NMK11" t="s">
        <v>9826</v>
      </c>
      <c r="NML11" t="s">
        <v>9827</v>
      </c>
      <c r="NMM11" t="s">
        <v>9828</v>
      </c>
      <c r="NMN11" t="s">
        <v>9829</v>
      </c>
      <c r="NMO11" t="s">
        <v>9830</v>
      </c>
      <c r="NMP11" t="s">
        <v>9831</v>
      </c>
      <c r="NMQ11" t="s">
        <v>9832</v>
      </c>
      <c r="NMR11" t="s">
        <v>9833</v>
      </c>
      <c r="NMS11" t="s">
        <v>9834</v>
      </c>
      <c r="NMT11" t="s">
        <v>9835</v>
      </c>
      <c r="NMU11" t="s">
        <v>9836</v>
      </c>
      <c r="NMV11" t="s">
        <v>9837</v>
      </c>
      <c r="NMW11" t="s">
        <v>9838</v>
      </c>
      <c r="NMX11" t="s">
        <v>9839</v>
      </c>
      <c r="NMY11" t="s">
        <v>9840</v>
      </c>
      <c r="NMZ11" t="s">
        <v>9841</v>
      </c>
      <c r="NNA11" t="s">
        <v>9842</v>
      </c>
      <c r="NNB11" t="s">
        <v>9843</v>
      </c>
      <c r="NNC11" t="s">
        <v>9844</v>
      </c>
      <c r="NND11" t="s">
        <v>9845</v>
      </c>
      <c r="NNE11" t="s">
        <v>9846</v>
      </c>
      <c r="NNF11" t="s">
        <v>9847</v>
      </c>
      <c r="NNG11" t="s">
        <v>9848</v>
      </c>
      <c r="NNH11" t="s">
        <v>9849</v>
      </c>
      <c r="NNI11" t="s">
        <v>9850</v>
      </c>
      <c r="NNJ11" t="s">
        <v>9851</v>
      </c>
      <c r="NNK11" t="s">
        <v>9852</v>
      </c>
      <c r="NNL11" t="s">
        <v>9853</v>
      </c>
      <c r="NNM11" t="s">
        <v>9854</v>
      </c>
      <c r="NNN11" t="s">
        <v>9855</v>
      </c>
      <c r="NNO11" t="s">
        <v>9856</v>
      </c>
      <c r="NNP11" t="s">
        <v>9857</v>
      </c>
      <c r="NNQ11" t="s">
        <v>9858</v>
      </c>
      <c r="NNR11" t="s">
        <v>9859</v>
      </c>
      <c r="NNS11" t="s">
        <v>9860</v>
      </c>
      <c r="NNT11" t="s">
        <v>9861</v>
      </c>
      <c r="NNU11" t="s">
        <v>9862</v>
      </c>
      <c r="NNV11" t="s">
        <v>9863</v>
      </c>
      <c r="NNW11" t="s">
        <v>9864</v>
      </c>
      <c r="NNX11" t="s">
        <v>9865</v>
      </c>
      <c r="NNY11" t="s">
        <v>9866</v>
      </c>
      <c r="NNZ11" t="s">
        <v>9867</v>
      </c>
      <c r="NOA11" t="s">
        <v>9868</v>
      </c>
      <c r="NOB11" t="s">
        <v>9869</v>
      </c>
      <c r="NOC11" t="s">
        <v>9870</v>
      </c>
      <c r="NOD11" t="s">
        <v>9871</v>
      </c>
      <c r="NOE11" t="s">
        <v>9872</v>
      </c>
      <c r="NOF11" t="s">
        <v>9873</v>
      </c>
      <c r="NOG11" t="s">
        <v>9874</v>
      </c>
      <c r="NOH11" t="s">
        <v>9875</v>
      </c>
      <c r="NOI11" t="s">
        <v>9876</v>
      </c>
      <c r="NOJ11" t="s">
        <v>9877</v>
      </c>
      <c r="NOK11" t="s">
        <v>9878</v>
      </c>
      <c r="NOL11" t="s">
        <v>9879</v>
      </c>
      <c r="NOM11" t="s">
        <v>9880</v>
      </c>
      <c r="NON11" t="s">
        <v>9881</v>
      </c>
      <c r="NOO11" t="s">
        <v>9882</v>
      </c>
      <c r="NOP11" t="s">
        <v>9883</v>
      </c>
      <c r="NOQ11" t="s">
        <v>9884</v>
      </c>
      <c r="NOR11" t="s">
        <v>9885</v>
      </c>
      <c r="NOS11" t="s">
        <v>9886</v>
      </c>
      <c r="NOT11" t="s">
        <v>9887</v>
      </c>
      <c r="NOU11" t="s">
        <v>9888</v>
      </c>
      <c r="NOV11" t="s">
        <v>9889</v>
      </c>
      <c r="NOW11" t="s">
        <v>9890</v>
      </c>
      <c r="NOX11" t="s">
        <v>9891</v>
      </c>
      <c r="NOY11" t="s">
        <v>9892</v>
      </c>
      <c r="NOZ11" t="s">
        <v>9893</v>
      </c>
      <c r="NPA11" t="s">
        <v>9894</v>
      </c>
      <c r="NPB11" t="s">
        <v>9895</v>
      </c>
      <c r="NPC11" t="s">
        <v>9896</v>
      </c>
      <c r="NPD11" t="s">
        <v>9897</v>
      </c>
      <c r="NPE11" t="s">
        <v>9898</v>
      </c>
      <c r="NPF11" t="s">
        <v>9899</v>
      </c>
      <c r="NPG11" t="s">
        <v>9900</v>
      </c>
      <c r="NPH11" t="s">
        <v>9901</v>
      </c>
      <c r="NPI11" t="s">
        <v>9902</v>
      </c>
      <c r="NPJ11" t="s">
        <v>9903</v>
      </c>
      <c r="NPK11" t="s">
        <v>9904</v>
      </c>
      <c r="NPL11" t="s">
        <v>9905</v>
      </c>
      <c r="NPM11" t="s">
        <v>9906</v>
      </c>
      <c r="NPN11" t="s">
        <v>9907</v>
      </c>
      <c r="NPO11" t="s">
        <v>9908</v>
      </c>
      <c r="NPP11" t="s">
        <v>9909</v>
      </c>
      <c r="NPQ11" t="s">
        <v>9910</v>
      </c>
      <c r="NPR11" t="s">
        <v>9911</v>
      </c>
      <c r="NPS11" t="s">
        <v>9912</v>
      </c>
      <c r="NPT11" t="s">
        <v>9913</v>
      </c>
      <c r="NPU11" t="s">
        <v>9914</v>
      </c>
      <c r="NPV11" t="s">
        <v>9915</v>
      </c>
      <c r="NPW11" t="s">
        <v>9916</v>
      </c>
      <c r="NPX11" t="s">
        <v>9917</v>
      </c>
      <c r="NPY11" t="s">
        <v>9918</v>
      </c>
      <c r="NPZ11" t="s">
        <v>9919</v>
      </c>
      <c r="NQA11" t="s">
        <v>9920</v>
      </c>
      <c r="NQB11" t="s">
        <v>9921</v>
      </c>
      <c r="NQC11" t="s">
        <v>9922</v>
      </c>
      <c r="NQD11" t="s">
        <v>9923</v>
      </c>
      <c r="NQE11" t="s">
        <v>9924</v>
      </c>
      <c r="NQF11" t="s">
        <v>9925</v>
      </c>
      <c r="NQG11" t="s">
        <v>9926</v>
      </c>
      <c r="NQH11" t="s">
        <v>9927</v>
      </c>
      <c r="NQI11" t="s">
        <v>9928</v>
      </c>
      <c r="NQJ11" t="s">
        <v>9929</v>
      </c>
      <c r="NQK11" t="s">
        <v>9930</v>
      </c>
      <c r="NQL11" t="s">
        <v>9931</v>
      </c>
      <c r="NQM11" t="s">
        <v>9932</v>
      </c>
      <c r="NQN11" t="s">
        <v>9933</v>
      </c>
      <c r="NQO11" t="s">
        <v>9934</v>
      </c>
      <c r="NQP11" t="s">
        <v>9935</v>
      </c>
      <c r="NQQ11" t="s">
        <v>9936</v>
      </c>
      <c r="NQR11" t="s">
        <v>9937</v>
      </c>
      <c r="NQS11" t="s">
        <v>9938</v>
      </c>
      <c r="NQT11" t="s">
        <v>9939</v>
      </c>
      <c r="NQU11" t="s">
        <v>9940</v>
      </c>
      <c r="NQV11" t="s">
        <v>9941</v>
      </c>
      <c r="NQW11" t="s">
        <v>9942</v>
      </c>
      <c r="NQX11" t="s">
        <v>9943</v>
      </c>
      <c r="NQY11" t="s">
        <v>9944</v>
      </c>
      <c r="NQZ11" t="s">
        <v>9945</v>
      </c>
      <c r="NRA11" t="s">
        <v>9946</v>
      </c>
      <c r="NRB11" t="s">
        <v>9947</v>
      </c>
      <c r="NRC11" t="s">
        <v>9948</v>
      </c>
      <c r="NRD11" t="s">
        <v>9949</v>
      </c>
      <c r="NRE11" t="s">
        <v>9950</v>
      </c>
      <c r="NRF11" t="s">
        <v>9951</v>
      </c>
      <c r="NRG11" t="s">
        <v>9952</v>
      </c>
      <c r="NRH11" t="s">
        <v>9953</v>
      </c>
      <c r="NRI11" t="s">
        <v>9954</v>
      </c>
      <c r="NRJ11" t="s">
        <v>9955</v>
      </c>
      <c r="NRK11" t="s">
        <v>9956</v>
      </c>
      <c r="NRL11" t="s">
        <v>9957</v>
      </c>
      <c r="NRM11" t="s">
        <v>9958</v>
      </c>
      <c r="NRN11" t="s">
        <v>9959</v>
      </c>
      <c r="NRO11" t="s">
        <v>9960</v>
      </c>
      <c r="NRP11" t="s">
        <v>9961</v>
      </c>
      <c r="NRQ11" t="s">
        <v>9962</v>
      </c>
      <c r="NRR11" t="s">
        <v>9963</v>
      </c>
      <c r="NRS11" t="s">
        <v>9964</v>
      </c>
      <c r="NRT11" t="s">
        <v>9965</v>
      </c>
      <c r="NRU11" t="s">
        <v>9966</v>
      </c>
      <c r="NRV11" t="s">
        <v>9967</v>
      </c>
      <c r="NRW11" t="s">
        <v>9968</v>
      </c>
      <c r="NRX11" t="s">
        <v>9969</v>
      </c>
      <c r="NRY11" t="s">
        <v>9970</v>
      </c>
      <c r="NRZ11" t="s">
        <v>9971</v>
      </c>
      <c r="NSA11" t="s">
        <v>9972</v>
      </c>
      <c r="NSB11" t="s">
        <v>9973</v>
      </c>
      <c r="NSC11" t="s">
        <v>9974</v>
      </c>
      <c r="NSD11" t="s">
        <v>9975</v>
      </c>
      <c r="NSE11" t="s">
        <v>9976</v>
      </c>
      <c r="NSF11" t="s">
        <v>9977</v>
      </c>
      <c r="NSG11" t="s">
        <v>9978</v>
      </c>
      <c r="NSH11" t="s">
        <v>9979</v>
      </c>
      <c r="NSI11" t="s">
        <v>9980</v>
      </c>
      <c r="NSJ11" t="s">
        <v>9981</v>
      </c>
      <c r="NSK11" t="s">
        <v>9982</v>
      </c>
      <c r="NSL11" t="s">
        <v>9983</v>
      </c>
      <c r="NSM11" t="s">
        <v>9984</v>
      </c>
      <c r="NSN11" t="s">
        <v>9985</v>
      </c>
      <c r="NSO11" t="s">
        <v>9986</v>
      </c>
      <c r="NSP11" t="s">
        <v>9987</v>
      </c>
      <c r="NSQ11" t="s">
        <v>9988</v>
      </c>
      <c r="NSR11" t="s">
        <v>9989</v>
      </c>
      <c r="NSS11" t="s">
        <v>9990</v>
      </c>
      <c r="NST11" t="s">
        <v>9991</v>
      </c>
      <c r="NSU11" t="s">
        <v>9992</v>
      </c>
      <c r="NSV11" t="s">
        <v>9993</v>
      </c>
      <c r="NSW11" t="s">
        <v>9994</v>
      </c>
      <c r="NSX11" t="s">
        <v>9995</v>
      </c>
      <c r="NSY11" t="s">
        <v>9996</v>
      </c>
      <c r="NSZ11" t="s">
        <v>9997</v>
      </c>
      <c r="NTA11" t="s">
        <v>9998</v>
      </c>
      <c r="NTB11" t="s">
        <v>9999</v>
      </c>
      <c r="NTC11" t="s">
        <v>10000</v>
      </c>
      <c r="NTD11" t="s">
        <v>10001</v>
      </c>
      <c r="NTE11" t="s">
        <v>10002</v>
      </c>
      <c r="NTF11" t="s">
        <v>10003</v>
      </c>
      <c r="NTG11" t="s">
        <v>10004</v>
      </c>
      <c r="NTH11" t="s">
        <v>10005</v>
      </c>
      <c r="NTI11" t="s">
        <v>10006</v>
      </c>
      <c r="NTJ11" t="s">
        <v>10007</v>
      </c>
      <c r="NTK11" t="s">
        <v>10008</v>
      </c>
      <c r="NTL11" t="s">
        <v>10009</v>
      </c>
      <c r="NTM11" t="s">
        <v>10010</v>
      </c>
      <c r="NTN11" t="s">
        <v>10011</v>
      </c>
      <c r="NTO11" t="s">
        <v>10012</v>
      </c>
      <c r="NTP11" t="s">
        <v>10013</v>
      </c>
      <c r="NTQ11" t="s">
        <v>10014</v>
      </c>
      <c r="NTR11" t="s">
        <v>10015</v>
      </c>
      <c r="NTS11" t="s">
        <v>10016</v>
      </c>
      <c r="NTT11" t="s">
        <v>10017</v>
      </c>
      <c r="NTU11" t="s">
        <v>10018</v>
      </c>
      <c r="NTV11" t="s">
        <v>10019</v>
      </c>
      <c r="NTW11" t="s">
        <v>10020</v>
      </c>
      <c r="NTX11" t="s">
        <v>10021</v>
      </c>
      <c r="NTY11" t="s">
        <v>10022</v>
      </c>
      <c r="NTZ11" t="s">
        <v>10023</v>
      </c>
      <c r="NUA11" t="s">
        <v>10024</v>
      </c>
      <c r="NUB11" t="s">
        <v>10025</v>
      </c>
      <c r="NUC11" t="s">
        <v>10026</v>
      </c>
      <c r="NUD11" t="s">
        <v>10027</v>
      </c>
      <c r="NUE11" t="s">
        <v>10028</v>
      </c>
      <c r="NUF11" t="s">
        <v>10029</v>
      </c>
      <c r="NUG11" t="s">
        <v>10030</v>
      </c>
      <c r="NUH11" t="s">
        <v>10031</v>
      </c>
      <c r="NUI11" t="s">
        <v>10032</v>
      </c>
      <c r="NUJ11" t="s">
        <v>10033</v>
      </c>
      <c r="NUK11" t="s">
        <v>10034</v>
      </c>
      <c r="NUL11" t="s">
        <v>10035</v>
      </c>
      <c r="NUM11" t="s">
        <v>10036</v>
      </c>
      <c r="NUN11" t="s">
        <v>10037</v>
      </c>
      <c r="NUO11" t="s">
        <v>10038</v>
      </c>
      <c r="NUP11" t="s">
        <v>10039</v>
      </c>
      <c r="NUQ11" t="s">
        <v>10040</v>
      </c>
      <c r="NUR11" t="s">
        <v>10041</v>
      </c>
      <c r="NUS11" t="s">
        <v>10042</v>
      </c>
      <c r="NUT11" t="s">
        <v>10043</v>
      </c>
      <c r="NUU11" t="s">
        <v>10044</v>
      </c>
      <c r="NUV11" t="s">
        <v>10045</v>
      </c>
      <c r="NUW11" t="s">
        <v>10046</v>
      </c>
      <c r="NUX11" t="s">
        <v>10047</v>
      </c>
      <c r="NUY11" t="s">
        <v>10048</v>
      </c>
      <c r="NUZ11" t="s">
        <v>10049</v>
      </c>
      <c r="NVA11" t="s">
        <v>10050</v>
      </c>
      <c r="NVB11" t="s">
        <v>10051</v>
      </c>
      <c r="NVC11" t="s">
        <v>10052</v>
      </c>
      <c r="NVD11" t="s">
        <v>10053</v>
      </c>
      <c r="NVE11" t="s">
        <v>10054</v>
      </c>
      <c r="NVF11" t="s">
        <v>10055</v>
      </c>
      <c r="NVG11" t="s">
        <v>10056</v>
      </c>
      <c r="NVH11" t="s">
        <v>10057</v>
      </c>
      <c r="NVI11" t="s">
        <v>10058</v>
      </c>
      <c r="NVJ11" t="s">
        <v>10059</v>
      </c>
      <c r="NVK11" t="s">
        <v>10060</v>
      </c>
      <c r="NVL11" t="s">
        <v>10061</v>
      </c>
      <c r="NVM11" t="s">
        <v>10062</v>
      </c>
      <c r="NVN11" t="s">
        <v>10063</v>
      </c>
      <c r="NVO11" t="s">
        <v>10064</v>
      </c>
      <c r="NVP11" t="s">
        <v>10065</v>
      </c>
      <c r="NVQ11" t="s">
        <v>10066</v>
      </c>
      <c r="NVR11" t="s">
        <v>10067</v>
      </c>
      <c r="NVS11" t="s">
        <v>10068</v>
      </c>
      <c r="NVT11" t="s">
        <v>10069</v>
      </c>
      <c r="NVU11" t="s">
        <v>10070</v>
      </c>
      <c r="NVV11" t="s">
        <v>10071</v>
      </c>
      <c r="NVW11" t="s">
        <v>10072</v>
      </c>
      <c r="NVX11" t="s">
        <v>10073</v>
      </c>
      <c r="NVY11" t="s">
        <v>10074</v>
      </c>
      <c r="NVZ11" t="s">
        <v>10075</v>
      </c>
      <c r="NWA11" t="s">
        <v>10076</v>
      </c>
      <c r="NWB11" t="s">
        <v>10077</v>
      </c>
      <c r="NWC11" t="s">
        <v>10078</v>
      </c>
      <c r="NWD11" t="s">
        <v>10079</v>
      </c>
      <c r="NWE11" t="s">
        <v>10080</v>
      </c>
      <c r="NWF11" t="s">
        <v>10081</v>
      </c>
      <c r="NWG11" t="s">
        <v>10082</v>
      </c>
      <c r="NWH11" t="s">
        <v>10083</v>
      </c>
      <c r="NWI11" t="s">
        <v>10084</v>
      </c>
      <c r="NWJ11" t="s">
        <v>10085</v>
      </c>
      <c r="NWK11" t="s">
        <v>10086</v>
      </c>
      <c r="NWL11" t="s">
        <v>10087</v>
      </c>
      <c r="NWM11" t="s">
        <v>10088</v>
      </c>
      <c r="NWN11" t="s">
        <v>10089</v>
      </c>
      <c r="NWO11" t="s">
        <v>10090</v>
      </c>
      <c r="NWP11" t="s">
        <v>10091</v>
      </c>
      <c r="NWQ11" t="s">
        <v>10092</v>
      </c>
      <c r="NWR11" t="s">
        <v>10093</v>
      </c>
      <c r="NWS11" t="s">
        <v>10094</v>
      </c>
      <c r="NWT11" t="s">
        <v>10095</v>
      </c>
      <c r="NWU11" t="s">
        <v>10096</v>
      </c>
      <c r="NWV11" t="s">
        <v>10097</v>
      </c>
      <c r="NWW11" t="s">
        <v>10098</v>
      </c>
      <c r="NWX11" t="s">
        <v>10099</v>
      </c>
      <c r="NWY11" t="s">
        <v>10100</v>
      </c>
      <c r="NWZ11" t="s">
        <v>10101</v>
      </c>
      <c r="NXA11" t="s">
        <v>10102</v>
      </c>
      <c r="NXB11" t="s">
        <v>10103</v>
      </c>
      <c r="NXC11" t="s">
        <v>10104</v>
      </c>
      <c r="NXD11" t="s">
        <v>10105</v>
      </c>
      <c r="NXE11" t="s">
        <v>10106</v>
      </c>
      <c r="NXF11" t="s">
        <v>10107</v>
      </c>
      <c r="NXG11" t="s">
        <v>10108</v>
      </c>
      <c r="NXH11" t="s">
        <v>10109</v>
      </c>
      <c r="NXI11" t="s">
        <v>10110</v>
      </c>
      <c r="NXJ11" t="s">
        <v>10111</v>
      </c>
      <c r="NXK11" t="s">
        <v>10112</v>
      </c>
      <c r="NXL11" t="s">
        <v>10113</v>
      </c>
      <c r="NXM11" t="s">
        <v>10114</v>
      </c>
      <c r="NXN11" t="s">
        <v>10115</v>
      </c>
      <c r="NXO11" t="s">
        <v>10116</v>
      </c>
      <c r="NXP11" t="s">
        <v>10117</v>
      </c>
      <c r="NXQ11" t="s">
        <v>10118</v>
      </c>
      <c r="NXR11" t="s">
        <v>10119</v>
      </c>
      <c r="NXS11" t="s">
        <v>10120</v>
      </c>
      <c r="NXT11" t="s">
        <v>10121</v>
      </c>
      <c r="NXU11" t="s">
        <v>10122</v>
      </c>
      <c r="NXV11" t="s">
        <v>10123</v>
      </c>
      <c r="NXW11" t="s">
        <v>10124</v>
      </c>
      <c r="NXX11" t="s">
        <v>10125</v>
      </c>
      <c r="NXY11" t="s">
        <v>10126</v>
      </c>
      <c r="NXZ11" t="s">
        <v>10127</v>
      </c>
      <c r="NYA11" t="s">
        <v>10128</v>
      </c>
      <c r="NYB11" t="s">
        <v>10129</v>
      </c>
      <c r="NYC11" t="s">
        <v>10130</v>
      </c>
      <c r="NYD11" t="s">
        <v>10131</v>
      </c>
      <c r="NYE11" t="s">
        <v>10132</v>
      </c>
      <c r="NYF11" t="s">
        <v>10133</v>
      </c>
      <c r="NYG11" t="s">
        <v>10134</v>
      </c>
      <c r="NYH11" t="s">
        <v>10135</v>
      </c>
      <c r="NYI11" t="s">
        <v>10136</v>
      </c>
      <c r="NYJ11" t="s">
        <v>10137</v>
      </c>
      <c r="NYK11" t="s">
        <v>10138</v>
      </c>
      <c r="NYL11" t="s">
        <v>10139</v>
      </c>
      <c r="NYM11" t="s">
        <v>10140</v>
      </c>
      <c r="NYN11" t="s">
        <v>10141</v>
      </c>
      <c r="NYO11" t="s">
        <v>10142</v>
      </c>
      <c r="NYP11" t="s">
        <v>10143</v>
      </c>
      <c r="NYQ11" t="s">
        <v>10144</v>
      </c>
      <c r="NYR11" t="s">
        <v>10145</v>
      </c>
      <c r="NYS11" t="s">
        <v>10146</v>
      </c>
      <c r="NYT11" t="s">
        <v>10147</v>
      </c>
      <c r="NYU11" t="s">
        <v>10148</v>
      </c>
      <c r="NYV11" t="s">
        <v>10149</v>
      </c>
      <c r="NYW11" t="s">
        <v>10150</v>
      </c>
      <c r="NYX11" t="s">
        <v>10151</v>
      </c>
      <c r="NYY11" t="s">
        <v>10152</v>
      </c>
      <c r="NYZ11" t="s">
        <v>10153</v>
      </c>
      <c r="NZA11" t="s">
        <v>10154</v>
      </c>
      <c r="NZB11" t="s">
        <v>10155</v>
      </c>
      <c r="NZC11" t="s">
        <v>10156</v>
      </c>
      <c r="NZD11" t="s">
        <v>10157</v>
      </c>
      <c r="NZE11" t="s">
        <v>10158</v>
      </c>
      <c r="NZF11" t="s">
        <v>10159</v>
      </c>
      <c r="NZG11" t="s">
        <v>10160</v>
      </c>
      <c r="NZH11" t="s">
        <v>10161</v>
      </c>
      <c r="NZI11" t="s">
        <v>10162</v>
      </c>
      <c r="NZJ11" t="s">
        <v>10163</v>
      </c>
      <c r="NZK11" t="s">
        <v>10164</v>
      </c>
      <c r="NZL11" t="s">
        <v>10165</v>
      </c>
      <c r="NZM11" t="s">
        <v>10166</v>
      </c>
      <c r="NZN11" t="s">
        <v>10167</v>
      </c>
      <c r="NZO11" t="s">
        <v>10168</v>
      </c>
      <c r="NZP11" t="s">
        <v>10169</v>
      </c>
      <c r="NZQ11" t="s">
        <v>10170</v>
      </c>
      <c r="NZR11" t="s">
        <v>10171</v>
      </c>
      <c r="NZS11" t="s">
        <v>10172</v>
      </c>
      <c r="NZT11" t="s">
        <v>10173</v>
      </c>
      <c r="NZU11" t="s">
        <v>10174</v>
      </c>
      <c r="NZV11" t="s">
        <v>10175</v>
      </c>
      <c r="NZW11" t="s">
        <v>10176</v>
      </c>
      <c r="NZX11" t="s">
        <v>10177</v>
      </c>
      <c r="NZY11" t="s">
        <v>10178</v>
      </c>
      <c r="NZZ11" t="s">
        <v>10179</v>
      </c>
      <c r="OAA11" t="s">
        <v>10180</v>
      </c>
      <c r="OAB11" t="s">
        <v>10181</v>
      </c>
      <c r="OAC11" t="s">
        <v>10182</v>
      </c>
      <c r="OAD11" t="s">
        <v>10183</v>
      </c>
      <c r="OAE11" t="s">
        <v>10184</v>
      </c>
      <c r="OAF11" t="s">
        <v>10185</v>
      </c>
      <c r="OAG11" t="s">
        <v>10186</v>
      </c>
      <c r="OAH11" t="s">
        <v>10187</v>
      </c>
      <c r="OAI11" t="s">
        <v>10188</v>
      </c>
      <c r="OAJ11" t="s">
        <v>10189</v>
      </c>
      <c r="OAK11" t="s">
        <v>10190</v>
      </c>
      <c r="OAL11" t="s">
        <v>10191</v>
      </c>
      <c r="OAM11" t="s">
        <v>10192</v>
      </c>
      <c r="OAN11" t="s">
        <v>10193</v>
      </c>
      <c r="OAO11" t="s">
        <v>10194</v>
      </c>
      <c r="OAP11" t="s">
        <v>10195</v>
      </c>
      <c r="OAQ11" t="s">
        <v>10196</v>
      </c>
      <c r="OAR11" t="s">
        <v>10197</v>
      </c>
      <c r="OAS11" t="s">
        <v>10198</v>
      </c>
      <c r="OAT11" t="s">
        <v>10199</v>
      </c>
      <c r="OAU11" t="s">
        <v>10200</v>
      </c>
      <c r="OAV11" t="s">
        <v>10201</v>
      </c>
      <c r="OAW11" t="s">
        <v>10202</v>
      </c>
      <c r="OAX11" t="s">
        <v>10203</v>
      </c>
      <c r="OAY11" t="s">
        <v>10204</v>
      </c>
      <c r="OAZ11" t="s">
        <v>10205</v>
      </c>
      <c r="OBA11" t="s">
        <v>10206</v>
      </c>
      <c r="OBB11" t="s">
        <v>10207</v>
      </c>
      <c r="OBC11" t="s">
        <v>10208</v>
      </c>
      <c r="OBD11" t="s">
        <v>10209</v>
      </c>
      <c r="OBE11" t="s">
        <v>10210</v>
      </c>
      <c r="OBF11" t="s">
        <v>10211</v>
      </c>
      <c r="OBG11" t="s">
        <v>10212</v>
      </c>
      <c r="OBH11" t="s">
        <v>10213</v>
      </c>
      <c r="OBI11" t="s">
        <v>10214</v>
      </c>
      <c r="OBJ11" t="s">
        <v>10215</v>
      </c>
      <c r="OBK11" t="s">
        <v>10216</v>
      </c>
      <c r="OBL11" t="s">
        <v>10217</v>
      </c>
      <c r="OBM11" t="s">
        <v>10218</v>
      </c>
      <c r="OBN11" t="s">
        <v>10219</v>
      </c>
      <c r="OBO11" t="s">
        <v>10220</v>
      </c>
      <c r="OBP11" t="s">
        <v>10221</v>
      </c>
      <c r="OBQ11" t="s">
        <v>10222</v>
      </c>
      <c r="OBR11" t="s">
        <v>10223</v>
      </c>
      <c r="OBS11" t="s">
        <v>10224</v>
      </c>
      <c r="OBT11" t="s">
        <v>10225</v>
      </c>
      <c r="OBU11" t="s">
        <v>10226</v>
      </c>
      <c r="OBV11" t="s">
        <v>10227</v>
      </c>
      <c r="OBW11" t="s">
        <v>10228</v>
      </c>
      <c r="OBX11" t="s">
        <v>10229</v>
      </c>
      <c r="OBY11" t="s">
        <v>10230</v>
      </c>
      <c r="OBZ11" t="s">
        <v>10231</v>
      </c>
      <c r="OCA11" t="s">
        <v>10232</v>
      </c>
      <c r="OCB11" t="s">
        <v>10233</v>
      </c>
      <c r="OCC11" t="s">
        <v>10234</v>
      </c>
      <c r="OCD11" t="s">
        <v>10235</v>
      </c>
      <c r="OCE11" t="s">
        <v>10236</v>
      </c>
      <c r="OCF11" t="s">
        <v>10237</v>
      </c>
      <c r="OCG11" t="s">
        <v>10238</v>
      </c>
      <c r="OCH11" t="s">
        <v>10239</v>
      </c>
      <c r="OCI11" t="s">
        <v>10240</v>
      </c>
      <c r="OCJ11" t="s">
        <v>10241</v>
      </c>
      <c r="OCK11" t="s">
        <v>10242</v>
      </c>
      <c r="OCL11" t="s">
        <v>10243</v>
      </c>
      <c r="OCM11" t="s">
        <v>10244</v>
      </c>
      <c r="OCN11" t="s">
        <v>10245</v>
      </c>
      <c r="OCO11" t="s">
        <v>10246</v>
      </c>
      <c r="OCP11" t="s">
        <v>10247</v>
      </c>
      <c r="OCQ11" t="s">
        <v>10248</v>
      </c>
      <c r="OCR11" t="s">
        <v>10249</v>
      </c>
      <c r="OCS11" t="s">
        <v>10250</v>
      </c>
      <c r="OCT11" t="s">
        <v>10251</v>
      </c>
      <c r="OCU11" t="s">
        <v>10252</v>
      </c>
      <c r="OCV11" t="s">
        <v>10253</v>
      </c>
      <c r="OCW11" t="s">
        <v>10254</v>
      </c>
      <c r="OCX11" t="s">
        <v>10255</v>
      </c>
      <c r="OCY11" t="s">
        <v>10256</v>
      </c>
      <c r="OCZ11" t="s">
        <v>10257</v>
      </c>
      <c r="ODA11" t="s">
        <v>10258</v>
      </c>
      <c r="ODB11" t="s">
        <v>10259</v>
      </c>
      <c r="ODC11" t="s">
        <v>10260</v>
      </c>
      <c r="ODD11" t="s">
        <v>10261</v>
      </c>
      <c r="ODE11" t="s">
        <v>10262</v>
      </c>
      <c r="ODF11" t="s">
        <v>10263</v>
      </c>
      <c r="ODG11" t="s">
        <v>10264</v>
      </c>
      <c r="ODH11" t="s">
        <v>10265</v>
      </c>
      <c r="ODI11" t="s">
        <v>10266</v>
      </c>
      <c r="ODJ11" t="s">
        <v>10267</v>
      </c>
      <c r="ODK11" t="s">
        <v>10268</v>
      </c>
      <c r="ODL11" t="s">
        <v>10269</v>
      </c>
      <c r="ODM11" t="s">
        <v>10270</v>
      </c>
      <c r="ODN11" t="s">
        <v>10271</v>
      </c>
      <c r="ODO11" t="s">
        <v>10272</v>
      </c>
      <c r="ODP11" t="s">
        <v>10273</v>
      </c>
      <c r="ODQ11" t="s">
        <v>10274</v>
      </c>
      <c r="ODR11" t="s">
        <v>10275</v>
      </c>
      <c r="ODS11" t="s">
        <v>10276</v>
      </c>
      <c r="ODT11" t="s">
        <v>10277</v>
      </c>
      <c r="ODU11" t="s">
        <v>10278</v>
      </c>
      <c r="ODV11" t="s">
        <v>10279</v>
      </c>
      <c r="ODW11" t="s">
        <v>10280</v>
      </c>
      <c r="ODX11" t="s">
        <v>10281</v>
      </c>
      <c r="ODY11" t="s">
        <v>10282</v>
      </c>
      <c r="ODZ11" t="s">
        <v>10283</v>
      </c>
      <c r="OEA11" t="s">
        <v>10284</v>
      </c>
      <c r="OEB11" t="s">
        <v>10285</v>
      </c>
      <c r="OEC11" t="s">
        <v>10286</v>
      </c>
      <c r="OED11" t="s">
        <v>10287</v>
      </c>
      <c r="OEE11" t="s">
        <v>10288</v>
      </c>
      <c r="OEF11" t="s">
        <v>10289</v>
      </c>
      <c r="OEG11" t="s">
        <v>10290</v>
      </c>
      <c r="OEH11" t="s">
        <v>10291</v>
      </c>
      <c r="OEI11" t="s">
        <v>10292</v>
      </c>
      <c r="OEJ11" t="s">
        <v>10293</v>
      </c>
      <c r="OEK11" t="s">
        <v>10294</v>
      </c>
      <c r="OEL11" t="s">
        <v>10295</v>
      </c>
      <c r="OEM11" t="s">
        <v>10296</v>
      </c>
      <c r="OEN11" t="s">
        <v>10297</v>
      </c>
      <c r="OEO11" t="s">
        <v>10298</v>
      </c>
      <c r="OEP11" t="s">
        <v>10299</v>
      </c>
      <c r="OEQ11" t="s">
        <v>10300</v>
      </c>
      <c r="OER11" t="s">
        <v>10301</v>
      </c>
      <c r="OES11" t="s">
        <v>10302</v>
      </c>
      <c r="OET11" t="s">
        <v>10303</v>
      </c>
      <c r="OEU11" t="s">
        <v>10304</v>
      </c>
      <c r="OEV11" t="s">
        <v>10305</v>
      </c>
      <c r="OEW11" t="s">
        <v>10306</v>
      </c>
      <c r="OEX11" t="s">
        <v>10307</v>
      </c>
      <c r="OEY11" t="s">
        <v>10308</v>
      </c>
      <c r="OEZ11" t="s">
        <v>10309</v>
      </c>
      <c r="OFA11" t="s">
        <v>10310</v>
      </c>
      <c r="OFB11" t="s">
        <v>10311</v>
      </c>
      <c r="OFC11" t="s">
        <v>10312</v>
      </c>
      <c r="OFD11" t="s">
        <v>10313</v>
      </c>
      <c r="OFE11" t="s">
        <v>10314</v>
      </c>
      <c r="OFF11" t="s">
        <v>10315</v>
      </c>
      <c r="OFG11" t="s">
        <v>10316</v>
      </c>
      <c r="OFH11" t="s">
        <v>10317</v>
      </c>
      <c r="OFI11" t="s">
        <v>10318</v>
      </c>
      <c r="OFJ11" t="s">
        <v>10319</v>
      </c>
      <c r="OFK11" t="s">
        <v>10320</v>
      </c>
      <c r="OFL11" t="s">
        <v>10321</v>
      </c>
      <c r="OFM11" t="s">
        <v>10322</v>
      </c>
      <c r="OFN11" t="s">
        <v>10323</v>
      </c>
      <c r="OFO11" t="s">
        <v>10324</v>
      </c>
      <c r="OFP11" t="s">
        <v>10325</v>
      </c>
      <c r="OFQ11" t="s">
        <v>10326</v>
      </c>
      <c r="OFR11" t="s">
        <v>10327</v>
      </c>
      <c r="OFS11" t="s">
        <v>10328</v>
      </c>
      <c r="OFT11" t="s">
        <v>10329</v>
      </c>
      <c r="OFU11" t="s">
        <v>10330</v>
      </c>
      <c r="OFV11" t="s">
        <v>10331</v>
      </c>
      <c r="OFW11" t="s">
        <v>10332</v>
      </c>
      <c r="OFX11" t="s">
        <v>10333</v>
      </c>
      <c r="OFY11" t="s">
        <v>10334</v>
      </c>
      <c r="OFZ11" t="s">
        <v>10335</v>
      </c>
      <c r="OGA11" t="s">
        <v>10336</v>
      </c>
      <c r="OGB11" t="s">
        <v>10337</v>
      </c>
      <c r="OGC11" t="s">
        <v>10338</v>
      </c>
      <c r="OGD11" t="s">
        <v>10339</v>
      </c>
      <c r="OGE11" t="s">
        <v>10340</v>
      </c>
      <c r="OGF11" t="s">
        <v>10341</v>
      </c>
      <c r="OGG11" t="s">
        <v>10342</v>
      </c>
      <c r="OGH11" t="s">
        <v>10343</v>
      </c>
      <c r="OGI11" t="s">
        <v>10344</v>
      </c>
      <c r="OGJ11" t="s">
        <v>10345</v>
      </c>
      <c r="OGK11" t="s">
        <v>10346</v>
      </c>
      <c r="OGL11" t="s">
        <v>10347</v>
      </c>
      <c r="OGM11" t="s">
        <v>10348</v>
      </c>
      <c r="OGN11" t="s">
        <v>10349</v>
      </c>
      <c r="OGO11" t="s">
        <v>10350</v>
      </c>
      <c r="OGP11" t="s">
        <v>10351</v>
      </c>
      <c r="OGQ11" t="s">
        <v>10352</v>
      </c>
      <c r="OGR11" t="s">
        <v>10353</v>
      </c>
      <c r="OGS11" t="s">
        <v>10354</v>
      </c>
      <c r="OGT11" t="s">
        <v>10355</v>
      </c>
      <c r="OGU11" t="s">
        <v>10356</v>
      </c>
      <c r="OGV11" t="s">
        <v>10357</v>
      </c>
      <c r="OGW11" t="s">
        <v>10358</v>
      </c>
      <c r="OGX11" t="s">
        <v>10359</v>
      </c>
      <c r="OGY11" t="s">
        <v>10360</v>
      </c>
      <c r="OGZ11" t="s">
        <v>10361</v>
      </c>
      <c r="OHA11" t="s">
        <v>10362</v>
      </c>
      <c r="OHB11" t="s">
        <v>10363</v>
      </c>
      <c r="OHC11" t="s">
        <v>10364</v>
      </c>
      <c r="OHD11" t="s">
        <v>10365</v>
      </c>
      <c r="OHE11" t="s">
        <v>10366</v>
      </c>
      <c r="OHF11" t="s">
        <v>10367</v>
      </c>
      <c r="OHG11" t="s">
        <v>10368</v>
      </c>
      <c r="OHH11" t="s">
        <v>10369</v>
      </c>
      <c r="OHI11" t="s">
        <v>10370</v>
      </c>
      <c r="OHJ11" t="s">
        <v>10371</v>
      </c>
      <c r="OHK11" t="s">
        <v>10372</v>
      </c>
      <c r="OHL11" t="s">
        <v>10373</v>
      </c>
      <c r="OHM11" t="s">
        <v>10374</v>
      </c>
      <c r="OHN11" t="s">
        <v>10375</v>
      </c>
      <c r="OHO11" t="s">
        <v>10376</v>
      </c>
      <c r="OHP11" t="s">
        <v>10377</v>
      </c>
      <c r="OHQ11" t="s">
        <v>10378</v>
      </c>
      <c r="OHR11" t="s">
        <v>10379</v>
      </c>
      <c r="OHS11" t="s">
        <v>10380</v>
      </c>
      <c r="OHT11" t="s">
        <v>10381</v>
      </c>
      <c r="OHU11" t="s">
        <v>10382</v>
      </c>
      <c r="OHV11" t="s">
        <v>10383</v>
      </c>
      <c r="OHW11" t="s">
        <v>10384</v>
      </c>
      <c r="OHX11" t="s">
        <v>10385</v>
      </c>
      <c r="OHY11" t="s">
        <v>10386</v>
      </c>
      <c r="OHZ11" t="s">
        <v>10387</v>
      </c>
      <c r="OIA11" t="s">
        <v>10388</v>
      </c>
      <c r="OIB11" t="s">
        <v>10389</v>
      </c>
      <c r="OIC11" t="s">
        <v>10390</v>
      </c>
      <c r="OID11" t="s">
        <v>10391</v>
      </c>
      <c r="OIE11" t="s">
        <v>10392</v>
      </c>
      <c r="OIF11" t="s">
        <v>10393</v>
      </c>
      <c r="OIG11" t="s">
        <v>10394</v>
      </c>
      <c r="OIH11" t="s">
        <v>10395</v>
      </c>
      <c r="OII11" t="s">
        <v>10396</v>
      </c>
      <c r="OIJ11" t="s">
        <v>10397</v>
      </c>
      <c r="OIK11" t="s">
        <v>10398</v>
      </c>
      <c r="OIL11" t="s">
        <v>10399</v>
      </c>
      <c r="OIM11" t="s">
        <v>10400</v>
      </c>
      <c r="OIN11" t="s">
        <v>10401</v>
      </c>
      <c r="OIO11" t="s">
        <v>10402</v>
      </c>
      <c r="OIP11" t="s">
        <v>10403</v>
      </c>
      <c r="OIQ11" t="s">
        <v>10404</v>
      </c>
      <c r="OIR11" t="s">
        <v>10405</v>
      </c>
      <c r="OIS11" t="s">
        <v>10406</v>
      </c>
      <c r="OIT11" t="s">
        <v>10407</v>
      </c>
      <c r="OIU11" t="s">
        <v>10408</v>
      </c>
      <c r="OIV11" t="s">
        <v>10409</v>
      </c>
      <c r="OIW11" t="s">
        <v>10410</v>
      </c>
      <c r="OIX11" t="s">
        <v>10411</v>
      </c>
      <c r="OIY11" t="s">
        <v>10412</v>
      </c>
      <c r="OIZ11" t="s">
        <v>10413</v>
      </c>
      <c r="OJA11" t="s">
        <v>10414</v>
      </c>
      <c r="OJB11" t="s">
        <v>10415</v>
      </c>
      <c r="OJC11" t="s">
        <v>10416</v>
      </c>
      <c r="OJD11" t="s">
        <v>10417</v>
      </c>
      <c r="OJE11" t="s">
        <v>10418</v>
      </c>
      <c r="OJF11" t="s">
        <v>10419</v>
      </c>
      <c r="OJG11" t="s">
        <v>10420</v>
      </c>
      <c r="OJH11" t="s">
        <v>10421</v>
      </c>
      <c r="OJI11" t="s">
        <v>10422</v>
      </c>
      <c r="OJJ11" t="s">
        <v>10423</v>
      </c>
      <c r="OJK11" t="s">
        <v>10424</v>
      </c>
      <c r="OJL11" t="s">
        <v>10425</v>
      </c>
      <c r="OJM11" t="s">
        <v>10426</v>
      </c>
      <c r="OJN11" t="s">
        <v>10427</v>
      </c>
      <c r="OJO11" t="s">
        <v>10428</v>
      </c>
      <c r="OJP11" t="s">
        <v>10429</v>
      </c>
      <c r="OJQ11" t="s">
        <v>10430</v>
      </c>
      <c r="OJR11" t="s">
        <v>10431</v>
      </c>
      <c r="OJS11" t="s">
        <v>10432</v>
      </c>
      <c r="OJT11" t="s">
        <v>10433</v>
      </c>
      <c r="OJU11" t="s">
        <v>10434</v>
      </c>
      <c r="OJV11" t="s">
        <v>10435</v>
      </c>
      <c r="OJW11" t="s">
        <v>10436</v>
      </c>
      <c r="OJX11" t="s">
        <v>10437</v>
      </c>
      <c r="OJY11" t="s">
        <v>10438</v>
      </c>
      <c r="OJZ11" t="s">
        <v>10439</v>
      </c>
      <c r="OKA11" t="s">
        <v>10440</v>
      </c>
      <c r="OKB11" t="s">
        <v>10441</v>
      </c>
      <c r="OKC11" t="s">
        <v>10442</v>
      </c>
      <c r="OKD11" t="s">
        <v>10443</v>
      </c>
      <c r="OKE11" t="s">
        <v>10444</v>
      </c>
      <c r="OKF11" t="s">
        <v>10445</v>
      </c>
      <c r="OKG11" t="s">
        <v>10446</v>
      </c>
      <c r="OKH11" t="s">
        <v>10447</v>
      </c>
      <c r="OKI11" t="s">
        <v>10448</v>
      </c>
      <c r="OKJ11" t="s">
        <v>10449</v>
      </c>
      <c r="OKK11" t="s">
        <v>10450</v>
      </c>
      <c r="OKL11" t="s">
        <v>10451</v>
      </c>
      <c r="OKM11" t="s">
        <v>10452</v>
      </c>
      <c r="OKN11" t="s">
        <v>10453</v>
      </c>
      <c r="OKO11" t="s">
        <v>10454</v>
      </c>
      <c r="OKP11" t="s">
        <v>10455</v>
      </c>
      <c r="OKQ11" t="s">
        <v>10456</v>
      </c>
      <c r="OKR11" t="s">
        <v>10457</v>
      </c>
      <c r="OKS11" t="s">
        <v>10458</v>
      </c>
      <c r="OKT11" t="s">
        <v>10459</v>
      </c>
      <c r="OKU11" t="s">
        <v>10460</v>
      </c>
      <c r="OKV11" t="s">
        <v>10461</v>
      </c>
      <c r="OKW11" t="s">
        <v>10462</v>
      </c>
      <c r="OKX11" t="s">
        <v>10463</v>
      </c>
      <c r="OKY11" t="s">
        <v>10464</v>
      </c>
      <c r="OKZ11" t="s">
        <v>10465</v>
      </c>
      <c r="OLA11" t="s">
        <v>10466</v>
      </c>
      <c r="OLB11" t="s">
        <v>10467</v>
      </c>
      <c r="OLC11" t="s">
        <v>10468</v>
      </c>
      <c r="OLD11" t="s">
        <v>10469</v>
      </c>
      <c r="OLE11" t="s">
        <v>10470</v>
      </c>
      <c r="OLF11" t="s">
        <v>10471</v>
      </c>
      <c r="OLG11" t="s">
        <v>10472</v>
      </c>
      <c r="OLH11" t="s">
        <v>10473</v>
      </c>
      <c r="OLI11" t="s">
        <v>10474</v>
      </c>
      <c r="OLJ11" t="s">
        <v>10475</v>
      </c>
      <c r="OLK11" t="s">
        <v>10476</v>
      </c>
      <c r="OLL11" t="s">
        <v>10477</v>
      </c>
      <c r="OLM11" t="s">
        <v>10478</v>
      </c>
      <c r="OLN11" t="s">
        <v>10479</v>
      </c>
      <c r="OLO11" t="s">
        <v>10480</v>
      </c>
      <c r="OLP11" t="s">
        <v>10481</v>
      </c>
      <c r="OLQ11" t="s">
        <v>10482</v>
      </c>
      <c r="OLR11" t="s">
        <v>10483</v>
      </c>
      <c r="OLS11" t="s">
        <v>10484</v>
      </c>
      <c r="OLT11" t="s">
        <v>10485</v>
      </c>
      <c r="OLU11" t="s">
        <v>10486</v>
      </c>
      <c r="OLV11" t="s">
        <v>10487</v>
      </c>
      <c r="OLW11" t="s">
        <v>10488</v>
      </c>
      <c r="OLX11" t="s">
        <v>10489</v>
      </c>
      <c r="OLY11" t="s">
        <v>10490</v>
      </c>
      <c r="OLZ11" t="s">
        <v>10491</v>
      </c>
      <c r="OMA11" t="s">
        <v>10492</v>
      </c>
      <c r="OMB11" t="s">
        <v>10493</v>
      </c>
      <c r="OMC11" t="s">
        <v>10494</v>
      </c>
      <c r="OMD11" t="s">
        <v>10495</v>
      </c>
      <c r="OME11" t="s">
        <v>10496</v>
      </c>
      <c r="OMF11" t="s">
        <v>10497</v>
      </c>
      <c r="OMG11" t="s">
        <v>10498</v>
      </c>
      <c r="OMH11" t="s">
        <v>10499</v>
      </c>
      <c r="OMI11" t="s">
        <v>10500</v>
      </c>
      <c r="OMJ11" t="s">
        <v>10501</v>
      </c>
      <c r="OMK11" t="s">
        <v>10502</v>
      </c>
      <c r="OML11" t="s">
        <v>10503</v>
      </c>
      <c r="OMM11" t="s">
        <v>10504</v>
      </c>
      <c r="OMN11" t="s">
        <v>10505</v>
      </c>
      <c r="OMO11" t="s">
        <v>10506</v>
      </c>
      <c r="OMP11" t="s">
        <v>10507</v>
      </c>
      <c r="OMQ11" t="s">
        <v>10508</v>
      </c>
      <c r="OMR11" t="s">
        <v>10509</v>
      </c>
      <c r="OMS11" t="s">
        <v>10510</v>
      </c>
      <c r="OMT11" t="s">
        <v>10511</v>
      </c>
      <c r="OMU11" t="s">
        <v>10512</v>
      </c>
      <c r="OMV11" t="s">
        <v>10513</v>
      </c>
      <c r="OMW11" t="s">
        <v>10514</v>
      </c>
      <c r="OMX11" t="s">
        <v>10515</v>
      </c>
      <c r="OMY11" t="s">
        <v>10516</v>
      </c>
      <c r="OMZ11" t="s">
        <v>10517</v>
      </c>
      <c r="ONA11" t="s">
        <v>10518</v>
      </c>
      <c r="ONB11" t="s">
        <v>10519</v>
      </c>
      <c r="ONC11" t="s">
        <v>10520</v>
      </c>
      <c r="OND11" t="s">
        <v>10521</v>
      </c>
      <c r="ONE11" t="s">
        <v>10522</v>
      </c>
      <c r="ONF11" t="s">
        <v>10523</v>
      </c>
      <c r="ONG11" t="s">
        <v>10524</v>
      </c>
      <c r="ONH11" t="s">
        <v>10525</v>
      </c>
      <c r="ONI11" t="s">
        <v>10526</v>
      </c>
      <c r="ONJ11" t="s">
        <v>10527</v>
      </c>
      <c r="ONK11" t="s">
        <v>10528</v>
      </c>
      <c r="ONL11" t="s">
        <v>10529</v>
      </c>
      <c r="ONM11" t="s">
        <v>10530</v>
      </c>
      <c r="ONN11" t="s">
        <v>10531</v>
      </c>
      <c r="ONO11" t="s">
        <v>10532</v>
      </c>
      <c r="ONP11" t="s">
        <v>10533</v>
      </c>
      <c r="ONQ11" t="s">
        <v>10534</v>
      </c>
      <c r="ONR11" t="s">
        <v>10535</v>
      </c>
      <c r="ONS11" t="s">
        <v>10536</v>
      </c>
      <c r="ONT11" t="s">
        <v>10537</v>
      </c>
      <c r="ONU11" t="s">
        <v>10538</v>
      </c>
      <c r="ONV11" t="s">
        <v>10539</v>
      </c>
      <c r="ONW11" t="s">
        <v>10540</v>
      </c>
      <c r="ONX11" t="s">
        <v>10541</v>
      </c>
      <c r="ONY11" t="s">
        <v>10542</v>
      </c>
      <c r="ONZ11" t="s">
        <v>10543</v>
      </c>
      <c r="OOA11" t="s">
        <v>10544</v>
      </c>
      <c r="OOB11" t="s">
        <v>10545</v>
      </c>
      <c r="OOC11" t="s">
        <v>10546</v>
      </c>
      <c r="OOD11" t="s">
        <v>10547</v>
      </c>
      <c r="OOE11" t="s">
        <v>10548</v>
      </c>
      <c r="OOF11" t="s">
        <v>10549</v>
      </c>
      <c r="OOG11" t="s">
        <v>10550</v>
      </c>
      <c r="OOH11" t="s">
        <v>10551</v>
      </c>
      <c r="OOI11" t="s">
        <v>10552</v>
      </c>
      <c r="OOJ11" t="s">
        <v>10553</v>
      </c>
      <c r="OOK11" t="s">
        <v>10554</v>
      </c>
      <c r="OOL11" t="s">
        <v>10555</v>
      </c>
      <c r="OOM11" t="s">
        <v>10556</v>
      </c>
      <c r="OON11" t="s">
        <v>10557</v>
      </c>
      <c r="OOO11" t="s">
        <v>10558</v>
      </c>
      <c r="OOP11" t="s">
        <v>10559</v>
      </c>
      <c r="OOQ11" t="s">
        <v>10560</v>
      </c>
      <c r="OOR11" t="s">
        <v>10561</v>
      </c>
      <c r="OOS11" t="s">
        <v>10562</v>
      </c>
      <c r="OOT11" t="s">
        <v>10563</v>
      </c>
      <c r="OOU11" t="s">
        <v>10564</v>
      </c>
      <c r="OOV11" t="s">
        <v>10565</v>
      </c>
      <c r="OOW11" t="s">
        <v>10566</v>
      </c>
      <c r="OOX11" t="s">
        <v>10567</v>
      </c>
      <c r="OOY11" t="s">
        <v>10568</v>
      </c>
      <c r="OOZ11" t="s">
        <v>10569</v>
      </c>
      <c r="OPA11" t="s">
        <v>10570</v>
      </c>
      <c r="OPB11" t="s">
        <v>10571</v>
      </c>
      <c r="OPC11" t="s">
        <v>10572</v>
      </c>
      <c r="OPD11" t="s">
        <v>10573</v>
      </c>
      <c r="OPE11" t="s">
        <v>10574</v>
      </c>
      <c r="OPF11" t="s">
        <v>10575</v>
      </c>
      <c r="OPG11" t="s">
        <v>10576</v>
      </c>
      <c r="OPH11" t="s">
        <v>10577</v>
      </c>
      <c r="OPI11" t="s">
        <v>10578</v>
      </c>
      <c r="OPJ11" t="s">
        <v>10579</v>
      </c>
      <c r="OPK11" t="s">
        <v>10580</v>
      </c>
      <c r="OPL11" t="s">
        <v>10581</v>
      </c>
      <c r="OPM11" t="s">
        <v>10582</v>
      </c>
      <c r="OPN11" t="s">
        <v>10583</v>
      </c>
      <c r="OPO11" t="s">
        <v>10584</v>
      </c>
      <c r="OPP11" t="s">
        <v>10585</v>
      </c>
      <c r="OPQ11" t="s">
        <v>10586</v>
      </c>
      <c r="OPR11" t="s">
        <v>10587</v>
      </c>
      <c r="OPS11" t="s">
        <v>10588</v>
      </c>
      <c r="OPT11" t="s">
        <v>10589</v>
      </c>
      <c r="OPU11" t="s">
        <v>10590</v>
      </c>
      <c r="OPV11" t="s">
        <v>10591</v>
      </c>
      <c r="OPW11" t="s">
        <v>10592</v>
      </c>
      <c r="OPX11" t="s">
        <v>10593</v>
      </c>
      <c r="OPY11" t="s">
        <v>10594</v>
      </c>
      <c r="OPZ11" t="s">
        <v>10595</v>
      </c>
      <c r="OQA11" t="s">
        <v>10596</v>
      </c>
      <c r="OQB11" t="s">
        <v>10597</v>
      </c>
      <c r="OQC11" t="s">
        <v>10598</v>
      </c>
      <c r="OQD11" t="s">
        <v>10599</v>
      </c>
      <c r="OQE11" t="s">
        <v>10600</v>
      </c>
      <c r="OQF11" t="s">
        <v>10601</v>
      </c>
      <c r="OQG11" t="s">
        <v>10602</v>
      </c>
      <c r="OQH11" t="s">
        <v>10603</v>
      </c>
      <c r="OQI11" t="s">
        <v>10604</v>
      </c>
      <c r="OQJ11" t="s">
        <v>10605</v>
      </c>
      <c r="OQK11" t="s">
        <v>10606</v>
      </c>
      <c r="OQL11" t="s">
        <v>10607</v>
      </c>
      <c r="OQM11" t="s">
        <v>10608</v>
      </c>
      <c r="OQN11" t="s">
        <v>10609</v>
      </c>
      <c r="OQO11" t="s">
        <v>10610</v>
      </c>
      <c r="OQP11" t="s">
        <v>10611</v>
      </c>
      <c r="OQQ11" t="s">
        <v>10612</v>
      </c>
      <c r="OQR11" t="s">
        <v>10613</v>
      </c>
      <c r="OQS11" t="s">
        <v>10614</v>
      </c>
      <c r="OQT11" t="s">
        <v>10615</v>
      </c>
      <c r="OQU11" t="s">
        <v>10616</v>
      </c>
      <c r="OQV11" t="s">
        <v>10617</v>
      </c>
      <c r="OQW11" t="s">
        <v>10618</v>
      </c>
      <c r="OQX11" t="s">
        <v>10619</v>
      </c>
      <c r="OQY11" t="s">
        <v>10620</v>
      </c>
      <c r="OQZ11" t="s">
        <v>10621</v>
      </c>
      <c r="ORA11" t="s">
        <v>10622</v>
      </c>
      <c r="ORB11" t="s">
        <v>10623</v>
      </c>
      <c r="ORC11" t="s">
        <v>10624</v>
      </c>
      <c r="ORD11" t="s">
        <v>10625</v>
      </c>
      <c r="ORE11" t="s">
        <v>10626</v>
      </c>
      <c r="ORF11" t="s">
        <v>10627</v>
      </c>
      <c r="ORG11" t="s">
        <v>10628</v>
      </c>
      <c r="ORH11" t="s">
        <v>10629</v>
      </c>
      <c r="ORI11" t="s">
        <v>10630</v>
      </c>
      <c r="ORJ11" t="s">
        <v>10631</v>
      </c>
      <c r="ORK11" t="s">
        <v>10632</v>
      </c>
      <c r="ORL11" t="s">
        <v>10633</v>
      </c>
      <c r="ORM11" t="s">
        <v>10634</v>
      </c>
      <c r="ORN11" t="s">
        <v>10635</v>
      </c>
      <c r="ORO11" t="s">
        <v>10636</v>
      </c>
      <c r="ORP11" t="s">
        <v>10637</v>
      </c>
      <c r="ORQ11" t="s">
        <v>10638</v>
      </c>
      <c r="ORR11" t="s">
        <v>10639</v>
      </c>
      <c r="ORS11" t="s">
        <v>10640</v>
      </c>
      <c r="ORT11" t="s">
        <v>10641</v>
      </c>
      <c r="ORU11" t="s">
        <v>10642</v>
      </c>
      <c r="ORV11" t="s">
        <v>10643</v>
      </c>
      <c r="ORW11" t="s">
        <v>10644</v>
      </c>
      <c r="ORX11" t="s">
        <v>10645</v>
      </c>
      <c r="ORY11" t="s">
        <v>10646</v>
      </c>
      <c r="ORZ11" t="s">
        <v>10647</v>
      </c>
      <c r="OSA11" t="s">
        <v>10648</v>
      </c>
      <c r="OSB11" t="s">
        <v>10649</v>
      </c>
      <c r="OSC11" t="s">
        <v>10650</v>
      </c>
      <c r="OSD11" t="s">
        <v>10651</v>
      </c>
      <c r="OSE11" t="s">
        <v>10652</v>
      </c>
      <c r="OSF11" t="s">
        <v>10653</v>
      </c>
      <c r="OSG11" t="s">
        <v>10654</v>
      </c>
      <c r="OSH11" t="s">
        <v>10655</v>
      </c>
      <c r="OSI11" t="s">
        <v>10656</v>
      </c>
      <c r="OSJ11" t="s">
        <v>10657</v>
      </c>
      <c r="OSK11" t="s">
        <v>10658</v>
      </c>
      <c r="OSL11" t="s">
        <v>10659</v>
      </c>
      <c r="OSM11" t="s">
        <v>10660</v>
      </c>
      <c r="OSN11" t="s">
        <v>10661</v>
      </c>
      <c r="OSO11" t="s">
        <v>10662</v>
      </c>
      <c r="OSP11" t="s">
        <v>10663</v>
      </c>
      <c r="OSQ11" t="s">
        <v>10664</v>
      </c>
      <c r="OSR11" t="s">
        <v>10665</v>
      </c>
      <c r="OSS11" t="s">
        <v>10666</v>
      </c>
      <c r="OST11" t="s">
        <v>10667</v>
      </c>
      <c r="OSU11" t="s">
        <v>10668</v>
      </c>
      <c r="OSV11" t="s">
        <v>10669</v>
      </c>
      <c r="OSW11" t="s">
        <v>10670</v>
      </c>
      <c r="OSX11" t="s">
        <v>10671</v>
      </c>
      <c r="OSY11" t="s">
        <v>10672</v>
      </c>
      <c r="OSZ11" t="s">
        <v>10673</v>
      </c>
      <c r="OTA11" t="s">
        <v>10674</v>
      </c>
      <c r="OTB11" t="s">
        <v>10675</v>
      </c>
      <c r="OTC11" t="s">
        <v>10676</v>
      </c>
      <c r="OTD11" t="s">
        <v>10677</v>
      </c>
      <c r="OTE11" t="s">
        <v>10678</v>
      </c>
      <c r="OTF11" t="s">
        <v>10679</v>
      </c>
      <c r="OTG11" t="s">
        <v>10680</v>
      </c>
      <c r="OTH11" t="s">
        <v>10681</v>
      </c>
      <c r="OTI11" t="s">
        <v>10682</v>
      </c>
      <c r="OTJ11" t="s">
        <v>10683</v>
      </c>
      <c r="OTK11" t="s">
        <v>10684</v>
      </c>
      <c r="OTL11" t="s">
        <v>10685</v>
      </c>
      <c r="OTM11" t="s">
        <v>10686</v>
      </c>
      <c r="OTN11" t="s">
        <v>10687</v>
      </c>
      <c r="OTO11" t="s">
        <v>10688</v>
      </c>
      <c r="OTP11" t="s">
        <v>10689</v>
      </c>
      <c r="OTQ11" t="s">
        <v>10690</v>
      </c>
      <c r="OTR11" t="s">
        <v>10691</v>
      </c>
      <c r="OTS11" t="s">
        <v>10692</v>
      </c>
      <c r="OTT11" t="s">
        <v>10693</v>
      </c>
      <c r="OTU11" t="s">
        <v>10694</v>
      </c>
      <c r="OTV11" t="s">
        <v>10695</v>
      </c>
      <c r="OTW11" t="s">
        <v>10696</v>
      </c>
      <c r="OTX11" t="s">
        <v>10697</v>
      </c>
      <c r="OTY11" t="s">
        <v>10698</v>
      </c>
      <c r="OTZ11" t="s">
        <v>10699</v>
      </c>
      <c r="OUA11" t="s">
        <v>10700</v>
      </c>
      <c r="OUB11" t="s">
        <v>10701</v>
      </c>
      <c r="OUC11" t="s">
        <v>10702</v>
      </c>
      <c r="OUD11" t="s">
        <v>10703</v>
      </c>
      <c r="OUE11" t="s">
        <v>10704</v>
      </c>
      <c r="OUF11" t="s">
        <v>10705</v>
      </c>
      <c r="OUG11" t="s">
        <v>10706</v>
      </c>
      <c r="OUH11" t="s">
        <v>10707</v>
      </c>
      <c r="OUI11" t="s">
        <v>10708</v>
      </c>
      <c r="OUJ11" t="s">
        <v>10709</v>
      </c>
      <c r="OUK11" t="s">
        <v>10710</v>
      </c>
      <c r="OUL11" t="s">
        <v>10711</v>
      </c>
      <c r="OUM11" t="s">
        <v>10712</v>
      </c>
      <c r="OUN11" t="s">
        <v>10713</v>
      </c>
      <c r="OUO11" t="s">
        <v>10714</v>
      </c>
      <c r="OUP11" t="s">
        <v>10715</v>
      </c>
      <c r="OUQ11" t="s">
        <v>10716</v>
      </c>
      <c r="OUR11" t="s">
        <v>10717</v>
      </c>
      <c r="OUS11" t="s">
        <v>10718</v>
      </c>
      <c r="OUT11" t="s">
        <v>10719</v>
      </c>
      <c r="OUU11" t="s">
        <v>10720</v>
      </c>
      <c r="OUV11" t="s">
        <v>10721</v>
      </c>
      <c r="OUW11" t="s">
        <v>10722</v>
      </c>
      <c r="OUX11" t="s">
        <v>10723</v>
      </c>
      <c r="OUY11" t="s">
        <v>10724</v>
      </c>
      <c r="OUZ11" t="s">
        <v>10725</v>
      </c>
      <c r="OVA11" t="s">
        <v>10726</v>
      </c>
      <c r="OVB11" t="s">
        <v>10727</v>
      </c>
      <c r="OVC11" t="s">
        <v>10728</v>
      </c>
      <c r="OVD11" t="s">
        <v>10729</v>
      </c>
      <c r="OVE11" t="s">
        <v>10730</v>
      </c>
      <c r="OVF11" t="s">
        <v>10731</v>
      </c>
      <c r="OVG11" t="s">
        <v>10732</v>
      </c>
      <c r="OVH11" t="s">
        <v>10733</v>
      </c>
      <c r="OVI11" t="s">
        <v>10734</v>
      </c>
      <c r="OVJ11" t="s">
        <v>10735</v>
      </c>
      <c r="OVK11" t="s">
        <v>10736</v>
      </c>
      <c r="OVL11" t="s">
        <v>10737</v>
      </c>
      <c r="OVM11" t="s">
        <v>10738</v>
      </c>
      <c r="OVN11" t="s">
        <v>10739</v>
      </c>
      <c r="OVO11" t="s">
        <v>10740</v>
      </c>
      <c r="OVP11" t="s">
        <v>10741</v>
      </c>
      <c r="OVQ11" t="s">
        <v>10742</v>
      </c>
      <c r="OVR11" t="s">
        <v>10743</v>
      </c>
      <c r="OVS11" t="s">
        <v>10744</v>
      </c>
      <c r="OVT11" t="s">
        <v>10745</v>
      </c>
      <c r="OVU11" t="s">
        <v>10746</v>
      </c>
      <c r="OVV11" t="s">
        <v>10747</v>
      </c>
      <c r="OVW11" t="s">
        <v>10748</v>
      </c>
      <c r="OVX11" t="s">
        <v>10749</v>
      </c>
      <c r="OVY11" t="s">
        <v>10750</v>
      </c>
      <c r="OVZ11" t="s">
        <v>10751</v>
      </c>
      <c r="OWA11" t="s">
        <v>10752</v>
      </c>
      <c r="OWB11" t="s">
        <v>10753</v>
      </c>
      <c r="OWC11" t="s">
        <v>10754</v>
      </c>
      <c r="OWD11" t="s">
        <v>10755</v>
      </c>
      <c r="OWE11" t="s">
        <v>10756</v>
      </c>
      <c r="OWF11" t="s">
        <v>10757</v>
      </c>
      <c r="OWG11" t="s">
        <v>10758</v>
      </c>
      <c r="OWH11" t="s">
        <v>10759</v>
      </c>
      <c r="OWI11" t="s">
        <v>10760</v>
      </c>
      <c r="OWJ11" t="s">
        <v>10761</v>
      </c>
      <c r="OWK11" t="s">
        <v>10762</v>
      </c>
      <c r="OWL11" t="s">
        <v>10763</v>
      </c>
      <c r="OWM11" t="s">
        <v>10764</v>
      </c>
      <c r="OWN11" t="s">
        <v>10765</v>
      </c>
      <c r="OWO11" t="s">
        <v>10766</v>
      </c>
      <c r="OWP11" t="s">
        <v>10767</v>
      </c>
      <c r="OWQ11" t="s">
        <v>10768</v>
      </c>
      <c r="OWR11" t="s">
        <v>10769</v>
      </c>
      <c r="OWS11" t="s">
        <v>10770</v>
      </c>
      <c r="OWT11" t="s">
        <v>10771</v>
      </c>
      <c r="OWU11" t="s">
        <v>10772</v>
      </c>
      <c r="OWV11" t="s">
        <v>10773</v>
      </c>
      <c r="OWW11" t="s">
        <v>10774</v>
      </c>
      <c r="OWX11" t="s">
        <v>10775</v>
      </c>
      <c r="OWY11" t="s">
        <v>10776</v>
      </c>
      <c r="OWZ11" t="s">
        <v>10777</v>
      </c>
      <c r="OXA11" t="s">
        <v>10778</v>
      </c>
      <c r="OXB11" t="s">
        <v>10779</v>
      </c>
      <c r="OXC11" t="s">
        <v>10780</v>
      </c>
      <c r="OXD11" t="s">
        <v>10781</v>
      </c>
      <c r="OXE11" t="s">
        <v>10782</v>
      </c>
      <c r="OXF11" t="s">
        <v>10783</v>
      </c>
      <c r="OXG11" t="s">
        <v>10784</v>
      </c>
      <c r="OXH11" t="s">
        <v>10785</v>
      </c>
      <c r="OXI11" t="s">
        <v>10786</v>
      </c>
      <c r="OXJ11" t="s">
        <v>10787</v>
      </c>
      <c r="OXK11" t="s">
        <v>10788</v>
      </c>
      <c r="OXL11" t="s">
        <v>10789</v>
      </c>
      <c r="OXM11" t="s">
        <v>10790</v>
      </c>
      <c r="OXN11" t="s">
        <v>10791</v>
      </c>
      <c r="OXO11" t="s">
        <v>10792</v>
      </c>
      <c r="OXP11" t="s">
        <v>10793</v>
      </c>
      <c r="OXQ11" t="s">
        <v>10794</v>
      </c>
      <c r="OXR11" t="s">
        <v>10795</v>
      </c>
      <c r="OXS11" t="s">
        <v>10796</v>
      </c>
      <c r="OXT11" t="s">
        <v>10797</v>
      </c>
      <c r="OXU11" t="s">
        <v>10798</v>
      </c>
      <c r="OXV11" t="s">
        <v>10799</v>
      </c>
      <c r="OXW11" t="s">
        <v>10800</v>
      </c>
      <c r="OXX11" t="s">
        <v>10801</v>
      </c>
      <c r="OXY11" t="s">
        <v>10802</v>
      </c>
      <c r="OXZ11" t="s">
        <v>10803</v>
      </c>
      <c r="OYA11" t="s">
        <v>10804</v>
      </c>
      <c r="OYB11" t="s">
        <v>10805</v>
      </c>
      <c r="OYC11" t="s">
        <v>10806</v>
      </c>
      <c r="OYD11" t="s">
        <v>10807</v>
      </c>
      <c r="OYE11" t="s">
        <v>10808</v>
      </c>
      <c r="OYF11" t="s">
        <v>10809</v>
      </c>
      <c r="OYG11" t="s">
        <v>10810</v>
      </c>
      <c r="OYH11" t="s">
        <v>10811</v>
      </c>
      <c r="OYI11" t="s">
        <v>10812</v>
      </c>
      <c r="OYJ11" t="s">
        <v>10813</v>
      </c>
      <c r="OYK11" t="s">
        <v>10814</v>
      </c>
      <c r="OYL11" t="s">
        <v>10815</v>
      </c>
      <c r="OYM11" t="s">
        <v>10816</v>
      </c>
      <c r="OYN11" t="s">
        <v>10817</v>
      </c>
      <c r="OYO11" t="s">
        <v>10818</v>
      </c>
      <c r="OYP11" t="s">
        <v>10819</v>
      </c>
      <c r="OYQ11" t="s">
        <v>10820</v>
      </c>
      <c r="OYR11" t="s">
        <v>10821</v>
      </c>
      <c r="OYS11" t="s">
        <v>10822</v>
      </c>
      <c r="OYT11" t="s">
        <v>10823</v>
      </c>
      <c r="OYU11" t="s">
        <v>10824</v>
      </c>
      <c r="OYV11" t="s">
        <v>10825</v>
      </c>
      <c r="OYW11" t="s">
        <v>10826</v>
      </c>
      <c r="OYX11" t="s">
        <v>10827</v>
      </c>
      <c r="OYY11" t="s">
        <v>10828</v>
      </c>
      <c r="OYZ11" t="s">
        <v>10829</v>
      </c>
      <c r="OZA11" t="s">
        <v>10830</v>
      </c>
      <c r="OZB11" t="s">
        <v>10831</v>
      </c>
      <c r="OZC11" t="s">
        <v>10832</v>
      </c>
      <c r="OZD11" t="s">
        <v>10833</v>
      </c>
      <c r="OZE11" t="s">
        <v>10834</v>
      </c>
      <c r="OZF11" t="s">
        <v>10835</v>
      </c>
      <c r="OZG11" t="s">
        <v>10836</v>
      </c>
      <c r="OZH11" t="s">
        <v>10837</v>
      </c>
      <c r="OZI11" t="s">
        <v>10838</v>
      </c>
      <c r="OZJ11" t="s">
        <v>10839</v>
      </c>
      <c r="OZK11" t="s">
        <v>10840</v>
      </c>
      <c r="OZL11" t="s">
        <v>10841</v>
      </c>
      <c r="OZM11" t="s">
        <v>10842</v>
      </c>
      <c r="OZN11" t="s">
        <v>10843</v>
      </c>
      <c r="OZO11" t="s">
        <v>10844</v>
      </c>
      <c r="OZP11" t="s">
        <v>10845</v>
      </c>
      <c r="OZQ11" t="s">
        <v>10846</v>
      </c>
      <c r="OZR11" t="s">
        <v>10847</v>
      </c>
      <c r="OZS11" t="s">
        <v>10848</v>
      </c>
      <c r="OZT11" t="s">
        <v>10849</v>
      </c>
      <c r="OZU11" t="s">
        <v>10850</v>
      </c>
      <c r="OZV11" t="s">
        <v>10851</v>
      </c>
      <c r="OZW11" t="s">
        <v>10852</v>
      </c>
      <c r="OZX11" t="s">
        <v>10853</v>
      </c>
      <c r="OZY11" t="s">
        <v>10854</v>
      </c>
      <c r="OZZ11" t="s">
        <v>10855</v>
      </c>
      <c r="PAA11" t="s">
        <v>10856</v>
      </c>
      <c r="PAB11" t="s">
        <v>10857</v>
      </c>
      <c r="PAC11" t="s">
        <v>10858</v>
      </c>
      <c r="PAD11" t="s">
        <v>10859</v>
      </c>
      <c r="PAE11" t="s">
        <v>10860</v>
      </c>
      <c r="PAF11" t="s">
        <v>10861</v>
      </c>
      <c r="PAG11" t="s">
        <v>10862</v>
      </c>
      <c r="PAH11" t="s">
        <v>10863</v>
      </c>
      <c r="PAI11" t="s">
        <v>10864</v>
      </c>
      <c r="PAJ11" t="s">
        <v>10865</v>
      </c>
      <c r="PAK11" t="s">
        <v>10866</v>
      </c>
      <c r="PAL11" t="s">
        <v>10867</v>
      </c>
      <c r="PAM11" t="s">
        <v>10868</v>
      </c>
      <c r="PAN11" t="s">
        <v>10869</v>
      </c>
      <c r="PAO11" t="s">
        <v>10870</v>
      </c>
      <c r="PAP11" t="s">
        <v>10871</v>
      </c>
      <c r="PAQ11" t="s">
        <v>10872</v>
      </c>
      <c r="PAR11" t="s">
        <v>10873</v>
      </c>
      <c r="PAS11" t="s">
        <v>10874</v>
      </c>
      <c r="PAT11" t="s">
        <v>10875</v>
      </c>
      <c r="PAU11" t="s">
        <v>10876</v>
      </c>
      <c r="PAV11" t="s">
        <v>10877</v>
      </c>
      <c r="PAW11" t="s">
        <v>10878</v>
      </c>
      <c r="PAX11" t="s">
        <v>10879</v>
      </c>
      <c r="PAY11" t="s">
        <v>10880</v>
      </c>
      <c r="PAZ11" t="s">
        <v>10881</v>
      </c>
      <c r="PBA11" t="s">
        <v>10882</v>
      </c>
      <c r="PBB11" t="s">
        <v>10883</v>
      </c>
      <c r="PBC11" t="s">
        <v>10884</v>
      </c>
      <c r="PBD11" t="s">
        <v>10885</v>
      </c>
      <c r="PBE11" t="s">
        <v>10886</v>
      </c>
      <c r="PBF11" t="s">
        <v>10887</v>
      </c>
      <c r="PBG11" t="s">
        <v>10888</v>
      </c>
      <c r="PBH11" t="s">
        <v>10889</v>
      </c>
      <c r="PBI11" t="s">
        <v>10890</v>
      </c>
      <c r="PBJ11" t="s">
        <v>10891</v>
      </c>
      <c r="PBK11" t="s">
        <v>10892</v>
      </c>
      <c r="PBL11" t="s">
        <v>10893</v>
      </c>
      <c r="PBM11" t="s">
        <v>10894</v>
      </c>
      <c r="PBN11" t="s">
        <v>10895</v>
      </c>
      <c r="PBO11" t="s">
        <v>10896</v>
      </c>
      <c r="PBP11" t="s">
        <v>10897</v>
      </c>
      <c r="PBQ11" t="s">
        <v>10898</v>
      </c>
      <c r="PBR11" t="s">
        <v>10899</v>
      </c>
      <c r="PBS11" t="s">
        <v>10900</v>
      </c>
      <c r="PBT11" t="s">
        <v>10901</v>
      </c>
      <c r="PBU11" t="s">
        <v>10902</v>
      </c>
      <c r="PBV11" t="s">
        <v>10903</v>
      </c>
      <c r="PBW11" t="s">
        <v>10904</v>
      </c>
      <c r="PBX11" t="s">
        <v>10905</v>
      </c>
      <c r="PBY11" t="s">
        <v>10906</v>
      </c>
      <c r="PBZ11" t="s">
        <v>10907</v>
      </c>
      <c r="PCA11" t="s">
        <v>10908</v>
      </c>
      <c r="PCB11" t="s">
        <v>10909</v>
      </c>
      <c r="PCC11" t="s">
        <v>10910</v>
      </c>
      <c r="PCD11" t="s">
        <v>10911</v>
      </c>
      <c r="PCE11" t="s">
        <v>10912</v>
      </c>
      <c r="PCF11" t="s">
        <v>10913</v>
      </c>
      <c r="PCG11" t="s">
        <v>10914</v>
      </c>
      <c r="PCH11" t="s">
        <v>10915</v>
      </c>
      <c r="PCI11" t="s">
        <v>10916</v>
      </c>
      <c r="PCJ11" t="s">
        <v>10917</v>
      </c>
      <c r="PCK11" t="s">
        <v>10918</v>
      </c>
      <c r="PCL11" t="s">
        <v>10919</v>
      </c>
      <c r="PCM11" t="s">
        <v>10920</v>
      </c>
      <c r="PCN11" t="s">
        <v>10921</v>
      </c>
      <c r="PCO11" t="s">
        <v>10922</v>
      </c>
      <c r="PCP11" t="s">
        <v>10923</v>
      </c>
      <c r="PCQ11" t="s">
        <v>10924</v>
      </c>
      <c r="PCR11" t="s">
        <v>10925</v>
      </c>
      <c r="PCS11" t="s">
        <v>10926</v>
      </c>
      <c r="PCT11" t="s">
        <v>10927</v>
      </c>
      <c r="PCU11" t="s">
        <v>10928</v>
      </c>
      <c r="PCV11" t="s">
        <v>10929</v>
      </c>
      <c r="PCW11" t="s">
        <v>10930</v>
      </c>
      <c r="PCX11" t="s">
        <v>10931</v>
      </c>
      <c r="PCY11" t="s">
        <v>10932</v>
      </c>
      <c r="PCZ11" t="s">
        <v>10933</v>
      </c>
      <c r="PDA11" t="s">
        <v>10934</v>
      </c>
      <c r="PDB11" t="s">
        <v>10935</v>
      </c>
      <c r="PDC11" t="s">
        <v>10936</v>
      </c>
      <c r="PDD11" t="s">
        <v>10937</v>
      </c>
      <c r="PDE11" t="s">
        <v>10938</v>
      </c>
      <c r="PDF11" t="s">
        <v>10939</v>
      </c>
      <c r="PDG11" t="s">
        <v>10940</v>
      </c>
      <c r="PDH11" t="s">
        <v>10941</v>
      </c>
      <c r="PDI11" t="s">
        <v>10942</v>
      </c>
      <c r="PDJ11" t="s">
        <v>10943</v>
      </c>
      <c r="PDK11" t="s">
        <v>10944</v>
      </c>
      <c r="PDL11" t="s">
        <v>10945</v>
      </c>
      <c r="PDM11" t="s">
        <v>10946</v>
      </c>
      <c r="PDN11" t="s">
        <v>10947</v>
      </c>
      <c r="PDO11" t="s">
        <v>10948</v>
      </c>
      <c r="PDP11" t="s">
        <v>10949</v>
      </c>
      <c r="PDQ11" t="s">
        <v>10950</v>
      </c>
      <c r="PDR11" t="s">
        <v>10951</v>
      </c>
      <c r="PDS11" t="s">
        <v>10952</v>
      </c>
      <c r="PDT11" t="s">
        <v>10953</v>
      </c>
      <c r="PDU11" t="s">
        <v>10954</v>
      </c>
      <c r="PDV11" t="s">
        <v>10955</v>
      </c>
      <c r="PDW11" t="s">
        <v>10956</v>
      </c>
      <c r="PDX11" t="s">
        <v>10957</v>
      </c>
      <c r="PDY11" t="s">
        <v>10958</v>
      </c>
      <c r="PDZ11" t="s">
        <v>10959</v>
      </c>
      <c r="PEA11" t="s">
        <v>10960</v>
      </c>
      <c r="PEB11" t="s">
        <v>10961</v>
      </c>
      <c r="PEC11" t="s">
        <v>10962</v>
      </c>
      <c r="PED11" t="s">
        <v>10963</v>
      </c>
      <c r="PEE11" t="s">
        <v>10964</v>
      </c>
      <c r="PEF11" t="s">
        <v>10965</v>
      </c>
      <c r="PEG11" t="s">
        <v>10966</v>
      </c>
      <c r="PEH11" t="s">
        <v>10967</v>
      </c>
      <c r="PEI11" t="s">
        <v>10968</v>
      </c>
      <c r="PEJ11" t="s">
        <v>10969</v>
      </c>
      <c r="PEK11" t="s">
        <v>10970</v>
      </c>
      <c r="PEL11" t="s">
        <v>10971</v>
      </c>
      <c r="PEM11" t="s">
        <v>10972</v>
      </c>
      <c r="PEN11" t="s">
        <v>10973</v>
      </c>
      <c r="PEO11" t="s">
        <v>10974</v>
      </c>
      <c r="PEP11" t="s">
        <v>10975</v>
      </c>
      <c r="PEQ11" t="s">
        <v>10976</v>
      </c>
      <c r="PER11" t="s">
        <v>10977</v>
      </c>
      <c r="PES11" t="s">
        <v>10978</v>
      </c>
      <c r="PET11" t="s">
        <v>10979</v>
      </c>
      <c r="PEU11" t="s">
        <v>10980</v>
      </c>
      <c r="PEV11" t="s">
        <v>10981</v>
      </c>
      <c r="PEW11" t="s">
        <v>10982</v>
      </c>
      <c r="PEX11" t="s">
        <v>10983</v>
      </c>
      <c r="PEY11" t="s">
        <v>10984</v>
      </c>
      <c r="PEZ11" t="s">
        <v>10985</v>
      </c>
      <c r="PFA11" t="s">
        <v>10986</v>
      </c>
      <c r="PFB11" t="s">
        <v>10987</v>
      </c>
      <c r="PFC11" t="s">
        <v>10988</v>
      </c>
      <c r="PFD11" t="s">
        <v>10989</v>
      </c>
      <c r="PFE11" t="s">
        <v>10990</v>
      </c>
      <c r="PFF11" t="s">
        <v>10991</v>
      </c>
      <c r="PFG11" t="s">
        <v>10992</v>
      </c>
      <c r="PFH11" t="s">
        <v>10993</v>
      </c>
      <c r="PFI11" t="s">
        <v>10994</v>
      </c>
      <c r="PFJ11" t="s">
        <v>10995</v>
      </c>
      <c r="PFK11" t="s">
        <v>10996</v>
      </c>
      <c r="PFL11" t="s">
        <v>10997</v>
      </c>
      <c r="PFM11" t="s">
        <v>10998</v>
      </c>
      <c r="PFN11" t="s">
        <v>10999</v>
      </c>
      <c r="PFO11" t="s">
        <v>11000</v>
      </c>
      <c r="PFP11" t="s">
        <v>11001</v>
      </c>
      <c r="PFQ11" t="s">
        <v>11002</v>
      </c>
      <c r="PFR11" t="s">
        <v>11003</v>
      </c>
      <c r="PFS11" t="s">
        <v>11004</v>
      </c>
      <c r="PFT11" t="s">
        <v>11005</v>
      </c>
      <c r="PFU11" t="s">
        <v>11006</v>
      </c>
      <c r="PFV11" t="s">
        <v>11007</v>
      </c>
      <c r="PFW11" t="s">
        <v>11008</v>
      </c>
      <c r="PFX11" t="s">
        <v>11009</v>
      </c>
      <c r="PFY11" t="s">
        <v>11010</v>
      </c>
      <c r="PFZ11" t="s">
        <v>11011</v>
      </c>
      <c r="PGA11" t="s">
        <v>11012</v>
      </c>
      <c r="PGB11" t="s">
        <v>11013</v>
      </c>
      <c r="PGC11" t="s">
        <v>11014</v>
      </c>
      <c r="PGD11" t="s">
        <v>11015</v>
      </c>
      <c r="PGE11" t="s">
        <v>11016</v>
      </c>
      <c r="PGF11" t="s">
        <v>11017</v>
      </c>
      <c r="PGG11" t="s">
        <v>11018</v>
      </c>
      <c r="PGH11" t="s">
        <v>11019</v>
      </c>
      <c r="PGI11" t="s">
        <v>11020</v>
      </c>
      <c r="PGJ11" t="s">
        <v>11021</v>
      </c>
      <c r="PGK11" t="s">
        <v>11022</v>
      </c>
      <c r="PGL11" t="s">
        <v>11023</v>
      </c>
      <c r="PGM11" t="s">
        <v>11024</v>
      </c>
      <c r="PGN11" t="s">
        <v>11025</v>
      </c>
      <c r="PGO11" t="s">
        <v>11026</v>
      </c>
      <c r="PGP11" t="s">
        <v>11027</v>
      </c>
      <c r="PGQ11" t="s">
        <v>11028</v>
      </c>
      <c r="PGR11" t="s">
        <v>11029</v>
      </c>
      <c r="PGS11" t="s">
        <v>11030</v>
      </c>
      <c r="PGT11" t="s">
        <v>11031</v>
      </c>
      <c r="PGU11" t="s">
        <v>11032</v>
      </c>
      <c r="PGV11" t="s">
        <v>11033</v>
      </c>
      <c r="PGW11" t="s">
        <v>11034</v>
      </c>
      <c r="PGX11" t="s">
        <v>11035</v>
      </c>
      <c r="PGY11" t="s">
        <v>11036</v>
      </c>
      <c r="PGZ11" t="s">
        <v>11037</v>
      </c>
      <c r="PHA11" t="s">
        <v>11038</v>
      </c>
      <c r="PHB11" t="s">
        <v>11039</v>
      </c>
      <c r="PHC11" t="s">
        <v>11040</v>
      </c>
      <c r="PHD11" t="s">
        <v>11041</v>
      </c>
      <c r="PHE11" t="s">
        <v>11042</v>
      </c>
      <c r="PHF11" t="s">
        <v>11043</v>
      </c>
      <c r="PHG11" t="s">
        <v>11044</v>
      </c>
      <c r="PHH11" t="s">
        <v>11045</v>
      </c>
      <c r="PHI11" t="s">
        <v>11046</v>
      </c>
      <c r="PHJ11" t="s">
        <v>11047</v>
      </c>
      <c r="PHK11" t="s">
        <v>11048</v>
      </c>
      <c r="PHL11" t="s">
        <v>11049</v>
      </c>
      <c r="PHM11" t="s">
        <v>11050</v>
      </c>
      <c r="PHN11" t="s">
        <v>11051</v>
      </c>
      <c r="PHO11" t="s">
        <v>11052</v>
      </c>
      <c r="PHP11" t="s">
        <v>11053</v>
      </c>
      <c r="PHQ11" t="s">
        <v>11054</v>
      </c>
      <c r="PHR11" t="s">
        <v>11055</v>
      </c>
      <c r="PHS11" t="s">
        <v>11056</v>
      </c>
      <c r="PHT11" t="s">
        <v>11057</v>
      </c>
      <c r="PHU11" t="s">
        <v>11058</v>
      </c>
      <c r="PHV11" t="s">
        <v>11059</v>
      </c>
      <c r="PHW11" t="s">
        <v>11060</v>
      </c>
      <c r="PHX11" t="s">
        <v>11061</v>
      </c>
      <c r="PHY11" t="s">
        <v>11062</v>
      </c>
      <c r="PHZ11" t="s">
        <v>11063</v>
      </c>
      <c r="PIA11" t="s">
        <v>11064</v>
      </c>
      <c r="PIB11" t="s">
        <v>11065</v>
      </c>
      <c r="PIC11" t="s">
        <v>11066</v>
      </c>
      <c r="PID11" t="s">
        <v>11067</v>
      </c>
      <c r="PIE11" t="s">
        <v>11068</v>
      </c>
      <c r="PIF11" t="s">
        <v>11069</v>
      </c>
      <c r="PIG11" t="s">
        <v>11070</v>
      </c>
      <c r="PIH11" t="s">
        <v>11071</v>
      </c>
      <c r="PII11" t="s">
        <v>11072</v>
      </c>
      <c r="PIJ11" t="s">
        <v>11073</v>
      </c>
      <c r="PIK11" t="s">
        <v>11074</v>
      </c>
      <c r="PIL11" t="s">
        <v>11075</v>
      </c>
      <c r="PIM11" t="s">
        <v>11076</v>
      </c>
      <c r="PIN11" t="s">
        <v>11077</v>
      </c>
      <c r="PIO11" t="s">
        <v>11078</v>
      </c>
      <c r="PIP11" t="s">
        <v>11079</v>
      </c>
      <c r="PIQ11" t="s">
        <v>11080</v>
      </c>
      <c r="PIR11" t="s">
        <v>11081</v>
      </c>
      <c r="PIS11" t="s">
        <v>11082</v>
      </c>
      <c r="PIT11" t="s">
        <v>11083</v>
      </c>
      <c r="PIU11" t="s">
        <v>11084</v>
      </c>
      <c r="PIV11" t="s">
        <v>11085</v>
      </c>
      <c r="PIW11" t="s">
        <v>11086</v>
      </c>
      <c r="PIX11" t="s">
        <v>11087</v>
      </c>
      <c r="PIY11" t="s">
        <v>11088</v>
      </c>
      <c r="PIZ11" t="s">
        <v>11089</v>
      </c>
      <c r="PJA11" t="s">
        <v>11090</v>
      </c>
      <c r="PJB11" t="s">
        <v>11091</v>
      </c>
      <c r="PJC11" t="s">
        <v>11092</v>
      </c>
      <c r="PJD11" t="s">
        <v>11093</v>
      </c>
      <c r="PJE11" t="s">
        <v>11094</v>
      </c>
      <c r="PJF11" t="s">
        <v>11095</v>
      </c>
      <c r="PJG11" t="s">
        <v>11096</v>
      </c>
      <c r="PJH11" t="s">
        <v>11097</v>
      </c>
      <c r="PJI11" t="s">
        <v>11098</v>
      </c>
      <c r="PJJ11" t="s">
        <v>11099</v>
      </c>
      <c r="PJK11" t="s">
        <v>11100</v>
      </c>
      <c r="PJL11" t="s">
        <v>11101</v>
      </c>
      <c r="PJM11" t="s">
        <v>11102</v>
      </c>
      <c r="PJN11" t="s">
        <v>11103</v>
      </c>
      <c r="PJO11" t="s">
        <v>11104</v>
      </c>
      <c r="PJP11" t="s">
        <v>11105</v>
      </c>
      <c r="PJQ11" t="s">
        <v>11106</v>
      </c>
      <c r="PJR11" t="s">
        <v>11107</v>
      </c>
      <c r="PJS11" t="s">
        <v>11108</v>
      </c>
      <c r="PJT11" t="s">
        <v>11109</v>
      </c>
      <c r="PJU11" t="s">
        <v>11110</v>
      </c>
      <c r="PJV11" t="s">
        <v>11111</v>
      </c>
      <c r="PJW11" t="s">
        <v>11112</v>
      </c>
      <c r="PJX11" t="s">
        <v>11113</v>
      </c>
      <c r="PJY11" t="s">
        <v>11114</v>
      </c>
      <c r="PJZ11" t="s">
        <v>11115</v>
      </c>
      <c r="PKA11" t="s">
        <v>11116</v>
      </c>
      <c r="PKB11" t="s">
        <v>11117</v>
      </c>
      <c r="PKC11" t="s">
        <v>11118</v>
      </c>
      <c r="PKD11" t="s">
        <v>11119</v>
      </c>
      <c r="PKE11" t="s">
        <v>11120</v>
      </c>
      <c r="PKF11" t="s">
        <v>11121</v>
      </c>
      <c r="PKG11" t="s">
        <v>11122</v>
      </c>
      <c r="PKH11" t="s">
        <v>11123</v>
      </c>
      <c r="PKI11" t="s">
        <v>11124</v>
      </c>
      <c r="PKJ11" t="s">
        <v>11125</v>
      </c>
      <c r="PKK11" t="s">
        <v>11126</v>
      </c>
      <c r="PKL11" t="s">
        <v>11127</v>
      </c>
      <c r="PKM11" t="s">
        <v>11128</v>
      </c>
      <c r="PKN11" t="s">
        <v>11129</v>
      </c>
      <c r="PKO11" t="s">
        <v>11130</v>
      </c>
      <c r="PKP11" t="s">
        <v>11131</v>
      </c>
      <c r="PKQ11" t="s">
        <v>11132</v>
      </c>
      <c r="PKR11" t="s">
        <v>11133</v>
      </c>
      <c r="PKS11" t="s">
        <v>11134</v>
      </c>
      <c r="PKT11" t="s">
        <v>11135</v>
      </c>
      <c r="PKU11" t="s">
        <v>11136</v>
      </c>
      <c r="PKV11" t="s">
        <v>11137</v>
      </c>
      <c r="PKW11" t="s">
        <v>11138</v>
      </c>
      <c r="PKX11" t="s">
        <v>11139</v>
      </c>
      <c r="PKY11" t="s">
        <v>11140</v>
      </c>
      <c r="PKZ11" t="s">
        <v>11141</v>
      </c>
      <c r="PLA11" t="s">
        <v>11142</v>
      </c>
      <c r="PLB11" t="s">
        <v>11143</v>
      </c>
      <c r="PLC11" t="s">
        <v>11144</v>
      </c>
      <c r="PLD11" t="s">
        <v>11145</v>
      </c>
      <c r="PLE11" t="s">
        <v>11146</v>
      </c>
      <c r="PLF11" t="s">
        <v>11147</v>
      </c>
      <c r="PLG11" t="s">
        <v>11148</v>
      </c>
      <c r="PLH11" t="s">
        <v>11149</v>
      </c>
      <c r="PLI11" t="s">
        <v>11150</v>
      </c>
      <c r="PLJ11" t="s">
        <v>11151</v>
      </c>
      <c r="PLK11" t="s">
        <v>11152</v>
      </c>
      <c r="PLL11" t="s">
        <v>11153</v>
      </c>
      <c r="PLM11" t="s">
        <v>11154</v>
      </c>
      <c r="PLN11" t="s">
        <v>11155</v>
      </c>
      <c r="PLO11" t="s">
        <v>11156</v>
      </c>
      <c r="PLP11" t="s">
        <v>11157</v>
      </c>
      <c r="PLQ11" t="s">
        <v>11158</v>
      </c>
      <c r="PLR11" t="s">
        <v>11159</v>
      </c>
      <c r="PLS11" t="s">
        <v>11160</v>
      </c>
      <c r="PLT11" t="s">
        <v>11161</v>
      </c>
      <c r="PLU11" t="s">
        <v>11162</v>
      </c>
      <c r="PLV11" t="s">
        <v>11163</v>
      </c>
      <c r="PLW11" t="s">
        <v>11164</v>
      </c>
      <c r="PLX11" t="s">
        <v>11165</v>
      </c>
      <c r="PLY11" t="s">
        <v>11166</v>
      </c>
      <c r="PLZ11" t="s">
        <v>11167</v>
      </c>
      <c r="PMA11" t="s">
        <v>11168</v>
      </c>
      <c r="PMB11" t="s">
        <v>11169</v>
      </c>
      <c r="PMC11" t="s">
        <v>11170</v>
      </c>
      <c r="PMD11" t="s">
        <v>11171</v>
      </c>
      <c r="PME11" t="s">
        <v>11172</v>
      </c>
      <c r="PMF11" t="s">
        <v>11173</v>
      </c>
      <c r="PMG11" t="s">
        <v>11174</v>
      </c>
      <c r="PMH11" t="s">
        <v>11175</v>
      </c>
      <c r="PMI11" t="s">
        <v>11176</v>
      </c>
      <c r="PMJ11" t="s">
        <v>11177</v>
      </c>
      <c r="PMK11" t="s">
        <v>11178</v>
      </c>
      <c r="PML11" t="s">
        <v>11179</v>
      </c>
      <c r="PMM11" t="s">
        <v>11180</v>
      </c>
      <c r="PMN11" t="s">
        <v>11181</v>
      </c>
      <c r="PMO11" t="s">
        <v>11182</v>
      </c>
      <c r="PMP11" t="s">
        <v>11183</v>
      </c>
      <c r="PMQ11" t="s">
        <v>11184</v>
      </c>
      <c r="PMR11" t="s">
        <v>11185</v>
      </c>
      <c r="PMS11" t="s">
        <v>11186</v>
      </c>
      <c r="PMT11" t="s">
        <v>11187</v>
      </c>
      <c r="PMU11" t="s">
        <v>11188</v>
      </c>
      <c r="PMV11" t="s">
        <v>11189</v>
      </c>
      <c r="PMW11" t="s">
        <v>11190</v>
      </c>
      <c r="PMX11" t="s">
        <v>11191</v>
      </c>
      <c r="PMY11" t="s">
        <v>11192</v>
      </c>
      <c r="PMZ11" t="s">
        <v>11193</v>
      </c>
      <c r="PNA11" t="s">
        <v>11194</v>
      </c>
      <c r="PNB11" t="s">
        <v>11195</v>
      </c>
      <c r="PNC11" t="s">
        <v>11196</v>
      </c>
      <c r="PND11" t="s">
        <v>11197</v>
      </c>
      <c r="PNE11" t="s">
        <v>11198</v>
      </c>
      <c r="PNF11" t="s">
        <v>11199</v>
      </c>
      <c r="PNG11" t="s">
        <v>11200</v>
      </c>
      <c r="PNH11" t="s">
        <v>11201</v>
      </c>
      <c r="PNI11" t="s">
        <v>11202</v>
      </c>
      <c r="PNJ11" t="s">
        <v>11203</v>
      </c>
      <c r="PNK11" t="s">
        <v>11204</v>
      </c>
      <c r="PNL11" t="s">
        <v>11205</v>
      </c>
      <c r="PNM11" t="s">
        <v>11206</v>
      </c>
      <c r="PNN11" t="s">
        <v>11207</v>
      </c>
      <c r="PNO11" t="s">
        <v>11208</v>
      </c>
      <c r="PNP11" t="s">
        <v>11209</v>
      </c>
      <c r="PNQ11" t="s">
        <v>11210</v>
      </c>
      <c r="PNR11" t="s">
        <v>11211</v>
      </c>
      <c r="PNS11" t="s">
        <v>11212</v>
      </c>
      <c r="PNT11" t="s">
        <v>11213</v>
      </c>
      <c r="PNU11" t="s">
        <v>11214</v>
      </c>
      <c r="PNV11" t="s">
        <v>11215</v>
      </c>
      <c r="PNW11" t="s">
        <v>11216</v>
      </c>
      <c r="PNX11" t="s">
        <v>11217</v>
      </c>
      <c r="PNY11" t="s">
        <v>11218</v>
      </c>
      <c r="PNZ11" t="s">
        <v>11219</v>
      </c>
      <c r="POA11" t="s">
        <v>11220</v>
      </c>
      <c r="POB11" t="s">
        <v>11221</v>
      </c>
      <c r="POC11" t="s">
        <v>11222</v>
      </c>
      <c r="POD11" t="s">
        <v>11223</v>
      </c>
      <c r="POE11" t="s">
        <v>11224</v>
      </c>
      <c r="POF11" t="s">
        <v>11225</v>
      </c>
      <c r="POG11" t="s">
        <v>11226</v>
      </c>
      <c r="POH11" t="s">
        <v>11227</v>
      </c>
      <c r="POI11" t="s">
        <v>11228</v>
      </c>
      <c r="POJ11" t="s">
        <v>11229</v>
      </c>
      <c r="POK11" t="s">
        <v>11230</v>
      </c>
      <c r="POL11" t="s">
        <v>11231</v>
      </c>
      <c r="POM11" t="s">
        <v>11232</v>
      </c>
      <c r="PON11" t="s">
        <v>11233</v>
      </c>
      <c r="POO11" t="s">
        <v>11234</v>
      </c>
      <c r="POP11" t="s">
        <v>11235</v>
      </c>
      <c r="POQ11" t="s">
        <v>11236</v>
      </c>
      <c r="POR11" t="s">
        <v>11237</v>
      </c>
      <c r="POS11" t="s">
        <v>11238</v>
      </c>
      <c r="POT11" t="s">
        <v>11239</v>
      </c>
      <c r="POU11" t="s">
        <v>11240</v>
      </c>
      <c r="POV11" t="s">
        <v>11241</v>
      </c>
      <c r="POW11" t="s">
        <v>11242</v>
      </c>
      <c r="POX11" t="s">
        <v>11243</v>
      </c>
      <c r="POY11" t="s">
        <v>11244</v>
      </c>
      <c r="POZ11" t="s">
        <v>11245</v>
      </c>
      <c r="PPA11" t="s">
        <v>11246</v>
      </c>
      <c r="PPB11" t="s">
        <v>11247</v>
      </c>
      <c r="PPC11" t="s">
        <v>11248</v>
      </c>
      <c r="PPD11" t="s">
        <v>11249</v>
      </c>
      <c r="PPE11" t="s">
        <v>11250</v>
      </c>
      <c r="PPF11" t="s">
        <v>11251</v>
      </c>
      <c r="PPG11" t="s">
        <v>11252</v>
      </c>
      <c r="PPH11" t="s">
        <v>11253</v>
      </c>
      <c r="PPI11" t="s">
        <v>11254</v>
      </c>
      <c r="PPJ11" t="s">
        <v>11255</v>
      </c>
      <c r="PPK11" t="s">
        <v>11256</v>
      </c>
      <c r="PPL11" t="s">
        <v>11257</v>
      </c>
      <c r="PPM11" t="s">
        <v>11258</v>
      </c>
      <c r="PPN11" t="s">
        <v>11259</v>
      </c>
      <c r="PPO11" t="s">
        <v>11260</v>
      </c>
      <c r="PPP11" t="s">
        <v>11261</v>
      </c>
      <c r="PPQ11" t="s">
        <v>11262</v>
      </c>
      <c r="PPR11" t="s">
        <v>11263</v>
      </c>
      <c r="PPS11" t="s">
        <v>11264</v>
      </c>
      <c r="PPT11" t="s">
        <v>11265</v>
      </c>
      <c r="PPU11" t="s">
        <v>11266</v>
      </c>
      <c r="PPV11" t="s">
        <v>11267</v>
      </c>
      <c r="PPW11" t="s">
        <v>11268</v>
      </c>
      <c r="PPX11" t="s">
        <v>11269</v>
      </c>
      <c r="PPY11" t="s">
        <v>11270</v>
      </c>
      <c r="PPZ11" t="s">
        <v>11271</v>
      </c>
      <c r="PQA11" t="s">
        <v>11272</v>
      </c>
      <c r="PQB11" t="s">
        <v>11273</v>
      </c>
      <c r="PQC11" t="s">
        <v>11274</v>
      </c>
      <c r="PQD11" t="s">
        <v>11275</v>
      </c>
      <c r="PQE11" t="s">
        <v>11276</v>
      </c>
      <c r="PQF11" t="s">
        <v>11277</v>
      </c>
      <c r="PQG11" t="s">
        <v>11278</v>
      </c>
      <c r="PQH11" t="s">
        <v>11279</v>
      </c>
      <c r="PQI11" t="s">
        <v>11280</v>
      </c>
      <c r="PQJ11" t="s">
        <v>11281</v>
      </c>
      <c r="PQK11" t="s">
        <v>11282</v>
      </c>
      <c r="PQL11" t="s">
        <v>11283</v>
      </c>
      <c r="PQM11" t="s">
        <v>11284</v>
      </c>
      <c r="PQN11" t="s">
        <v>11285</v>
      </c>
      <c r="PQO11" t="s">
        <v>11286</v>
      </c>
      <c r="PQP11" t="s">
        <v>11287</v>
      </c>
      <c r="PQQ11" t="s">
        <v>11288</v>
      </c>
      <c r="PQR11" t="s">
        <v>11289</v>
      </c>
      <c r="PQS11" t="s">
        <v>11290</v>
      </c>
      <c r="PQT11" t="s">
        <v>11291</v>
      </c>
      <c r="PQU11" t="s">
        <v>11292</v>
      </c>
      <c r="PQV11" t="s">
        <v>11293</v>
      </c>
      <c r="PQW11" t="s">
        <v>11294</v>
      </c>
      <c r="PQX11" t="s">
        <v>11295</v>
      </c>
      <c r="PQY11" t="s">
        <v>11296</v>
      </c>
      <c r="PQZ11" t="s">
        <v>11297</v>
      </c>
      <c r="PRA11" t="s">
        <v>11298</v>
      </c>
      <c r="PRB11" t="s">
        <v>11299</v>
      </c>
      <c r="PRC11" t="s">
        <v>11300</v>
      </c>
      <c r="PRD11" t="s">
        <v>11301</v>
      </c>
      <c r="PRE11" t="s">
        <v>11302</v>
      </c>
      <c r="PRF11" t="s">
        <v>11303</v>
      </c>
      <c r="PRG11" t="s">
        <v>11304</v>
      </c>
      <c r="PRH11" t="s">
        <v>11305</v>
      </c>
      <c r="PRI11" t="s">
        <v>11306</v>
      </c>
      <c r="PRJ11" t="s">
        <v>11307</v>
      </c>
      <c r="PRK11" t="s">
        <v>11308</v>
      </c>
      <c r="PRL11" t="s">
        <v>11309</v>
      </c>
      <c r="PRM11" t="s">
        <v>11310</v>
      </c>
      <c r="PRN11" t="s">
        <v>11311</v>
      </c>
      <c r="PRO11" t="s">
        <v>11312</v>
      </c>
      <c r="PRP11" t="s">
        <v>11313</v>
      </c>
      <c r="PRQ11" t="s">
        <v>11314</v>
      </c>
      <c r="PRR11" t="s">
        <v>11315</v>
      </c>
      <c r="PRS11" t="s">
        <v>11316</v>
      </c>
      <c r="PRT11" t="s">
        <v>11317</v>
      </c>
      <c r="PRU11" t="s">
        <v>11318</v>
      </c>
      <c r="PRV11" t="s">
        <v>11319</v>
      </c>
      <c r="PRW11" t="s">
        <v>11320</v>
      </c>
      <c r="PRX11" t="s">
        <v>11321</v>
      </c>
      <c r="PRY11" t="s">
        <v>11322</v>
      </c>
      <c r="PRZ11" t="s">
        <v>11323</v>
      </c>
      <c r="PSA11" t="s">
        <v>11324</v>
      </c>
      <c r="PSB11" t="s">
        <v>11325</v>
      </c>
      <c r="PSC11" t="s">
        <v>11326</v>
      </c>
      <c r="PSD11" t="s">
        <v>11327</v>
      </c>
      <c r="PSE11" t="s">
        <v>11328</v>
      </c>
      <c r="PSF11" t="s">
        <v>11329</v>
      </c>
      <c r="PSG11" t="s">
        <v>11330</v>
      </c>
      <c r="PSH11" t="s">
        <v>11331</v>
      </c>
      <c r="PSI11" t="s">
        <v>11332</v>
      </c>
      <c r="PSJ11" t="s">
        <v>11333</v>
      </c>
      <c r="PSK11" t="s">
        <v>11334</v>
      </c>
      <c r="PSL11" t="s">
        <v>11335</v>
      </c>
      <c r="PSM11" t="s">
        <v>11336</v>
      </c>
      <c r="PSN11" t="s">
        <v>11337</v>
      </c>
      <c r="PSO11" t="s">
        <v>11338</v>
      </c>
      <c r="PSP11" t="s">
        <v>11339</v>
      </c>
      <c r="PSQ11" t="s">
        <v>11340</v>
      </c>
      <c r="PSR11" t="s">
        <v>11341</v>
      </c>
      <c r="PSS11" t="s">
        <v>11342</v>
      </c>
      <c r="PST11" t="s">
        <v>11343</v>
      </c>
      <c r="PSU11" t="s">
        <v>11344</v>
      </c>
      <c r="PSV11" t="s">
        <v>11345</v>
      </c>
      <c r="PSW11" t="s">
        <v>11346</v>
      </c>
      <c r="PSX11" t="s">
        <v>11347</v>
      </c>
      <c r="PSY11" t="s">
        <v>11348</v>
      </c>
      <c r="PSZ11" t="s">
        <v>11349</v>
      </c>
      <c r="PTA11" t="s">
        <v>11350</v>
      </c>
      <c r="PTB11" t="s">
        <v>11351</v>
      </c>
      <c r="PTC11" t="s">
        <v>11352</v>
      </c>
      <c r="PTD11" t="s">
        <v>11353</v>
      </c>
      <c r="PTE11" t="s">
        <v>11354</v>
      </c>
      <c r="PTF11" t="s">
        <v>11355</v>
      </c>
      <c r="PTG11" t="s">
        <v>11356</v>
      </c>
      <c r="PTH11" t="s">
        <v>11357</v>
      </c>
      <c r="PTI11" t="s">
        <v>11358</v>
      </c>
      <c r="PTJ11" t="s">
        <v>11359</v>
      </c>
      <c r="PTK11" t="s">
        <v>11360</v>
      </c>
      <c r="PTL11" t="s">
        <v>11361</v>
      </c>
      <c r="PTM11" t="s">
        <v>11362</v>
      </c>
      <c r="PTN11" t="s">
        <v>11363</v>
      </c>
      <c r="PTO11" t="s">
        <v>11364</v>
      </c>
      <c r="PTP11" t="s">
        <v>11365</v>
      </c>
      <c r="PTQ11" t="s">
        <v>11366</v>
      </c>
      <c r="PTR11" t="s">
        <v>11367</v>
      </c>
      <c r="PTS11" t="s">
        <v>11368</v>
      </c>
      <c r="PTT11" t="s">
        <v>11369</v>
      </c>
      <c r="PTU11" t="s">
        <v>11370</v>
      </c>
      <c r="PTV11" t="s">
        <v>11371</v>
      </c>
      <c r="PTW11" t="s">
        <v>11372</v>
      </c>
      <c r="PTX11" t="s">
        <v>11373</v>
      </c>
      <c r="PTY11" t="s">
        <v>11374</v>
      </c>
      <c r="PTZ11" t="s">
        <v>11375</v>
      </c>
      <c r="PUA11" t="s">
        <v>11376</v>
      </c>
      <c r="PUB11" t="s">
        <v>11377</v>
      </c>
      <c r="PUC11" t="s">
        <v>11378</v>
      </c>
      <c r="PUD11" t="s">
        <v>11379</v>
      </c>
      <c r="PUE11" t="s">
        <v>11380</v>
      </c>
      <c r="PUF11" t="s">
        <v>11381</v>
      </c>
      <c r="PUG11" t="s">
        <v>11382</v>
      </c>
      <c r="PUH11" t="s">
        <v>11383</v>
      </c>
      <c r="PUI11" t="s">
        <v>11384</v>
      </c>
      <c r="PUJ11" t="s">
        <v>11385</v>
      </c>
      <c r="PUK11" t="s">
        <v>11386</v>
      </c>
      <c r="PUL11" t="s">
        <v>11387</v>
      </c>
      <c r="PUM11" t="s">
        <v>11388</v>
      </c>
      <c r="PUN11" t="s">
        <v>11389</v>
      </c>
      <c r="PUO11" t="s">
        <v>11390</v>
      </c>
      <c r="PUP11" t="s">
        <v>11391</v>
      </c>
      <c r="PUQ11" t="s">
        <v>11392</v>
      </c>
      <c r="PUR11" t="s">
        <v>11393</v>
      </c>
      <c r="PUS11" t="s">
        <v>11394</v>
      </c>
      <c r="PUT11" t="s">
        <v>11395</v>
      </c>
      <c r="PUU11" t="s">
        <v>11396</v>
      </c>
      <c r="PUV11" t="s">
        <v>11397</v>
      </c>
      <c r="PUW11" t="s">
        <v>11398</v>
      </c>
      <c r="PUX11" t="s">
        <v>11399</v>
      </c>
      <c r="PUY11" t="s">
        <v>11400</v>
      </c>
      <c r="PUZ11" t="s">
        <v>11401</v>
      </c>
      <c r="PVA11" t="s">
        <v>11402</v>
      </c>
      <c r="PVB11" t="s">
        <v>11403</v>
      </c>
      <c r="PVC11" t="s">
        <v>11404</v>
      </c>
      <c r="PVD11" t="s">
        <v>11405</v>
      </c>
      <c r="PVE11" t="s">
        <v>11406</v>
      </c>
      <c r="PVF11" t="s">
        <v>11407</v>
      </c>
      <c r="PVG11" t="s">
        <v>11408</v>
      </c>
      <c r="PVH11" t="s">
        <v>11409</v>
      </c>
      <c r="PVI11" t="s">
        <v>11410</v>
      </c>
      <c r="PVJ11" t="s">
        <v>11411</v>
      </c>
      <c r="PVK11" t="s">
        <v>11412</v>
      </c>
      <c r="PVL11" t="s">
        <v>11413</v>
      </c>
      <c r="PVM11" t="s">
        <v>11414</v>
      </c>
      <c r="PVN11" t="s">
        <v>11415</v>
      </c>
      <c r="PVO11" t="s">
        <v>11416</v>
      </c>
      <c r="PVP11" t="s">
        <v>11417</v>
      </c>
      <c r="PVQ11" t="s">
        <v>11418</v>
      </c>
      <c r="PVR11" t="s">
        <v>11419</v>
      </c>
      <c r="PVS11" t="s">
        <v>11420</v>
      </c>
      <c r="PVT11" t="s">
        <v>11421</v>
      </c>
      <c r="PVU11" t="s">
        <v>11422</v>
      </c>
      <c r="PVV11" t="s">
        <v>11423</v>
      </c>
      <c r="PVW11" t="s">
        <v>11424</v>
      </c>
      <c r="PVX11" t="s">
        <v>11425</v>
      </c>
      <c r="PVY11" t="s">
        <v>11426</v>
      </c>
      <c r="PVZ11" t="s">
        <v>11427</v>
      </c>
      <c r="PWA11" t="s">
        <v>11428</v>
      </c>
      <c r="PWB11" t="s">
        <v>11429</v>
      </c>
      <c r="PWC11" t="s">
        <v>11430</v>
      </c>
      <c r="PWD11" t="s">
        <v>11431</v>
      </c>
      <c r="PWE11" t="s">
        <v>11432</v>
      </c>
      <c r="PWF11" t="s">
        <v>11433</v>
      </c>
      <c r="PWG11" t="s">
        <v>11434</v>
      </c>
      <c r="PWH11" t="s">
        <v>11435</v>
      </c>
      <c r="PWI11" t="s">
        <v>11436</v>
      </c>
      <c r="PWJ11" t="s">
        <v>11437</v>
      </c>
      <c r="PWK11" t="s">
        <v>11438</v>
      </c>
      <c r="PWL11" t="s">
        <v>11439</v>
      </c>
      <c r="PWM11" t="s">
        <v>11440</v>
      </c>
      <c r="PWN11" t="s">
        <v>11441</v>
      </c>
      <c r="PWO11" t="s">
        <v>11442</v>
      </c>
      <c r="PWP11" t="s">
        <v>11443</v>
      </c>
      <c r="PWQ11" t="s">
        <v>11444</v>
      </c>
      <c r="PWR11" t="s">
        <v>11445</v>
      </c>
      <c r="PWS11" t="s">
        <v>11446</v>
      </c>
      <c r="PWT11" t="s">
        <v>11447</v>
      </c>
      <c r="PWU11" t="s">
        <v>11448</v>
      </c>
      <c r="PWV11" t="s">
        <v>11449</v>
      </c>
      <c r="PWW11" t="s">
        <v>11450</v>
      </c>
      <c r="PWX11" t="s">
        <v>11451</v>
      </c>
      <c r="PWY11" t="s">
        <v>11452</v>
      </c>
      <c r="PWZ11" t="s">
        <v>11453</v>
      </c>
      <c r="PXA11" t="s">
        <v>11454</v>
      </c>
      <c r="PXB11" t="s">
        <v>11455</v>
      </c>
      <c r="PXC11" t="s">
        <v>11456</v>
      </c>
      <c r="PXD11" t="s">
        <v>11457</v>
      </c>
      <c r="PXE11" t="s">
        <v>11458</v>
      </c>
      <c r="PXF11" t="s">
        <v>11459</v>
      </c>
      <c r="PXG11" t="s">
        <v>11460</v>
      </c>
      <c r="PXH11" t="s">
        <v>11461</v>
      </c>
      <c r="PXI11" t="s">
        <v>11462</v>
      </c>
      <c r="PXJ11" t="s">
        <v>11463</v>
      </c>
      <c r="PXK11" t="s">
        <v>11464</v>
      </c>
      <c r="PXL11" t="s">
        <v>11465</v>
      </c>
      <c r="PXM11" t="s">
        <v>11466</v>
      </c>
      <c r="PXN11" t="s">
        <v>11467</v>
      </c>
      <c r="PXO11" t="s">
        <v>11468</v>
      </c>
      <c r="PXP11" t="s">
        <v>11469</v>
      </c>
      <c r="PXQ11" t="s">
        <v>11470</v>
      </c>
      <c r="PXR11" t="s">
        <v>11471</v>
      </c>
      <c r="PXS11" t="s">
        <v>11472</v>
      </c>
      <c r="PXT11" t="s">
        <v>11473</v>
      </c>
      <c r="PXU11" t="s">
        <v>11474</v>
      </c>
      <c r="PXV11" t="s">
        <v>11475</v>
      </c>
      <c r="PXW11" t="s">
        <v>11476</v>
      </c>
      <c r="PXX11" t="s">
        <v>11477</v>
      </c>
      <c r="PXY11" t="s">
        <v>11478</v>
      </c>
      <c r="PXZ11" t="s">
        <v>11479</v>
      </c>
      <c r="PYA11" t="s">
        <v>11480</v>
      </c>
      <c r="PYB11" t="s">
        <v>11481</v>
      </c>
      <c r="PYC11" t="s">
        <v>11482</v>
      </c>
      <c r="PYD11" t="s">
        <v>11483</v>
      </c>
      <c r="PYE11" t="s">
        <v>11484</v>
      </c>
      <c r="PYF11" t="s">
        <v>11485</v>
      </c>
      <c r="PYG11" t="s">
        <v>11486</v>
      </c>
      <c r="PYH11" t="s">
        <v>11487</v>
      </c>
      <c r="PYI11" t="s">
        <v>11488</v>
      </c>
      <c r="PYJ11" t="s">
        <v>11489</v>
      </c>
      <c r="PYK11" t="s">
        <v>11490</v>
      </c>
      <c r="PYL11" t="s">
        <v>11491</v>
      </c>
      <c r="PYM11" t="s">
        <v>11492</v>
      </c>
      <c r="PYN11" t="s">
        <v>11493</v>
      </c>
      <c r="PYO11" t="s">
        <v>11494</v>
      </c>
      <c r="PYP11" t="s">
        <v>11495</v>
      </c>
      <c r="PYQ11" t="s">
        <v>11496</v>
      </c>
      <c r="PYR11" t="s">
        <v>11497</v>
      </c>
      <c r="PYS11" t="s">
        <v>11498</v>
      </c>
      <c r="PYT11" t="s">
        <v>11499</v>
      </c>
      <c r="PYU11" t="s">
        <v>11500</v>
      </c>
      <c r="PYV11" t="s">
        <v>11501</v>
      </c>
      <c r="PYW11" t="s">
        <v>11502</v>
      </c>
      <c r="PYX11" t="s">
        <v>11503</v>
      </c>
      <c r="PYY11" t="s">
        <v>11504</v>
      </c>
      <c r="PYZ11" t="s">
        <v>11505</v>
      </c>
      <c r="PZA11" t="s">
        <v>11506</v>
      </c>
      <c r="PZB11" t="s">
        <v>11507</v>
      </c>
      <c r="PZC11" t="s">
        <v>11508</v>
      </c>
      <c r="PZD11" t="s">
        <v>11509</v>
      </c>
      <c r="PZE11" t="s">
        <v>11510</v>
      </c>
      <c r="PZF11" t="s">
        <v>11511</v>
      </c>
      <c r="PZG11" t="s">
        <v>11512</v>
      </c>
      <c r="PZH11" t="s">
        <v>11513</v>
      </c>
      <c r="PZI11" t="s">
        <v>11514</v>
      </c>
      <c r="PZJ11" t="s">
        <v>11515</v>
      </c>
      <c r="PZK11" t="s">
        <v>11516</v>
      </c>
      <c r="PZL11" t="s">
        <v>11517</v>
      </c>
      <c r="PZM11" t="s">
        <v>11518</v>
      </c>
      <c r="PZN11" t="s">
        <v>11519</v>
      </c>
      <c r="PZO11" t="s">
        <v>11520</v>
      </c>
      <c r="PZP11" t="s">
        <v>11521</v>
      </c>
      <c r="PZQ11" t="s">
        <v>11522</v>
      </c>
      <c r="PZR11" t="s">
        <v>11523</v>
      </c>
      <c r="PZS11" t="s">
        <v>11524</v>
      </c>
      <c r="PZT11" t="s">
        <v>11525</v>
      </c>
      <c r="PZU11" t="s">
        <v>11526</v>
      </c>
      <c r="PZV11" t="s">
        <v>11527</v>
      </c>
      <c r="PZW11" t="s">
        <v>11528</v>
      </c>
      <c r="PZX11" t="s">
        <v>11529</v>
      </c>
      <c r="PZY11" t="s">
        <v>11530</v>
      </c>
      <c r="PZZ11" t="s">
        <v>11531</v>
      </c>
      <c r="QAA11" t="s">
        <v>11532</v>
      </c>
      <c r="QAB11" t="s">
        <v>11533</v>
      </c>
      <c r="QAC11" t="s">
        <v>11534</v>
      </c>
      <c r="QAD11" t="s">
        <v>11535</v>
      </c>
      <c r="QAE11" t="s">
        <v>11536</v>
      </c>
      <c r="QAF11" t="s">
        <v>11537</v>
      </c>
      <c r="QAG11" t="s">
        <v>11538</v>
      </c>
      <c r="QAH11" t="s">
        <v>11539</v>
      </c>
      <c r="QAI11" t="s">
        <v>11540</v>
      </c>
      <c r="QAJ11" t="s">
        <v>11541</v>
      </c>
      <c r="QAK11" t="s">
        <v>11542</v>
      </c>
      <c r="QAL11" t="s">
        <v>11543</v>
      </c>
      <c r="QAM11" t="s">
        <v>11544</v>
      </c>
      <c r="QAN11" t="s">
        <v>11545</v>
      </c>
      <c r="QAO11" t="s">
        <v>11546</v>
      </c>
      <c r="QAP11" t="s">
        <v>11547</v>
      </c>
      <c r="QAQ11" t="s">
        <v>11548</v>
      </c>
      <c r="QAR11" t="s">
        <v>11549</v>
      </c>
      <c r="QAS11" t="s">
        <v>11550</v>
      </c>
      <c r="QAT11" t="s">
        <v>11551</v>
      </c>
      <c r="QAU11" t="s">
        <v>11552</v>
      </c>
      <c r="QAV11" t="s">
        <v>11553</v>
      </c>
      <c r="QAW11" t="s">
        <v>11554</v>
      </c>
      <c r="QAX11" t="s">
        <v>11555</v>
      </c>
      <c r="QAY11" t="s">
        <v>11556</v>
      </c>
      <c r="QAZ11" t="s">
        <v>11557</v>
      </c>
      <c r="QBA11" t="s">
        <v>11558</v>
      </c>
      <c r="QBB11" t="s">
        <v>11559</v>
      </c>
      <c r="QBC11" t="s">
        <v>11560</v>
      </c>
      <c r="QBD11" t="s">
        <v>11561</v>
      </c>
      <c r="QBE11" t="s">
        <v>11562</v>
      </c>
      <c r="QBF11" t="s">
        <v>11563</v>
      </c>
      <c r="QBG11" t="s">
        <v>11564</v>
      </c>
      <c r="QBH11" t="s">
        <v>11565</v>
      </c>
      <c r="QBI11" t="s">
        <v>11566</v>
      </c>
      <c r="QBJ11" t="s">
        <v>11567</v>
      </c>
      <c r="QBK11" t="s">
        <v>11568</v>
      </c>
      <c r="QBL11" t="s">
        <v>11569</v>
      </c>
      <c r="QBM11" t="s">
        <v>11570</v>
      </c>
      <c r="QBN11" t="s">
        <v>11571</v>
      </c>
      <c r="QBO11" t="s">
        <v>11572</v>
      </c>
      <c r="QBP11" t="s">
        <v>11573</v>
      </c>
      <c r="QBQ11" t="s">
        <v>11574</v>
      </c>
      <c r="QBR11" t="s">
        <v>11575</v>
      </c>
      <c r="QBS11" t="s">
        <v>11576</v>
      </c>
      <c r="QBT11" t="s">
        <v>11577</v>
      </c>
      <c r="QBU11" t="s">
        <v>11578</v>
      </c>
      <c r="QBV11" t="s">
        <v>11579</v>
      </c>
      <c r="QBW11" t="s">
        <v>11580</v>
      </c>
      <c r="QBX11" t="s">
        <v>11581</v>
      </c>
      <c r="QBY11" t="s">
        <v>11582</v>
      </c>
      <c r="QBZ11" t="s">
        <v>11583</v>
      </c>
      <c r="QCA11" t="s">
        <v>11584</v>
      </c>
      <c r="QCB11" t="s">
        <v>11585</v>
      </c>
      <c r="QCC11" t="s">
        <v>11586</v>
      </c>
      <c r="QCD11" t="s">
        <v>11587</v>
      </c>
      <c r="QCE11" t="s">
        <v>11588</v>
      </c>
      <c r="QCF11" t="s">
        <v>11589</v>
      </c>
      <c r="QCG11" t="s">
        <v>11590</v>
      </c>
      <c r="QCH11" t="s">
        <v>11591</v>
      </c>
      <c r="QCI11" t="s">
        <v>11592</v>
      </c>
      <c r="QCJ11" t="s">
        <v>11593</v>
      </c>
      <c r="QCK11" t="s">
        <v>11594</v>
      </c>
      <c r="QCL11" t="s">
        <v>11595</v>
      </c>
      <c r="QCM11" t="s">
        <v>11596</v>
      </c>
      <c r="QCN11" t="s">
        <v>11597</v>
      </c>
      <c r="QCO11" t="s">
        <v>11598</v>
      </c>
      <c r="QCP11" t="s">
        <v>11599</v>
      </c>
      <c r="QCQ11" t="s">
        <v>11600</v>
      </c>
      <c r="QCR11" t="s">
        <v>11601</v>
      </c>
      <c r="QCS11" t="s">
        <v>11602</v>
      </c>
      <c r="QCT11" t="s">
        <v>11603</v>
      </c>
      <c r="QCU11" t="s">
        <v>11604</v>
      </c>
      <c r="QCV11" t="s">
        <v>11605</v>
      </c>
      <c r="QCW11" t="s">
        <v>11606</v>
      </c>
      <c r="QCX11" t="s">
        <v>11607</v>
      </c>
      <c r="QCY11" t="s">
        <v>11608</v>
      </c>
      <c r="QCZ11" t="s">
        <v>11609</v>
      </c>
      <c r="QDA11" t="s">
        <v>11610</v>
      </c>
      <c r="QDB11" t="s">
        <v>11611</v>
      </c>
      <c r="QDC11" t="s">
        <v>11612</v>
      </c>
      <c r="QDD11" t="s">
        <v>11613</v>
      </c>
      <c r="QDE11" t="s">
        <v>11614</v>
      </c>
      <c r="QDF11" t="s">
        <v>11615</v>
      </c>
      <c r="QDG11" t="s">
        <v>11616</v>
      </c>
      <c r="QDH11" t="s">
        <v>11617</v>
      </c>
      <c r="QDI11" t="s">
        <v>11618</v>
      </c>
      <c r="QDJ11" t="s">
        <v>11619</v>
      </c>
      <c r="QDK11" t="s">
        <v>11620</v>
      </c>
      <c r="QDL11" t="s">
        <v>11621</v>
      </c>
      <c r="QDM11" t="s">
        <v>11622</v>
      </c>
      <c r="QDN11" t="s">
        <v>11623</v>
      </c>
      <c r="QDO11" t="s">
        <v>11624</v>
      </c>
      <c r="QDP11" t="s">
        <v>11625</v>
      </c>
      <c r="QDQ11" t="s">
        <v>11626</v>
      </c>
      <c r="QDR11" t="s">
        <v>11627</v>
      </c>
      <c r="QDS11" t="s">
        <v>11628</v>
      </c>
      <c r="QDT11" t="s">
        <v>11629</v>
      </c>
      <c r="QDU11" t="s">
        <v>11630</v>
      </c>
      <c r="QDV11" t="s">
        <v>11631</v>
      </c>
      <c r="QDW11" t="s">
        <v>11632</v>
      </c>
      <c r="QDX11" t="s">
        <v>11633</v>
      </c>
      <c r="QDY11" t="s">
        <v>11634</v>
      </c>
      <c r="QDZ11" t="s">
        <v>11635</v>
      </c>
      <c r="QEA11" t="s">
        <v>11636</v>
      </c>
      <c r="QEB11" t="s">
        <v>11637</v>
      </c>
      <c r="QEC11" t="s">
        <v>11638</v>
      </c>
      <c r="QED11" t="s">
        <v>11639</v>
      </c>
      <c r="QEE11" t="s">
        <v>11640</v>
      </c>
      <c r="QEF11" t="s">
        <v>11641</v>
      </c>
      <c r="QEG11" t="s">
        <v>11642</v>
      </c>
      <c r="QEH11" t="s">
        <v>11643</v>
      </c>
      <c r="QEI11" t="s">
        <v>11644</v>
      </c>
      <c r="QEJ11" t="s">
        <v>11645</v>
      </c>
      <c r="QEK11" t="s">
        <v>11646</v>
      </c>
      <c r="QEL11" t="s">
        <v>11647</v>
      </c>
      <c r="QEM11" t="s">
        <v>11648</v>
      </c>
      <c r="QEN11" t="s">
        <v>11649</v>
      </c>
      <c r="QEO11" t="s">
        <v>11650</v>
      </c>
      <c r="QEP11" t="s">
        <v>11651</v>
      </c>
      <c r="QEQ11" t="s">
        <v>11652</v>
      </c>
      <c r="QER11" t="s">
        <v>11653</v>
      </c>
      <c r="QES11" t="s">
        <v>11654</v>
      </c>
      <c r="QET11" t="s">
        <v>11655</v>
      </c>
      <c r="QEU11" t="s">
        <v>11656</v>
      </c>
      <c r="QEV11" t="s">
        <v>11657</v>
      </c>
      <c r="QEW11" t="s">
        <v>11658</v>
      </c>
      <c r="QEX11" t="s">
        <v>11659</v>
      </c>
      <c r="QEY11" t="s">
        <v>11660</v>
      </c>
      <c r="QEZ11" t="s">
        <v>11661</v>
      </c>
      <c r="QFA11" t="s">
        <v>11662</v>
      </c>
      <c r="QFB11" t="s">
        <v>11663</v>
      </c>
      <c r="QFC11" t="s">
        <v>11664</v>
      </c>
      <c r="QFD11" t="s">
        <v>11665</v>
      </c>
      <c r="QFE11" t="s">
        <v>11666</v>
      </c>
      <c r="QFF11" t="s">
        <v>11667</v>
      </c>
      <c r="QFG11" t="s">
        <v>11668</v>
      </c>
      <c r="QFH11" t="s">
        <v>11669</v>
      </c>
      <c r="QFI11" t="s">
        <v>11670</v>
      </c>
      <c r="QFJ11" t="s">
        <v>11671</v>
      </c>
      <c r="QFK11" t="s">
        <v>11672</v>
      </c>
      <c r="QFL11" t="s">
        <v>11673</v>
      </c>
      <c r="QFM11" t="s">
        <v>11674</v>
      </c>
      <c r="QFN11" t="s">
        <v>11675</v>
      </c>
      <c r="QFO11" t="s">
        <v>11676</v>
      </c>
      <c r="QFP11" t="s">
        <v>11677</v>
      </c>
      <c r="QFQ11" t="s">
        <v>11678</v>
      </c>
      <c r="QFR11" t="s">
        <v>11679</v>
      </c>
      <c r="QFS11" t="s">
        <v>11680</v>
      </c>
      <c r="QFT11" t="s">
        <v>11681</v>
      </c>
      <c r="QFU11" t="s">
        <v>11682</v>
      </c>
      <c r="QFV11" t="s">
        <v>11683</v>
      </c>
      <c r="QFW11" t="s">
        <v>11684</v>
      </c>
      <c r="QFX11" t="s">
        <v>11685</v>
      </c>
      <c r="QFY11" t="s">
        <v>11686</v>
      </c>
      <c r="QFZ11" t="s">
        <v>11687</v>
      </c>
      <c r="QGA11" t="s">
        <v>11688</v>
      </c>
      <c r="QGB11" t="s">
        <v>11689</v>
      </c>
      <c r="QGC11" t="s">
        <v>11690</v>
      </c>
      <c r="QGD11" t="s">
        <v>11691</v>
      </c>
      <c r="QGE11" t="s">
        <v>11692</v>
      </c>
      <c r="QGF11" t="s">
        <v>11693</v>
      </c>
      <c r="QGG11" t="s">
        <v>11694</v>
      </c>
      <c r="QGH11" t="s">
        <v>11695</v>
      </c>
      <c r="QGI11" t="s">
        <v>11696</v>
      </c>
      <c r="QGJ11" t="s">
        <v>11697</v>
      </c>
      <c r="QGK11" t="s">
        <v>11698</v>
      </c>
      <c r="QGL11" t="s">
        <v>11699</v>
      </c>
      <c r="QGM11" t="s">
        <v>11700</v>
      </c>
      <c r="QGN11" t="s">
        <v>11701</v>
      </c>
      <c r="QGO11" t="s">
        <v>11702</v>
      </c>
      <c r="QGP11" t="s">
        <v>11703</v>
      </c>
      <c r="QGQ11" t="s">
        <v>11704</v>
      </c>
      <c r="QGR11" t="s">
        <v>11705</v>
      </c>
      <c r="QGS11" t="s">
        <v>11706</v>
      </c>
      <c r="QGT11" t="s">
        <v>11707</v>
      </c>
      <c r="QGU11" t="s">
        <v>11708</v>
      </c>
      <c r="QGV11" t="s">
        <v>11709</v>
      </c>
      <c r="QGW11" t="s">
        <v>11710</v>
      </c>
      <c r="QGX11" t="s">
        <v>11711</v>
      </c>
      <c r="QGY11" t="s">
        <v>11712</v>
      </c>
      <c r="QGZ11" t="s">
        <v>11713</v>
      </c>
      <c r="QHA11" t="s">
        <v>11714</v>
      </c>
      <c r="QHB11" t="s">
        <v>11715</v>
      </c>
      <c r="QHC11" t="s">
        <v>11716</v>
      </c>
      <c r="QHD11" t="s">
        <v>11717</v>
      </c>
      <c r="QHE11" t="s">
        <v>11718</v>
      </c>
      <c r="QHF11" t="s">
        <v>11719</v>
      </c>
      <c r="QHG11" t="s">
        <v>11720</v>
      </c>
      <c r="QHH11" t="s">
        <v>11721</v>
      </c>
      <c r="QHI11" t="s">
        <v>11722</v>
      </c>
      <c r="QHJ11" t="s">
        <v>11723</v>
      </c>
      <c r="QHK11" t="s">
        <v>11724</v>
      </c>
      <c r="QHL11" t="s">
        <v>11725</v>
      </c>
      <c r="QHM11" t="s">
        <v>11726</v>
      </c>
      <c r="QHN11" t="s">
        <v>11727</v>
      </c>
      <c r="QHO11" t="s">
        <v>11728</v>
      </c>
      <c r="QHP11" t="s">
        <v>11729</v>
      </c>
      <c r="QHQ11" t="s">
        <v>11730</v>
      </c>
      <c r="QHR11" t="s">
        <v>11731</v>
      </c>
      <c r="QHS11" t="s">
        <v>11732</v>
      </c>
      <c r="QHT11" t="s">
        <v>11733</v>
      </c>
      <c r="QHU11" t="s">
        <v>11734</v>
      </c>
      <c r="QHV11" t="s">
        <v>11735</v>
      </c>
      <c r="QHW11" t="s">
        <v>11736</v>
      </c>
      <c r="QHX11" t="s">
        <v>11737</v>
      </c>
      <c r="QHY11" t="s">
        <v>11738</v>
      </c>
      <c r="QHZ11" t="s">
        <v>11739</v>
      </c>
      <c r="QIA11" t="s">
        <v>11740</v>
      </c>
      <c r="QIB11" t="s">
        <v>11741</v>
      </c>
      <c r="QIC11" t="s">
        <v>11742</v>
      </c>
      <c r="QID11" t="s">
        <v>11743</v>
      </c>
      <c r="QIE11" t="s">
        <v>11744</v>
      </c>
      <c r="QIF11" t="s">
        <v>11745</v>
      </c>
      <c r="QIG11" t="s">
        <v>11746</v>
      </c>
      <c r="QIH11" t="s">
        <v>11747</v>
      </c>
      <c r="QII11" t="s">
        <v>11748</v>
      </c>
      <c r="QIJ11" t="s">
        <v>11749</v>
      </c>
      <c r="QIK11" t="s">
        <v>11750</v>
      </c>
      <c r="QIL11" t="s">
        <v>11751</v>
      </c>
      <c r="QIM11" t="s">
        <v>11752</v>
      </c>
      <c r="QIN11" t="s">
        <v>11753</v>
      </c>
      <c r="QIO11" t="s">
        <v>11754</v>
      </c>
      <c r="QIP11" t="s">
        <v>11755</v>
      </c>
      <c r="QIQ11" t="s">
        <v>11756</v>
      </c>
      <c r="QIR11" t="s">
        <v>11757</v>
      </c>
      <c r="QIS11" t="s">
        <v>11758</v>
      </c>
      <c r="QIT11" t="s">
        <v>11759</v>
      </c>
      <c r="QIU11" t="s">
        <v>11760</v>
      </c>
      <c r="QIV11" t="s">
        <v>11761</v>
      </c>
      <c r="QIW11" t="s">
        <v>11762</v>
      </c>
      <c r="QIX11" t="s">
        <v>11763</v>
      </c>
      <c r="QIY11" t="s">
        <v>11764</v>
      </c>
      <c r="QIZ11" t="s">
        <v>11765</v>
      </c>
      <c r="QJA11" t="s">
        <v>11766</v>
      </c>
      <c r="QJB11" t="s">
        <v>11767</v>
      </c>
      <c r="QJC11" t="s">
        <v>11768</v>
      </c>
      <c r="QJD11" t="s">
        <v>11769</v>
      </c>
      <c r="QJE11" t="s">
        <v>11770</v>
      </c>
      <c r="QJF11" t="s">
        <v>11771</v>
      </c>
      <c r="QJG11" t="s">
        <v>11772</v>
      </c>
      <c r="QJH11" t="s">
        <v>11773</v>
      </c>
      <c r="QJI11" t="s">
        <v>11774</v>
      </c>
      <c r="QJJ11" t="s">
        <v>11775</v>
      </c>
      <c r="QJK11" t="s">
        <v>11776</v>
      </c>
      <c r="QJL11" t="s">
        <v>11777</v>
      </c>
      <c r="QJM11" t="s">
        <v>11778</v>
      </c>
      <c r="QJN11" t="s">
        <v>11779</v>
      </c>
      <c r="QJO11" t="s">
        <v>11780</v>
      </c>
      <c r="QJP11" t="s">
        <v>11781</v>
      </c>
      <c r="QJQ11" t="s">
        <v>11782</v>
      </c>
      <c r="QJR11" t="s">
        <v>11783</v>
      </c>
      <c r="QJS11" t="s">
        <v>11784</v>
      </c>
      <c r="QJT11" t="s">
        <v>11785</v>
      </c>
      <c r="QJU11" t="s">
        <v>11786</v>
      </c>
      <c r="QJV11" t="s">
        <v>11787</v>
      </c>
      <c r="QJW11" t="s">
        <v>11788</v>
      </c>
      <c r="QJX11" t="s">
        <v>11789</v>
      </c>
      <c r="QJY11" t="s">
        <v>11790</v>
      </c>
      <c r="QJZ11" t="s">
        <v>11791</v>
      </c>
      <c r="QKA11" t="s">
        <v>11792</v>
      </c>
      <c r="QKB11" t="s">
        <v>11793</v>
      </c>
      <c r="QKC11" t="s">
        <v>11794</v>
      </c>
      <c r="QKD11" t="s">
        <v>11795</v>
      </c>
      <c r="QKE11" t="s">
        <v>11796</v>
      </c>
      <c r="QKF11" t="s">
        <v>11797</v>
      </c>
      <c r="QKG11" t="s">
        <v>11798</v>
      </c>
      <c r="QKH11" t="s">
        <v>11799</v>
      </c>
      <c r="QKI11" t="s">
        <v>11800</v>
      </c>
      <c r="QKJ11" t="s">
        <v>11801</v>
      </c>
      <c r="QKK11" t="s">
        <v>11802</v>
      </c>
      <c r="QKL11" t="s">
        <v>11803</v>
      </c>
      <c r="QKM11" t="s">
        <v>11804</v>
      </c>
      <c r="QKN11" t="s">
        <v>11805</v>
      </c>
      <c r="QKO11" t="s">
        <v>11806</v>
      </c>
      <c r="QKP11" t="s">
        <v>11807</v>
      </c>
      <c r="QKQ11" t="s">
        <v>11808</v>
      </c>
      <c r="QKR11" t="s">
        <v>11809</v>
      </c>
      <c r="QKS11" t="s">
        <v>11810</v>
      </c>
      <c r="QKT11" t="s">
        <v>11811</v>
      </c>
      <c r="QKU11" t="s">
        <v>11812</v>
      </c>
      <c r="QKV11" t="s">
        <v>11813</v>
      </c>
      <c r="QKW11" t="s">
        <v>11814</v>
      </c>
      <c r="QKX11" t="s">
        <v>11815</v>
      </c>
      <c r="QKY11" t="s">
        <v>11816</v>
      </c>
      <c r="QKZ11" t="s">
        <v>11817</v>
      </c>
      <c r="QLA11" t="s">
        <v>11818</v>
      </c>
      <c r="QLB11" t="s">
        <v>11819</v>
      </c>
      <c r="QLC11" t="s">
        <v>11820</v>
      </c>
      <c r="QLD11" t="s">
        <v>11821</v>
      </c>
      <c r="QLE11" t="s">
        <v>11822</v>
      </c>
      <c r="QLF11" t="s">
        <v>11823</v>
      </c>
      <c r="QLG11" t="s">
        <v>11824</v>
      </c>
      <c r="QLH11" t="s">
        <v>11825</v>
      </c>
      <c r="QLI11" t="s">
        <v>11826</v>
      </c>
      <c r="QLJ11" t="s">
        <v>11827</v>
      </c>
      <c r="QLK11" t="s">
        <v>11828</v>
      </c>
      <c r="QLL11" t="s">
        <v>11829</v>
      </c>
      <c r="QLM11" t="s">
        <v>11830</v>
      </c>
      <c r="QLN11" t="s">
        <v>11831</v>
      </c>
      <c r="QLO11" t="s">
        <v>11832</v>
      </c>
      <c r="QLP11" t="s">
        <v>11833</v>
      </c>
      <c r="QLQ11" t="s">
        <v>11834</v>
      </c>
      <c r="QLR11" t="s">
        <v>11835</v>
      </c>
      <c r="QLS11" t="s">
        <v>11836</v>
      </c>
      <c r="QLT11" t="s">
        <v>11837</v>
      </c>
      <c r="QLU11" t="s">
        <v>11838</v>
      </c>
      <c r="QLV11" t="s">
        <v>11839</v>
      </c>
      <c r="QLW11" t="s">
        <v>11840</v>
      </c>
      <c r="QLX11" t="s">
        <v>11841</v>
      </c>
      <c r="QLY11" t="s">
        <v>11842</v>
      </c>
      <c r="QLZ11" t="s">
        <v>11843</v>
      </c>
      <c r="QMA11" t="s">
        <v>11844</v>
      </c>
      <c r="QMB11" t="s">
        <v>11845</v>
      </c>
      <c r="QMC11" t="s">
        <v>11846</v>
      </c>
      <c r="QMD11" t="s">
        <v>11847</v>
      </c>
      <c r="QME11" t="s">
        <v>11848</v>
      </c>
      <c r="QMF11" t="s">
        <v>11849</v>
      </c>
      <c r="QMG11" t="s">
        <v>11850</v>
      </c>
      <c r="QMH11" t="s">
        <v>11851</v>
      </c>
      <c r="QMI11" t="s">
        <v>11852</v>
      </c>
      <c r="QMJ11" t="s">
        <v>11853</v>
      </c>
      <c r="QMK11" t="s">
        <v>11854</v>
      </c>
      <c r="QML11" t="s">
        <v>11855</v>
      </c>
      <c r="QMM11" t="s">
        <v>11856</v>
      </c>
      <c r="QMN11" t="s">
        <v>11857</v>
      </c>
      <c r="QMO11" t="s">
        <v>11858</v>
      </c>
      <c r="QMP11" t="s">
        <v>11859</v>
      </c>
      <c r="QMQ11" t="s">
        <v>11860</v>
      </c>
      <c r="QMR11" t="s">
        <v>11861</v>
      </c>
      <c r="QMS11" t="s">
        <v>11862</v>
      </c>
      <c r="QMT11" t="s">
        <v>11863</v>
      </c>
      <c r="QMU11" t="s">
        <v>11864</v>
      </c>
      <c r="QMV11" t="s">
        <v>11865</v>
      </c>
      <c r="QMW11" t="s">
        <v>11866</v>
      </c>
      <c r="QMX11" t="s">
        <v>11867</v>
      </c>
      <c r="QMY11" t="s">
        <v>11868</v>
      </c>
      <c r="QMZ11" t="s">
        <v>11869</v>
      </c>
      <c r="QNA11" t="s">
        <v>11870</v>
      </c>
      <c r="QNB11" t="s">
        <v>11871</v>
      </c>
      <c r="QNC11" t="s">
        <v>11872</v>
      </c>
      <c r="QND11" t="s">
        <v>11873</v>
      </c>
      <c r="QNE11" t="s">
        <v>11874</v>
      </c>
      <c r="QNF11" t="s">
        <v>11875</v>
      </c>
      <c r="QNG11" t="s">
        <v>11876</v>
      </c>
      <c r="QNH11" t="s">
        <v>11877</v>
      </c>
      <c r="QNI11" t="s">
        <v>11878</v>
      </c>
      <c r="QNJ11" t="s">
        <v>11879</v>
      </c>
      <c r="QNK11" t="s">
        <v>11880</v>
      </c>
      <c r="QNL11" t="s">
        <v>11881</v>
      </c>
      <c r="QNM11" t="s">
        <v>11882</v>
      </c>
      <c r="QNN11" t="s">
        <v>11883</v>
      </c>
      <c r="QNO11" t="s">
        <v>11884</v>
      </c>
      <c r="QNP11" t="s">
        <v>11885</v>
      </c>
      <c r="QNQ11" t="s">
        <v>11886</v>
      </c>
      <c r="QNR11" t="s">
        <v>11887</v>
      </c>
      <c r="QNS11" t="s">
        <v>11888</v>
      </c>
      <c r="QNT11" t="s">
        <v>11889</v>
      </c>
      <c r="QNU11" t="s">
        <v>11890</v>
      </c>
      <c r="QNV11" t="s">
        <v>11891</v>
      </c>
      <c r="QNW11" t="s">
        <v>11892</v>
      </c>
      <c r="QNX11" t="s">
        <v>11893</v>
      </c>
      <c r="QNY11" t="s">
        <v>11894</v>
      </c>
      <c r="QNZ11" t="s">
        <v>11895</v>
      </c>
      <c r="QOA11" t="s">
        <v>11896</v>
      </c>
      <c r="QOB11" t="s">
        <v>11897</v>
      </c>
      <c r="QOC11" t="s">
        <v>11898</v>
      </c>
      <c r="QOD11" t="s">
        <v>11899</v>
      </c>
      <c r="QOE11" t="s">
        <v>11900</v>
      </c>
      <c r="QOF11" t="s">
        <v>11901</v>
      </c>
      <c r="QOG11" t="s">
        <v>11902</v>
      </c>
      <c r="QOH11" t="s">
        <v>11903</v>
      </c>
      <c r="QOI11" t="s">
        <v>11904</v>
      </c>
      <c r="QOJ11" t="s">
        <v>11905</v>
      </c>
      <c r="QOK11" t="s">
        <v>11906</v>
      </c>
      <c r="QOL11" t="s">
        <v>11907</v>
      </c>
      <c r="QOM11" t="s">
        <v>11908</v>
      </c>
      <c r="QON11" t="s">
        <v>11909</v>
      </c>
      <c r="QOO11" t="s">
        <v>11910</v>
      </c>
      <c r="QOP11" t="s">
        <v>11911</v>
      </c>
      <c r="QOQ11" t="s">
        <v>11912</v>
      </c>
      <c r="QOR11" t="s">
        <v>11913</v>
      </c>
      <c r="QOS11" t="s">
        <v>11914</v>
      </c>
      <c r="QOT11" t="s">
        <v>11915</v>
      </c>
      <c r="QOU11" t="s">
        <v>11916</v>
      </c>
      <c r="QOV11" t="s">
        <v>11917</v>
      </c>
      <c r="QOW11" t="s">
        <v>11918</v>
      </c>
      <c r="QOX11" t="s">
        <v>11919</v>
      </c>
      <c r="QOY11" t="s">
        <v>11920</v>
      </c>
      <c r="QOZ11" t="s">
        <v>11921</v>
      </c>
      <c r="QPA11" t="s">
        <v>11922</v>
      </c>
      <c r="QPB11" t="s">
        <v>11923</v>
      </c>
      <c r="QPC11" t="s">
        <v>11924</v>
      </c>
      <c r="QPD11" t="s">
        <v>11925</v>
      </c>
      <c r="QPE11" t="s">
        <v>11926</v>
      </c>
      <c r="QPF11" t="s">
        <v>11927</v>
      </c>
      <c r="QPG11" t="s">
        <v>11928</v>
      </c>
      <c r="QPH11" t="s">
        <v>11929</v>
      </c>
      <c r="QPI11" t="s">
        <v>11930</v>
      </c>
      <c r="QPJ11" t="s">
        <v>11931</v>
      </c>
      <c r="QPK11" t="s">
        <v>11932</v>
      </c>
      <c r="QPL11" t="s">
        <v>11933</v>
      </c>
      <c r="QPM11" t="s">
        <v>11934</v>
      </c>
      <c r="QPN11" t="s">
        <v>11935</v>
      </c>
      <c r="QPO11" t="s">
        <v>11936</v>
      </c>
      <c r="QPP11" t="s">
        <v>11937</v>
      </c>
      <c r="QPQ11" t="s">
        <v>11938</v>
      </c>
      <c r="QPR11" t="s">
        <v>11939</v>
      </c>
      <c r="QPS11" t="s">
        <v>11940</v>
      </c>
      <c r="QPT11" t="s">
        <v>11941</v>
      </c>
      <c r="QPU11" t="s">
        <v>11942</v>
      </c>
      <c r="QPV11" t="s">
        <v>11943</v>
      </c>
      <c r="QPW11" t="s">
        <v>11944</v>
      </c>
      <c r="QPX11" t="s">
        <v>11945</v>
      </c>
      <c r="QPY11" t="s">
        <v>11946</v>
      </c>
      <c r="QPZ11" t="s">
        <v>11947</v>
      </c>
      <c r="QQA11" t="s">
        <v>11948</v>
      </c>
      <c r="QQB11" t="s">
        <v>11949</v>
      </c>
      <c r="QQC11" t="s">
        <v>11950</v>
      </c>
      <c r="QQD11" t="s">
        <v>11951</v>
      </c>
      <c r="QQE11" t="s">
        <v>11952</v>
      </c>
      <c r="QQF11" t="s">
        <v>11953</v>
      </c>
      <c r="QQG11" t="s">
        <v>11954</v>
      </c>
      <c r="QQH11" t="s">
        <v>11955</v>
      </c>
      <c r="QQI11" t="s">
        <v>11956</v>
      </c>
      <c r="QQJ11" t="s">
        <v>11957</v>
      </c>
      <c r="QQK11" t="s">
        <v>11958</v>
      </c>
      <c r="QQL11" t="s">
        <v>11959</v>
      </c>
      <c r="QQM11" t="s">
        <v>11960</v>
      </c>
      <c r="QQN11" t="s">
        <v>11961</v>
      </c>
      <c r="QQO11" t="s">
        <v>11962</v>
      </c>
      <c r="QQP11" t="s">
        <v>11963</v>
      </c>
      <c r="QQQ11" t="s">
        <v>11964</v>
      </c>
      <c r="QQR11" t="s">
        <v>11965</v>
      </c>
      <c r="QQS11" t="s">
        <v>11966</v>
      </c>
      <c r="QQT11" t="s">
        <v>11967</v>
      </c>
      <c r="QQU11" t="s">
        <v>11968</v>
      </c>
      <c r="QQV11" t="s">
        <v>11969</v>
      </c>
      <c r="QQW11" t="s">
        <v>11970</v>
      </c>
      <c r="QQX11" t="s">
        <v>11971</v>
      </c>
      <c r="QQY11" t="s">
        <v>11972</v>
      </c>
      <c r="QQZ11" t="s">
        <v>11973</v>
      </c>
      <c r="QRA11" t="s">
        <v>11974</v>
      </c>
      <c r="QRB11" t="s">
        <v>11975</v>
      </c>
      <c r="QRC11" t="s">
        <v>11976</v>
      </c>
      <c r="QRD11" t="s">
        <v>11977</v>
      </c>
      <c r="QRE11" t="s">
        <v>11978</v>
      </c>
      <c r="QRF11" t="s">
        <v>11979</v>
      </c>
      <c r="QRG11" t="s">
        <v>11980</v>
      </c>
      <c r="QRH11" t="s">
        <v>11981</v>
      </c>
      <c r="QRI11" t="s">
        <v>11982</v>
      </c>
      <c r="QRJ11" t="s">
        <v>11983</v>
      </c>
      <c r="QRK11" t="s">
        <v>11984</v>
      </c>
      <c r="QRL11" t="s">
        <v>11985</v>
      </c>
      <c r="QRM11" t="s">
        <v>11986</v>
      </c>
      <c r="QRN11" t="s">
        <v>11987</v>
      </c>
      <c r="QRO11" t="s">
        <v>11988</v>
      </c>
      <c r="QRP11" t="s">
        <v>11989</v>
      </c>
      <c r="QRQ11" t="s">
        <v>11990</v>
      </c>
      <c r="QRR11" t="s">
        <v>11991</v>
      </c>
      <c r="QRS11" t="s">
        <v>11992</v>
      </c>
      <c r="QRT11" t="s">
        <v>11993</v>
      </c>
      <c r="QRU11" t="s">
        <v>11994</v>
      </c>
      <c r="QRV11" t="s">
        <v>11995</v>
      </c>
      <c r="QRW11" t="s">
        <v>11996</v>
      </c>
      <c r="QRX11" t="s">
        <v>11997</v>
      </c>
      <c r="QRY11" t="s">
        <v>11998</v>
      </c>
      <c r="QRZ11" t="s">
        <v>11999</v>
      </c>
      <c r="QSA11" t="s">
        <v>12000</v>
      </c>
      <c r="QSB11" t="s">
        <v>12001</v>
      </c>
      <c r="QSC11" t="s">
        <v>12002</v>
      </c>
      <c r="QSD11" t="s">
        <v>12003</v>
      </c>
      <c r="QSE11" t="s">
        <v>12004</v>
      </c>
      <c r="QSF11" t="s">
        <v>12005</v>
      </c>
      <c r="QSG11" t="s">
        <v>12006</v>
      </c>
      <c r="QSH11" t="s">
        <v>12007</v>
      </c>
      <c r="QSI11" t="s">
        <v>12008</v>
      </c>
      <c r="QSJ11" t="s">
        <v>12009</v>
      </c>
      <c r="QSK11" t="s">
        <v>12010</v>
      </c>
      <c r="QSL11" t="s">
        <v>12011</v>
      </c>
      <c r="QSM11" t="s">
        <v>12012</v>
      </c>
      <c r="QSN11" t="s">
        <v>12013</v>
      </c>
      <c r="QSO11" t="s">
        <v>12014</v>
      </c>
      <c r="QSP11" t="s">
        <v>12015</v>
      </c>
      <c r="QSQ11" t="s">
        <v>12016</v>
      </c>
      <c r="QSR11" t="s">
        <v>12017</v>
      </c>
      <c r="QSS11" t="s">
        <v>12018</v>
      </c>
      <c r="QST11" t="s">
        <v>12019</v>
      </c>
      <c r="QSU11" t="s">
        <v>12020</v>
      </c>
      <c r="QSV11" t="s">
        <v>12021</v>
      </c>
      <c r="QSW11" t="s">
        <v>12022</v>
      </c>
      <c r="QSX11" t="s">
        <v>12023</v>
      </c>
      <c r="QSY11" t="s">
        <v>12024</v>
      </c>
      <c r="QSZ11" t="s">
        <v>12025</v>
      </c>
      <c r="QTA11" t="s">
        <v>12026</v>
      </c>
      <c r="QTB11" t="s">
        <v>12027</v>
      </c>
      <c r="QTC11" t="s">
        <v>12028</v>
      </c>
      <c r="QTD11" t="s">
        <v>12029</v>
      </c>
      <c r="QTE11" t="s">
        <v>12030</v>
      </c>
      <c r="QTF11" t="s">
        <v>12031</v>
      </c>
      <c r="QTG11" t="s">
        <v>12032</v>
      </c>
      <c r="QTH11" t="s">
        <v>12033</v>
      </c>
      <c r="QTI11" t="s">
        <v>12034</v>
      </c>
      <c r="QTJ11" t="s">
        <v>12035</v>
      </c>
      <c r="QTK11" t="s">
        <v>12036</v>
      </c>
      <c r="QTL11" t="s">
        <v>12037</v>
      </c>
      <c r="QTM11" t="s">
        <v>12038</v>
      </c>
      <c r="QTN11" t="s">
        <v>12039</v>
      </c>
      <c r="QTO11" t="s">
        <v>12040</v>
      </c>
      <c r="QTP11" t="s">
        <v>12041</v>
      </c>
      <c r="QTQ11" t="s">
        <v>12042</v>
      </c>
      <c r="QTR11" t="s">
        <v>12043</v>
      </c>
      <c r="QTS11" t="s">
        <v>12044</v>
      </c>
      <c r="QTT11" t="s">
        <v>12045</v>
      </c>
      <c r="QTU11" t="s">
        <v>12046</v>
      </c>
      <c r="QTV11" t="s">
        <v>12047</v>
      </c>
      <c r="QTW11" t="s">
        <v>12048</v>
      </c>
      <c r="QTX11" t="s">
        <v>12049</v>
      </c>
      <c r="QTY11" t="s">
        <v>12050</v>
      </c>
      <c r="QTZ11" t="s">
        <v>12051</v>
      </c>
      <c r="QUA11" t="s">
        <v>12052</v>
      </c>
      <c r="QUB11" t="s">
        <v>12053</v>
      </c>
      <c r="QUC11" t="s">
        <v>12054</v>
      </c>
      <c r="QUD11" t="s">
        <v>12055</v>
      </c>
      <c r="QUE11" t="s">
        <v>12056</v>
      </c>
      <c r="QUF11" t="s">
        <v>12057</v>
      </c>
      <c r="QUG11" t="s">
        <v>12058</v>
      </c>
      <c r="QUH11" t="s">
        <v>12059</v>
      </c>
      <c r="QUI11" t="s">
        <v>12060</v>
      </c>
      <c r="QUJ11" t="s">
        <v>12061</v>
      </c>
      <c r="QUK11" t="s">
        <v>12062</v>
      </c>
      <c r="QUL11" t="s">
        <v>12063</v>
      </c>
      <c r="QUM11" t="s">
        <v>12064</v>
      </c>
      <c r="QUN11" t="s">
        <v>12065</v>
      </c>
      <c r="QUO11" t="s">
        <v>12066</v>
      </c>
      <c r="QUP11" t="s">
        <v>12067</v>
      </c>
      <c r="QUQ11" t="s">
        <v>12068</v>
      </c>
      <c r="QUR11" t="s">
        <v>12069</v>
      </c>
      <c r="QUS11" t="s">
        <v>12070</v>
      </c>
      <c r="QUT11" t="s">
        <v>12071</v>
      </c>
      <c r="QUU11" t="s">
        <v>12072</v>
      </c>
      <c r="QUV11" t="s">
        <v>12073</v>
      </c>
      <c r="QUW11" t="s">
        <v>12074</v>
      </c>
      <c r="QUX11" t="s">
        <v>12075</v>
      </c>
      <c r="QUY11" t="s">
        <v>12076</v>
      </c>
      <c r="QUZ11" t="s">
        <v>12077</v>
      </c>
      <c r="QVA11" t="s">
        <v>12078</v>
      </c>
      <c r="QVB11" t="s">
        <v>12079</v>
      </c>
      <c r="QVC11" t="s">
        <v>12080</v>
      </c>
      <c r="QVD11" t="s">
        <v>12081</v>
      </c>
      <c r="QVE11" t="s">
        <v>12082</v>
      </c>
      <c r="QVF11" t="s">
        <v>12083</v>
      </c>
      <c r="QVG11" t="s">
        <v>12084</v>
      </c>
      <c r="QVH11" t="s">
        <v>12085</v>
      </c>
      <c r="QVI11" t="s">
        <v>12086</v>
      </c>
      <c r="QVJ11" t="s">
        <v>12087</v>
      </c>
      <c r="QVK11" t="s">
        <v>12088</v>
      </c>
      <c r="QVL11" t="s">
        <v>12089</v>
      </c>
      <c r="QVM11" t="s">
        <v>12090</v>
      </c>
      <c r="QVN11" t="s">
        <v>12091</v>
      </c>
      <c r="QVO11" t="s">
        <v>12092</v>
      </c>
      <c r="QVP11" t="s">
        <v>12093</v>
      </c>
      <c r="QVQ11" t="s">
        <v>12094</v>
      </c>
      <c r="QVR11" t="s">
        <v>12095</v>
      </c>
      <c r="QVS11" t="s">
        <v>12096</v>
      </c>
      <c r="QVT11" t="s">
        <v>12097</v>
      </c>
      <c r="QVU11" t="s">
        <v>12098</v>
      </c>
      <c r="QVV11" t="s">
        <v>12099</v>
      </c>
      <c r="QVW11" t="s">
        <v>12100</v>
      </c>
      <c r="QVX11" t="s">
        <v>12101</v>
      </c>
      <c r="QVY11" t="s">
        <v>12102</v>
      </c>
      <c r="QVZ11" t="s">
        <v>12103</v>
      </c>
      <c r="QWA11" t="s">
        <v>12104</v>
      </c>
      <c r="QWB11" t="s">
        <v>12105</v>
      </c>
      <c r="QWC11" t="s">
        <v>12106</v>
      </c>
      <c r="QWD11" t="s">
        <v>12107</v>
      </c>
      <c r="QWE11" t="s">
        <v>12108</v>
      </c>
      <c r="QWF11" t="s">
        <v>12109</v>
      </c>
      <c r="QWG11" t="s">
        <v>12110</v>
      </c>
      <c r="QWH11" t="s">
        <v>12111</v>
      </c>
      <c r="QWI11" t="s">
        <v>12112</v>
      </c>
      <c r="QWJ11" t="s">
        <v>12113</v>
      </c>
      <c r="QWK11" t="s">
        <v>12114</v>
      </c>
      <c r="QWL11" t="s">
        <v>12115</v>
      </c>
      <c r="QWM11" t="s">
        <v>12116</v>
      </c>
      <c r="QWN11" t="s">
        <v>12117</v>
      </c>
      <c r="QWO11" t="s">
        <v>12118</v>
      </c>
      <c r="QWP11" t="s">
        <v>12119</v>
      </c>
      <c r="QWQ11" t="s">
        <v>12120</v>
      </c>
      <c r="QWR11" t="s">
        <v>12121</v>
      </c>
      <c r="QWS11" t="s">
        <v>12122</v>
      </c>
      <c r="QWT11" t="s">
        <v>12123</v>
      </c>
      <c r="QWU11" t="s">
        <v>12124</v>
      </c>
      <c r="QWV11" t="s">
        <v>12125</v>
      </c>
      <c r="QWW11" t="s">
        <v>12126</v>
      </c>
      <c r="QWX11" t="s">
        <v>12127</v>
      </c>
      <c r="QWY11" t="s">
        <v>12128</v>
      </c>
      <c r="QWZ11" t="s">
        <v>12129</v>
      </c>
      <c r="QXA11" t="s">
        <v>12130</v>
      </c>
      <c r="QXB11" t="s">
        <v>12131</v>
      </c>
      <c r="QXC11" t="s">
        <v>12132</v>
      </c>
      <c r="QXD11" t="s">
        <v>12133</v>
      </c>
      <c r="QXE11" t="s">
        <v>12134</v>
      </c>
      <c r="QXF11" t="s">
        <v>12135</v>
      </c>
      <c r="QXG11" t="s">
        <v>12136</v>
      </c>
      <c r="QXH11" t="s">
        <v>12137</v>
      </c>
      <c r="QXI11" t="s">
        <v>12138</v>
      </c>
      <c r="QXJ11" t="s">
        <v>12139</v>
      </c>
      <c r="QXK11" t="s">
        <v>12140</v>
      </c>
      <c r="QXL11" t="s">
        <v>12141</v>
      </c>
      <c r="QXM11" t="s">
        <v>12142</v>
      </c>
      <c r="QXN11" t="s">
        <v>12143</v>
      </c>
      <c r="QXO11" t="s">
        <v>12144</v>
      </c>
      <c r="QXP11" t="s">
        <v>12145</v>
      </c>
      <c r="QXQ11" t="s">
        <v>12146</v>
      </c>
      <c r="QXR11" t="s">
        <v>12147</v>
      </c>
      <c r="QXS11" t="s">
        <v>12148</v>
      </c>
      <c r="QXT11" t="s">
        <v>12149</v>
      </c>
      <c r="QXU11" t="s">
        <v>12150</v>
      </c>
      <c r="QXV11" t="s">
        <v>12151</v>
      </c>
      <c r="QXW11" t="s">
        <v>12152</v>
      </c>
      <c r="QXX11" t="s">
        <v>12153</v>
      </c>
      <c r="QXY11" t="s">
        <v>12154</v>
      </c>
      <c r="QXZ11" t="s">
        <v>12155</v>
      </c>
      <c r="QYA11" t="s">
        <v>12156</v>
      </c>
      <c r="QYB11" t="s">
        <v>12157</v>
      </c>
      <c r="QYC11" t="s">
        <v>12158</v>
      </c>
      <c r="QYD11" t="s">
        <v>12159</v>
      </c>
      <c r="QYE11" t="s">
        <v>12160</v>
      </c>
      <c r="QYF11" t="s">
        <v>12161</v>
      </c>
      <c r="QYG11" t="s">
        <v>12162</v>
      </c>
      <c r="QYH11" t="s">
        <v>12163</v>
      </c>
      <c r="QYI11" t="s">
        <v>12164</v>
      </c>
      <c r="QYJ11" t="s">
        <v>12165</v>
      </c>
      <c r="QYK11" t="s">
        <v>12166</v>
      </c>
      <c r="QYL11" t="s">
        <v>12167</v>
      </c>
      <c r="QYM11" t="s">
        <v>12168</v>
      </c>
      <c r="QYN11" t="s">
        <v>12169</v>
      </c>
      <c r="QYO11" t="s">
        <v>12170</v>
      </c>
      <c r="QYP11" t="s">
        <v>12171</v>
      </c>
      <c r="QYQ11" t="s">
        <v>12172</v>
      </c>
      <c r="QYR11" t="s">
        <v>12173</v>
      </c>
      <c r="QYS11" t="s">
        <v>12174</v>
      </c>
      <c r="QYT11" t="s">
        <v>12175</v>
      </c>
      <c r="QYU11" t="s">
        <v>12176</v>
      </c>
      <c r="QYV11" t="s">
        <v>12177</v>
      </c>
      <c r="QYW11" t="s">
        <v>12178</v>
      </c>
      <c r="QYX11" t="s">
        <v>12179</v>
      </c>
      <c r="QYY11" t="s">
        <v>12180</v>
      </c>
      <c r="QYZ11" t="s">
        <v>12181</v>
      </c>
      <c r="QZA11" t="s">
        <v>12182</v>
      </c>
      <c r="QZB11" t="s">
        <v>12183</v>
      </c>
      <c r="QZC11" t="s">
        <v>12184</v>
      </c>
      <c r="QZD11" t="s">
        <v>12185</v>
      </c>
      <c r="QZE11" t="s">
        <v>12186</v>
      </c>
      <c r="QZF11" t="s">
        <v>12187</v>
      </c>
      <c r="QZG11" t="s">
        <v>12188</v>
      </c>
      <c r="QZH11" t="s">
        <v>12189</v>
      </c>
      <c r="QZI11" t="s">
        <v>12190</v>
      </c>
      <c r="QZJ11" t="s">
        <v>12191</v>
      </c>
      <c r="QZK11" t="s">
        <v>12192</v>
      </c>
      <c r="QZL11" t="s">
        <v>12193</v>
      </c>
      <c r="QZM11" t="s">
        <v>12194</v>
      </c>
      <c r="QZN11" t="s">
        <v>12195</v>
      </c>
      <c r="QZO11" t="s">
        <v>12196</v>
      </c>
      <c r="QZP11" t="s">
        <v>12197</v>
      </c>
      <c r="QZQ11" t="s">
        <v>12198</v>
      </c>
      <c r="QZR11" t="s">
        <v>12199</v>
      </c>
      <c r="QZS11" t="s">
        <v>12200</v>
      </c>
      <c r="QZT11" t="s">
        <v>12201</v>
      </c>
      <c r="QZU11" t="s">
        <v>12202</v>
      </c>
      <c r="QZV11" t="s">
        <v>12203</v>
      </c>
      <c r="QZW11" t="s">
        <v>12204</v>
      </c>
      <c r="QZX11" t="s">
        <v>12205</v>
      </c>
      <c r="QZY11" t="s">
        <v>12206</v>
      </c>
      <c r="QZZ11" t="s">
        <v>12207</v>
      </c>
      <c r="RAA11" t="s">
        <v>12208</v>
      </c>
      <c r="RAB11" t="s">
        <v>12209</v>
      </c>
      <c r="RAC11" t="s">
        <v>12210</v>
      </c>
      <c r="RAD11" t="s">
        <v>12211</v>
      </c>
      <c r="RAE11" t="s">
        <v>12212</v>
      </c>
      <c r="RAF11" t="s">
        <v>12213</v>
      </c>
      <c r="RAG11" t="s">
        <v>12214</v>
      </c>
      <c r="RAH11" t="s">
        <v>12215</v>
      </c>
      <c r="RAI11" t="s">
        <v>12216</v>
      </c>
      <c r="RAJ11" t="s">
        <v>12217</v>
      </c>
      <c r="RAK11" t="s">
        <v>12218</v>
      </c>
      <c r="RAL11" t="s">
        <v>12219</v>
      </c>
      <c r="RAM11" t="s">
        <v>12220</v>
      </c>
      <c r="RAN11" t="s">
        <v>12221</v>
      </c>
      <c r="RAO11" t="s">
        <v>12222</v>
      </c>
      <c r="RAP11" t="s">
        <v>12223</v>
      </c>
      <c r="RAQ11" t="s">
        <v>12224</v>
      </c>
      <c r="RAR11" t="s">
        <v>12225</v>
      </c>
      <c r="RAS11" t="s">
        <v>12226</v>
      </c>
      <c r="RAT11" t="s">
        <v>12227</v>
      </c>
      <c r="RAU11" t="s">
        <v>12228</v>
      </c>
      <c r="RAV11" t="s">
        <v>12229</v>
      </c>
      <c r="RAW11" t="s">
        <v>12230</v>
      </c>
      <c r="RAX11" t="s">
        <v>12231</v>
      </c>
      <c r="RAY11" t="s">
        <v>12232</v>
      </c>
      <c r="RAZ11" t="s">
        <v>12233</v>
      </c>
      <c r="RBA11" t="s">
        <v>12234</v>
      </c>
      <c r="RBB11" t="s">
        <v>12235</v>
      </c>
      <c r="RBC11" t="s">
        <v>12236</v>
      </c>
      <c r="RBD11" t="s">
        <v>12237</v>
      </c>
      <c r="RBE11" t="s">
        <v>12238</v>
      </c>
      <c r="RBF11" t="s">
        <v>12239</v>
      </c>
      <c r="RBG11" t="s">
        <v>12240</v>
      </c>
      <c r="RBH11" t="s">
        <v>12241</v>
      </c>
      <c r="RBI11" t="s">
        <v>12242</v>
      </c>
      <c r="RBJ11" t="s">
        <v>12243</v>
      </c>
      <c r="RBK11" t="s">
        <v>12244</v>
      </c>
      <c r="RBL11" t="s">
        <v>12245</v>
      </c>
      <c r="RBM11" t="s">
        <v>12246</v>
      </c>
      <c r="RBN11" t="s">
        <v>12247</v>
      </c>
      <c r="RBO11" t="s">
        <v>12248</v>
      </c>
      <c r="RBP11" t="s">
        <v>12249</v>
      </c>
      <c r="RBQ11" t="s">
        <v>12250</v>
      </c>
      <c r="RBR11" t="s">
        <v>12251</v>
      </c>
      <c r="RBS11" t="s">
        <v>12252</v>
      </c>
      <c r="RBT11" t="s">
        <v>12253</v>
      </c>
      <c r="RBU11" t="s">
        <v>12254</v>
      </c>
      <c r="RBV11" t="s">
        <v>12255</v>
      </c>
      <c r="RBW11" t="s">
        <v>12256</v>
      </c>
      <c r="RBX11" t="s">
        <v>12257</v>
      </c>
      <c r="RBY11" t="s">
        <v>12258</v>
      </c>
      <c r="RBZ11" t="s">
        <v>12259</v>
      </c>
      <c r="RCA11" t="s">
        <v>12260</v>
      </c>
      <c r="RCB11" t="s">
        <v>12261</v>
      </c>
      <c r="RCC11" t="s">
        <v>12262</v>
      </c>
      <c r="RCD11" t="s">
        <v>12263</v>
      </c>
      <c r="RCE11" t="s">
        <v>12264</v>
      </c>
      <c r="RCF11" t="s">
        <v>12265</v>
      </c>
      <c r="RCG11" t="s">
        <v>12266</v>
      </c>
      <c r="RCH11" t="s">
        <v>12267</v>
      </c>
      <c r="RCI11" t="s">
        <v>12268</v>
      </c>
      <c r="RCJ11" t="s">
        <v>12269</v>
      </c>
      <c r="RCK11" t="s">
        <v>12270</v>
      </c>
      <c r="RCL11" t="s">
        <v>12271</v>
      </c>
      <c r="RCM11" t="s">
        <v>12272</v>
      </c>
      <c r="RCN11" t="s">
        <v>12273</v>
      </c>
      <c r="RCO11" t="s">
        <v>12274</v>
      </c>
      <c r="RCP11" t="s">
        <v>12275</v>
      </c>
      <c r="RCQ11" t="s">
        <v>12276</v>
      </c>
      <c r="RCR11" t="s">
        <v>12277</v>
      </c>
      <c r="RCS11" t="s">
        <v>12278</v>
      </c>
      <c r="RCT11" t="s">
        <v>12279</v>
      </c>
      <c r="RCU11" t="s">
        <v>12280</v>
      </c>
      <c r="RCV11" t="s">
        <v>12281</v>
      </c>
      <c r="RCW11" t="s">
        <v>12282</v>
      </c>
      <c r="RCX11" t="s">
        <v>12283</v>
      </c>
      <c r="RCY11" t="s">
        <v>12284</v>
      </c>
      <c r="RCZ11" t="s">
        <v>12285</v>
      </c>
      <c r="RDA11" t="s">
        <v>12286</v>
      </c>
      <c r="RDB11" t="s">
        <v>12287</v>
      </c>
      <c r="RDC11" t="s">
        <v>12288</v>
      </c>
      <c r="RDD11" t="s">
        <v>12289</v>
      </c>
      <c r="RDE11" t="s">
        <v>12290</v>
      </c>
      <c r="RDF11" t="s">
        <v>12291</v>
      </c>
      <c r="RDG11" t="s">
        <v>12292</v>
      </c>
      <c r="RDH11" t="s">
        <v>12293</v>
      </c>
      <c r="RDI11" t="s">
        <v>12294</v>
      </c>
      <c r="RDJ11" t="s">
        <v>12295</v>
      </c>
      <c r="RDK11" t="s">
        <v>12296</v>
      </c>
      <c r="RDL11" t="s">
        <v>12297</v>
      </c>
      <c r="RDM11" t="s">
        <v>12298</v>
      </c>
      <c r="RDN11" t="s">
        <v>12299</v>
      </c>
      <c r="RDO11" t="s">
        <v>12300</v>
      </c>
      <c r="RDP11" t="s">
        <v>12301</v>
      </c>
      <c r="RDQ11" t="s">
        <v>12302</v>
      </c>
      <c r="RDR11" t="s">
        <v>12303</v>
      </c>
      <c r="RDS11" t="s">
        <v>12304</v>
      </c>
      <c r="RDT11" t="s">
        <v>12305</v>
      </c>
      <c r="RDU11" t="s">
        <v>12306</v>
      </c>
      <c r="RDV11" t="s">
        <v>12307</v>
      </c>
      <c r="RDW11" t="s">
        <v>12308</v>
      </c>
      <c r="RDX11" t="s">
        <v>12309</v>
      </c>
      <c r="RDY11" t="s">
        <v>12310</v>
      </c>
      <c r="RDZ11" t="s">
        <v>12311</v>
      </c>
      <c r="REA11" t="s">
        <v>12312</v>
      </c>
      <c r="REB11" t="s">
        <v>12313</v>
      </c>
      <c r="REC11" t="s">
        <v>12314</v>
      </c>
      <c r="RED11" t="s">
        <v>12315</v>
      </c>
      <c r="REE11" t="s">
        <v>12316</v>
      </c>
      <c r="REF11" t="s">
        <v>12317</v>
      </c>
      <c r="REG11" t="s">
        <v>12318</v>
      </c>
      <c r="REH11" t="s">
        <v>12319</v>
      </c>
      <c r="REI11" t="s">
        <v>12320</v>
      </c>
      <c r="REJ11" t="s">
        <v>12321</v>
      </c>
      <c r="REK11" t="s">
        <v>12322</v>
      </c>
      <c r="REL11" t="s">
        <v>12323</v>
      </c>
      <c r="REM11" t="s">
        <v>12324</v>
      </c>
      <c r="REN11" t="s">
        <v>12325</v>
      </c>
      <c r="REO11" t="s">
        <v>12326</v>
      </c>
      <c r="REP11" t="s">
        <v>12327</v>
      </c>
      <c r="REQ11" t="s">
        <v>12328</v>
      </c>
      <c r="RER11" t="s">
        <v>12329</v>
      </c>
      <c r="RES11" t="s">
        <v>12330</v>
      </c>
      <c r="RET11" t="s">
        <v>12331</v>
      </c>
      <c r="REU11" t="s">
        <v>12332</v>
      </c>
      <c r="REV11" t="s">
        <v>12333</v>
      </c>
      <c r="REW11" t="s">
        <v>12334</v>
      </c>
      <c r="REX11" t="s">
        <v>12335</v>
      </c>
      <c r="REY11" t="s">
        <v>12336</v>
      </c>
      <c r="REZ11" t="s">
        <v>12337</v>
      </c>
      <c r="RFA11" t="s">
        <v>12338</v>
      </c>
      <c r="RFB11" t="s">
        <v>12339</v>
      </c>
      <c r="RFC11" t="s">
        <v>12340</v>
      </c>
      <c r="RFD11" t="s">
        <v>12341</v>
      </c>
      <c r="RFE11" t="s">
        <v>12342</v>
      </c>
      <c r="RFF11" t="s">
        <v>12343</v>
      </c>
      <c r="RFG11" t="s">
        <v>12344</v>
      </c>
      <c r="RFH11" t="s">
        <v>12345</v>
      </c>
      <c r="RFI11" t="s">
        <v>12346</v>
      </c>
      <c r="RFJ11" t="s">
        <v>12347</v>
      </c>
      <c r="RFK11" t="s">
        <v>12348</v>
      </c>
      <c r="RFL11" t="s">
        <v>12349</v>
      </c>
      <c r="RFM11" t="s">
        <v>12350</v>
      </c>
      <c r="RFN11" t="s">
        <v>12351</v>
      </c>
      <c r="RFO11" t="s">
        <v>12352</v>
      </c>
      <c r="RFP11" t="s">
        <v>12353</v>
      </c>
      <c r="RFQ11" t="s">
        <v>12354</v>
      </c>
      <c r="RFR11" t="s">
        <v>12355</v>
      </c>
      <c r="RFS11" t="s">
        <v>12356</v>
      </c>
      <c r="RFT11" t="s">
        <v>12357</v>
      </c>
      <c r="RFU11" t="s">
        <v>12358</v>
      </c>
      <c r="RFV11" t="s">
        <v>12359</v>
      </c>
      <c r="RFW11" t="s">
        <v>12360</v>
      </c>
      <c r="RFX11" t="s">
        <v>12361</v>
      </c>
      <c r="RFY11" t="s">
        <v>12362</v>
      </c>
      <c r="RFZ11" t="s">
        <v>12363</v>
      </c>
      <c r="RGA11" t="s">
        <v>12364</v>
      </c>
      <c r="RGB11" t="s">
        <v>12365</v>
      </c>
      <c r="RGC11" t="s">
        <v>12366</v>
      </c>
      <c r="RGD11" t="s">
        <v>12367</v>
      </c>
      <c r="RGE11" t="s">
        <v>12368</v>
      </c>
      <c r="RGF11" t="s">
        <v>12369</v>
      </c>
      <c r="RGG11" t="s">
        <v>12370</v>
      </c>
      <c r="RGH11" t="s">
        <v>12371</v>
      </c>
      <c r="RGI11" t="s">
        <v>12372</v>
      </c>
      <c r="RGJ11" t="s">
        <v>12373</v>
      </c>
      <c r="RGK11" t="s">
        <v>12374</v>
      </c>
      <c r="RGL11" t="s">
        <v>12375</v>
      </c>
      <c r="RGM11" t="s">
        <v>12376</v>
      </c>
      <c r="RGN11" t="s">
        <v>12377</v>
      </c>
      <c r="RGO11" t="s">
        <v>12378</v>
      </c>
      <c r="RGP11" t="s">
        <v>12379</v>
      </c>
      <c r="RGQ11" t="s">
        <v>12380</v>
      </c>
      <c r="RGR11" t="s">
        <v>12381</v>
      </c>
      <c r="RGS11" t="s">
        <v>12382</v>
      </c>
      <c r="RGT11" t="s">
        <v>12383</v>
      </c>
      <c r="RGU11" t="s">
        <v>12384</v>
      </c>
      <c r="RGV11" t="s">
        <v>12385</v>
      </c>
      <c r="RGW11" t="s">
        <v>12386</v>
      </c>
      <c r="RGX11" t="s">
        <v>12387</v>
      </c>
      <c r="RGY11" t="s">
        <v>12388</v>
      </c>
      <c r="RGZ11" t="s">
        <v>12389</v>
      </c>
      <c r="RHA11" t="s">
        <v>12390</v>
      </c>
      <c r="RHB11" t="s">
        <v>12391</v>
      </c>
      <c r="RHC11" t="s">
        <v>12392</v>
      </c>
      <c r="RHD11" t="s">
        <v>12393</v>
      </c>
      <c r="RHE11" t="s">
        <v>12394</v>
      </c>
      <c r="RHF11" t="s">
        <v>12395</v>
      </c>
      <c r="RHG11" t="s">
        <v>12396</v>
      </c>
      <c r="RHH11" t="s">
        <v>12397</v>
      </c>
      <c r="RHI11" t="s">
        <v>12398</v>
      </c>
      <c r="RHJ11" t="s">
        <v>12399</v>
      </c>
      <c r="RHK11" t="s">
        <v>12400</v>
      </c>
      <c r="RHL11" t="s">
        <v>12401</v>
      </c>
      <c r="RHM11" t="s">
        <v>12402</v>
      </c>
      <c r="RHN11" t="s">
        <v>12403</v>
      </c>
      <c r="RHO11" t="s">
        <v>12404</v>
      </c>
      <c r="RHP11" t="s">
        <v>12405</v>
      </c>
      <c r="RHQ11" t="s">
        <v>12406</v>
      </c>
      <c r="RHR11" t="s">
        <v>12407</v>
      </c>
      <c r="RHS11" t="s">
        <v>12408</v>
      </c>
      <c r="RHT11" t="s">
        <v>12409</v>
      </c>
      <c r="RHU11" t="s">
        <v>12410</v>
      </c>
      <c r="RHV11" t="s">
        <v>12411</v>
      </c>
      <c r="RHW11" t="s">
        <v>12412</v>
      </c>
      <c r="RHX11" t="s">
        <v>12413</v>
      </c>
      <c r="RHY11" t="s">
        <v>12414</v>
      </c>
      <c r="RHZ11" t="s">
        <v>12415</v>
      </c>
      <c r="RIA11" t="s">
        <v>12416</v>
      </c>
      <c r="RIB11" t="s">
        <v>12417</v>
      </c>
      <c r="RIC11" t="s">
        <v>12418</v>
      </c>
      <c r="RID11" t="s">
        <v>12419</v>
      </c>
      <c r="RIE11" t="s">
        <v>12420</v>
      </c>
      <c r="RIF11" t="s">
        <v>12421</v>
      </c>
      <c r="RIG11" t="s">
        <v>12422</v>
      </c>
      <c r="RIH11" t="s">
        <v>12423</v>
      </c>
      <c r="RII11" t="s">
        <v>12424</v>
      </c>
      <c r="RIJ11" t="s">
        <v>12425</v>
      </c>
      <c r="RIK11" t="s">
        <v>12426</v>
      </c>
      <c r="RIL11" t="s">
        <v>12427</v>
      </c>
      <c r="RIM11" t="s">
        <v>12428</v>
      </c>
      <c r="RIN11" t="s">
        <v>12429</v>
      </c>
      <c r="RIO11" t="s">
        <v>12430</v>
      </c>
      <c r="RIP11" t="s">
        <v>12431</v>
      </c>
      <c r="RIQ11" t="s">
        <v>12432</v>
      </c>
      <c r="RIR11" t="s">
        <v>12433</v>
      </c>
      <c r="RIS11" t="s">
        <v>12434</v>
      </c>
      <c r="RIT11" t="s">
        <v>12435</v>
      </c>
      <c r="RIU11" t="s">
        <v>12436</v>
      </c>
      <c r="RIV11" t="s">
        <v>12437</v>
      </c>
      <c r="RIW11" t="s">
        <v>12438</v>
      </c>
      <c r="RIX11" t="s">
        <v>12439</v>
      </c>
      <c r="RIY11" t="s">
        <v>12440</v>
      </c>
      <c r="RIZ11" t="s">
        <v>12441</v>
      </c>
      <c r="RJA11" t="s">
        <v>12442</v>
      </c>
      <c r="RJB11" t="s">
        <v>12443</v>
      </c>
      <c r="RJC11" t="s">
        <v>12444</v>
      </c>
      <c r="RJD11" t="s">
        <v>12445</v>
      </c>
      <c r="RJE11" t="s">
        <v>12446</v>
      </c>
      <c r="RJF11" t="s">
        <v>12447</v>
      </c>
      <c r="RJG11" t="s">
        <v>12448</v>
      </c>
      <c r="RJH11" t="s">
        <v>12449</v>
      </c>
      <c r="RJI11" t="s">
        <v>12450</v>
      </c>
      <c r="RJJ11" t="s">
        <v>12451</v>
      </c>
      <c r="RJK11" t="s">
        <v>12452</v>
      </c>
      <c r="RJL11" t="s">
        <v>12453</v>
      </c>
      <c r="RJM11" t="s">
        <v>12454</v>
      </c>
      <c r="RJN11" t="s">
        <v>12455</v>
      </c>
      <c r="RJO11" t="s">
        <v>12456</v>
      </c>
      <c r="RJP11" t="s">
        <v>12457</v>
      </c>
      <c r="RJQ11" t="s">
        <v>12458</v>
      </c>
      <c r="RJR11" t="s">
        <v>12459</v>
      </c>
      <c r="RJS11" t="s">
        <v>12460</v>
      </c>
      <c r="RJT11" t="s">
        <v>12461</v>
      </c>
      <c r="RJU11" t="s">
        <v>12462</v>
      </c>
      <c r="RJV11" t="s">
        <v>12463</v>
      </c>
      <c r="RJW11" t="s">
        <v>12464</v>
      </c>
      <c r="RJX11" t="s">
        <v>12465</v>
      </c>
      <c r="RJY11" t="s">
        <v>12466</v>
      </c>
      <c r="RJZ11" t="s">
        <v>12467</v>
      </c>
      <c r="RKA11" t="s">
        <v>12468</v>
      </c>
      <c r="RKB11" t="s">
        <v>12469</v>
      </c>
      <c r="RKC11" t="s">
        <v>12470</v>
      </c>
      <c r="RKD11" t="s">
        <v>12471</v>
      </c>
      <c r="RKE11" t="s">
        <v>12472</v>
      </c>
      <c r="RKF11" t="s">
        <v>12473</v>
      </c>
      <c r="RKG11" t="s">
        <v>12474</v>
      </c>
      <c r="RKH11" t="s">
        <v>12475</v>
      </c>
      <c r="RKI11" t="s">
        <v>12476</v>
      </c>
      <c r="RKJ11" t="s">
        <v>12477</v>
      </c>
      <c r="RKK11" t="s">
        <v>12478</v>
      </c>
      <c r="RKL11" t="s">
        <v>12479</v>
      </c>
      <c r="RKM11" t="s">
        <v>12480</v>
      </c>
      <c r="RKN11" t="s">
        <v>12481</v>
      </c>
      <c r="RKO11" t="s">
        <v>12482</v>
      </c>
      <c r="RKP11" t="s">
        <v>12483</v>
      </c>
      <c r="RKQ11" t="s">
        <v>12484</v>
      </c>
      <c r="RKR11" t="s">
        <v>12485</v>
      </c>
      <c r="RKS11" t="s">
        <v>12486</v>
      </c>
      <c r="RKT11" t="s">
        <v>12487</v>
      </c>
      <c r="RKU11" t="s">
        <v>12488</v>
      </c>
      <c r="RKV11" t="s">
        <v>12489</v>
      </c>
      <c r="RKW11" t="s">
        <v>12490</v>
      </c>
      <c r="RKX11" t="s">
        <v>12491</v>
      </c>
      <c r="RKY11" t="s">
        <v>12492</v>
      </c>
      <c r="RKZ11" t="s">
        <v>12493</v>
      </c>
      <c r="RLA11" t="s">
        <v>12494</v>
      </c>
      <c r="RLB11" t="s">
        <v>12495</v>
      </c>
      <c r="RLC11" t="s">
        <v>12496</v>
      </c>
      <c r="RLD11" t="s">
        <v>12497</v>
      </c>
      <c r="RLE11" t="s">
        <v>12498</v>
      </c>
      <c r="RLF11" t="s">
        <v>12499</v>
      </c>
      <c r="RLG11" t="s">
        <v>12500</v>
      </c>
      <c r="RLH11" t="s">
        <v>12501</v>
      </c>
      <c r="RLI11" t="s">
        <v>12502</v>
      </c>
      <c r="RLJ11" t="s">
        <v>12503</v>
      </c>
      <c r="RLK11" t="s">
        <v>12504</v>
      </c>
      <c r="RLL11" t="s">
        <v>12505</v>
      </c>
      <c r="RLM11" t="s">
        <v>12506</v>
      </c>
      <c r="RLN11" t="s">
        <v>12507</v>
      </c>
      <c r="RLO11" t="s">
        <v>12508</v>
      </c>
      <c r="RLP11" t="s">
        <v>12509</v>
      </c>
      <c r="RLQ11" t="s">
        <v>12510</v>
      </c>
      <c r="RLR11" t="s">
        <v>12511</v>
      </c>
      <c r="RLS11" t="s">
        <v>12512</v>
      </c>
      <c r="RLT11" t="s">
        <v>12513</v>
      </c>
      <c r="RLU11" t="s">
        <v>12514</v>
      </c>
      <c r="RLV11" t="s">
        <v>12515</v>
      </c>
      <c r="RLW11" t="s">
        <v>12516</v>
      </c>
      <c r="RLX11" t="s">
        <v>12517</v>
      </c>
      <c r="RLY11" t="s">
        <v>12518</v>
      </c>
      <c r="RLZ11" t="s">
        <v>12519</v>
      </c>
      <c r="RMA11" t="s">
        <v>12520</v>
      </c>
      <c r="RMB11" t="s">
        <v>12521</v>
      </c>
      <c r="RMC11" t="s">
        <v>12522</v>
      </c>
      <c r="RMD11" t="s">
        <v>12523</v>
      </c>
      <c r="RME11" t="s">
        <v>12524</v>
      </c>
      <c r="RMF11" t="s">
        <v>12525</v>
      </c>
      <c r="RMG11" t="s">
        <v>12526</v>
      </c>
      <c r="RMH11" t="s">
        <v>12527</v>
      </c>
      <c r="RMI11" t="s">
        <v>12528</v>
      </c>
      <c r="RMJ11" t="s">
        <v>12529</v>
      </c>
      <c r="RMK11" t="s">
        <v>12530</v>
      </c>
      <c r="RML11" t="s">
        <v>12531</v>
      </c>
      <c r="RMM11" t="s">
        <v>12532</v>
      </c>
      <c r="RMN11" t="s">
        <v>12533</v>
      </c>
      <c r="RMO11" t="s">
        <v>12534</v>
      </c>
      <c r="RMP11" t="s">
        <v>12535</v>
      </c>
      <c r="RMQ11" t="s">
        <v>12536</v>
      </c>
      <c r="RMR11" t="s">
        <v>12537</v>
      </c>
      <c r="RMS11" t="s">
        <v>12538</v>
      </c>
      <c r="RMT11" t="s">
        <v>12539</v>
      </c>
      <c r="RMU11" t="s">
        <v>12540</v>
      </c>
      <c r="RMV11" t="s">
        <v>12541</v>
      </c>
      <c r="RMW11" t="s">
        <v>12542</v>
      </c>
      <c r="RMX11" t="s">
        <v>12543</v>
      </c>
      <c r="RMY11" t="s">
        <v>12544</v>
      </c>
      <c r="RMZ11" t="s">
        <v>12545</v>
      </c>
      <c r="RNA11" t="s">
        <v>12546</v>
      </c>
      <c r="RNB11" t="s">
        <v>12547</v>
      </c>
      <c r="RNC11" t="s">
        <v>12548</v>
      </c>
      <c r="RND11" t="s">
        <v>12549</v>
      </c>
      <c r="RNE11" t="s">
        <v>12550</v>
      </c>
      <c r="RNF11" t="s">
        <v>12551</v>
      </c>
      <c r="RNG11" t="s">
        <v>12552</v>
      </c>
      <c r="RNH11" t="s">
        <v>12553</v>
      </c>
      <c r="RNI11" t="s">
        <v>12554</v>
      </c>
      <c r="RNJ11" t="s">
        <v>12555</v>
      </c>
      <c r="RNK11" t="s">
        <v>12556</v>
      </c>
      <c r="RNL11" t="s">
        <v>12557</v>
      </c>
      <c r="RNM11" t="s">
        <v>12558</v>
      </c>
      <c r="RNN11" t="s">
        <v>12559</v>
      </c>
      <c r="RNO11" t="s">
        <v>12560</v>
      </c>
      <c r="RNP11" t="s">
        <v>12561</v>
      </c>
      <c r="RNQ11" t="s">
        <v>12562</v>
      </c>
      <c r="RNR11" t="s">
        <v>12563</v>
      </c>
      <c r="RNS11" t="s">
        <v>12564</v>
      </c>
      <c r="RNT11" t="s">
        <v>12565</v>
      </c>
      <c r="RNU11" t="s">
        <v>12566</v>
      </c>
      <c r="RNV11" t="s">
        <v>12567</v>
      </c>
      <c r="RNW11" t="s">
        <v>12568</v>
      </c>
      <c r="RNX11" t="s">
        <v>12569</v>
      </c>
      <c r="RNY11" t="s">
        <v>12570</v>
      </c>
      <c r="RNZ11" t="s">
        <v>12571</v>
      </c>
      <c r="ROA11" t="s">
        <v>12572</v>
      </c>
      <c r="ROB11" t="s">
        <v>12573</v>
      </c>
      <c r="ROC11" t="s">
        <v>12574</v>
      </c>
      <c r="ROD11" t="s">
        <v>12575</v>
      </c>
      <c r="ROE11" t="s">
        <v>12576</v>
      </c>
      <c r="ROF11" t="s">
        <v>12577</v>
      </c>
      <c r="ROG11" t="s">
        <v>12578</v>
      </c>
      <c r="ROH11" t="s">
        <v>12579</v>
      </c>
      <c r="ROI11" t="s">
        <v>12580</v>
      </c>
      <c r="ROJ11" t="s">
        <v>12581</v>
      </c>
      <c r="ROK11" t="s">
        <v>12582</v>
      </c>
      <c r="ROL11" t="s">
        <v>12583</v>
      </c>
      <c r="ROM11" t="s">
        <v>12584</v>
      </c>
      <c r="RON11" t="s">
        <v>12585</v>
      </c>
      <c r="ROO11" t="s">
        <v>12586</v>
      </c>
      <c r="ROP11" t="s">
        <v>12587</v>
      </c>
      <c r="ROQ11" t="s">
        <v>12588</v>
      </c>
      <c r="ROR11" t="s">
        <v>12589</v>
      </c>
      <c r="ROS11" t="s">
        <v>12590</v>
      </c>
      <c r="ROT11" t="s">
        <v>12591</v>
      </c>
      <c r="ROU11" t="s">
        <v>12592</v>
      </c>
      <c r="ROV11" t="s">
        <v>12593</v>
      </c>
      <c r="ROW11" t="s">
        <v>12594</v>
      </c>
      <c r="ROX11" t="s">
        <v>12595</v>
      </c>
      <c r="ROY11" t="s">
        <v>12596</v>
      </c>
      <c r="ROZ11" t="s">
        <v>12597</v>
      </c>
      <c r="RPA11" t="s">
        <v>12598</v>
      </c>
      <c r="RPB11" t="s">
        <v>12599</v>
      </c>
      <c r="RPC11" t="s">
        <v>12600</v>
      </c>
      <c r="RPD11" t="s">
        <v>12601</v>
      </c>
      <c r="RPE11" t="s">
        <v>12602</v>
      </c>
      <c r="RPF11" t="s">
        <v>12603</v>
      </c>
      <c r="RPG11" t="s">
        <v>12604</v>
      </c>
      <c r="RPH11" t="s">
        <v>12605</v>
      </c>
      <c r="RPI11" t="s">
        <v>12606</v>
      </c>
      <c r="RPJ11" t="s">
        <v>12607</v>
      </c>
      <c r="RPK11" t="s">
        <v>12608</v>
      </c>
      <c r="RPL11" t="s">
        <v>12609</v>
      </c>
      <c r="RPM11" t="s">
        <v>12610</v>
      </c>
      <c r="RPN11" t="s">
        <v>12611</v>
      </c>
      <c r="RPO11" t="s">
        <v>12612</v>
      </c>
      <c r="RPP11" t="s">
        <v>12613</v>
      </c>
      <c r="RPQ11" t="s">
        <v>12614</v>
      </c>
      <c r="RPR11" t="s">
        <v>12615</v>
      </c>
      <c r="RPS11" t="s">
        <v>12616</v>
      </c>
      <c r="RPT11" t="s">
        <v>12617</v>
      </c>
      <c r="RPU11" t="s">
        <v>12618</v>
      </c>
      <c r="RPV11" t="s">
        <v>12619</v>
      </c>
      <c r="RPW11" t="s">
        <v>12620</v>
      </c>
      <c r="RPX11" t="s">
        <v>12621</v>
      </c>
      <c r="RPY11" t="s">
        <v>12622</v>
      </c>
      <c r="RPZ11" t="s">
        <v>12623</v>
      </c>
      <c r="RQA11" t="s">
        <v>12624</v>
      </c>
      <c r="RQB11" t="s">
        <v>12625</v>
      </c>
      <c r="RQC11" t="s">
        <v>12626</v>
      </c>
      <c r="RQD11" t="s">
        <v>12627</v>
      </c>
      <c r="RQE11" t="s">
        <v>12628</v>
      </c>
      <c r="RQF11" t="s">
        <v>12629</v>
      </c>
      <c r="RQG11" t="s">
        <v>12630</v>
      </c>
      <c r="RQH11" t="s">
        <v>12631</v>
      </c>
      <c r="RQI11" t="s">
        <v>12632</v>
      </c>
      <c r="RQJ11" t="s">
        <v>12633</v>
      </c>
      <c r="RQK11" t="s">
        <v>12634</v>
      </c>
      <c r="RQL11" t="s">
        <v>12635</v>
      </c>
      <c r="RQM11" t="s">
        <v>12636</v>
      </c>
      <c r="RQN11" t="s">
        <v>12637</v>
      </c>
      <c r="RQO11" t="s">
        <v>12638</v>
      </c>
      <c r="RQP11" t="s">
        <v>12639</v>
      </c>
      <c r="RQQ11" t="s">
        <v>12640</v>
      </c>
      <c r="RQR11" t="s">
        <v>12641</v>
      </c>
      <c r="RQS11" t="s">
        <v>12642</v>
      </c>
      <c r="RQT11" t="s">
        <v>12643</v>
      </c>
      <c r="RQU11" t="s">
        <v>12644</v>
      </c>
      <c r="RQV11" t="s">
        <v>12645</v>
      </c>
      <c r="RQW11" t="s">
        <v>12646</v>
      </c>
      <c r="RQX11" t="s">
        <v>12647</v>
      </c>
      <c r="RQY11" t="s">
        <v>12648</v>
      </c>
      <c r="RQZ11" t="s">
        <v>12649</v>
      </c>
      <c r="RRA11" t="s">
        <v>12650</v>
      </c>
      <c r="RRB11" t="s">
        <v>12651</v>
      </c>
      <c r="RRC11" t="s">
        <v>12652</v>
      </c>
      <c r="RRD11" t="s">
        <v>12653</v>
      </c>
      <c r="RRE11" t="s">
        <v>12654</v>
      </c>
      <c r="RRF11" t="s">
        <v>12655</v>
      </c>
      <c r="RRG11" t="s">
        <v>12656</v>
      </c>
      <c r="RRH11" t="s">
        <v>12657</v>
      </c>
      <c r="RRI11" t="s">
        <v>12658</v>
      </c>
      <c r="RRJ11" t="s">
        <v>12659</v>
      </c>
      <c r="RRK11" t="s">
        <v>12660</v>
      </c>
      <c r="RRL11" t="s">
        <v>12661</v>
      </c>
      <c r="RRM11" t="s">
        <v>12662</v>
      </c>
      <c r="RRN11" t="s">
        <v>12663</v>
      </c>
      <c r="RRO11" t="s">
        <v>12664</v>
      </c>
      <c r="RRP11" t="s">
        <v>12665</v>
      </c>
      <c r="RRQ11" t="s">
        <v>12666</v>
      </c>
      <c r="RRR11" t="s">
        <v>12667</v>
      </c>
      <c r="RRS11" t="s">
        <v>12668</v>
      </c>
      <c r="RRT11" t="s">
        <v>12669</v>
      </c>
      <c r="RRU11" t="s">
        <v>12670</v>
      </c>
      <c r="RRV11" t="s">
        <v>12671</v>
      </c>
      <c r="RRW11" t="s">
        <v>12672</v>
      </c>
      <c r="RRX11" t="s">
        <v>12673</v>
      </c>
      <c r="RRY11" t="s">
        <v>12674</v>
      </c>
      <c r="RRZ11" t="s">
        <v>12675</v>
      </c>
      <c r="RSA11" t="s">
        <v>12676</v>
      </c>
      <c r="RSB11" t="s">
        <v>12677</v>
      </c>
      <c r="RSC11" t="s">
        <v>12678</v>
      </c>
      <c r="RSD11" t="s">
        <v>12679</v>
      </c>
      <c r="RSE11" t="s">
        <v>12680</v>
      </c>
      <c r="RSF11" t="s">
        <v>12681</v>
      </c>
      <c r="RSG11" t="s">
        <v>12682</v>
      </c>
      <c r="RSH11" t="s">
        <v>12683</v>
      </c>
      <c r="RSI11" t="s">
        <v>12684</v>
      </c>
      <c r="RSJ11" t="s">
        <v>12685</v>
      </c>
      <c r="RSK11" t="s">
        <v>12686</v>
      </c>
      <c r="RSL11" t="s">
        <v>12687</v>
      </c>
      <c r="RSM11" t="s">
        <v>12688</v>
      </c>
      <c r="RSN11" t="s">
        <v>12689</v>
      </c>
      <c r="RSO11" t="s">
        <v>12690</v>
      </c>
      <c r="RSP11" t="s">
        <v>12691</v>
      </c>
      <c r="RSQ11" t="s">
        <v>12692</v>
      </c>
      <c r="RSR11" t="s">
        <v>12693</v>
      </c>
      <c r="RSS11" t="s">
        <v>12694</v>
      </c>
      <c r="RST11" t="s">
        <v>12695</v>
      </c>
      <c r="RSU11" t="s">
        <v>12696</v>
      </c>
      <c r="RSV11" t="s">
        <v>12697</v>
      </c>
      <c r="RSW11" t="s">
        <v>12698</v>
      </c>
      <c r="RSX11" t="s">
        <v>12699</v>
      </c>
      <c r="RSY11" t="s">
        <v>12700</v>
      </c>
      <c r="RSZ11" t="s">
        <v>12701</v>
      </c>
      <c r="RTA11" t="s">
        <v>12702</v>
      </c>
      <c r="RTB11" t="s">
        <v>12703</v>
      </c>
      <c r="RTC11" t="s">
        <v>12704</v>
      </c>
      <c r="RTD11" t="s">
        <v>12705</v>
      </c>
      <c r="RTE11" t="s">
        <v>12706</v>
      </c>
      <c r="RTF11" t="s">
        <v>12707</v>
      </c>
      <c r="RTG11" t="s">
        <v>12708</v>
      </c>
      <c r="RTH11" t="s">
        <v>12709</v>
      </c>
      <c r="RTI11" t="s">
        <v>12710</v>
      </c>
      <c r="RTJ11" t="s">
        <v>12711</v>
      </c>
      <c r="RTK11" t="s">
        <v>12712</v>
      </c>
      <c r="RTL11" t="s">
        <v>12713</v>
      </c>
      <c r="RTM11" t="s">
        <v>12714</v>
      </c>
      <c r="RTN11" t="s">
        <v>12715</v>
      </c>
      <c r="RTO11" t="s">
        <v>12716</v>
      </c>
      <c r="RTP11" t="s">
        <v>12717</v>
      </c>
      <c r="RTQ11" t="s">
        <v>12718</v>
      </c>
      <c r="RTR11" t="s">
        <v>12719</v>
      </c>
      <c r="RTS11" t="s">
        <v>12720</v>
      </c>
      <c r="RTT11" t="s">
        <v>12721</v>
      </c>
      <c r="RTU11" t="s">
        <v>12722</v>
      </c>
      <c r="RTV11" t="s">
        <v>12723</v>
      </c>
      <c r="RTW11" t="s">
        <v>12724</v>
      </c>
      <c r="RTX11" t="s">
        <v>12725</v>
      </c>
      <c r="RTY11" t="s">
        <v>12726</v>
      </c>
      <c r="RTZ11" t="s">
        <v>12727</v>
      </c>
      <c r="RUA11" t="s">
        <v>12728</v>
      </c>
      <c r="RUB11" t="s">
        <v>12729</v>
      </c>
      <c r="RUC11" t="s">
        <v>12730</v>
      </c>
      <c r="RUD11" t="s">
        <v>12731</v>
      </c>
      <c r="RUE11" t="s">
        <v>12732</v>
      </c>
      <c r="RUF11" t="s">
        <v>12733</v>
      </c>
      <c r="RUG11" t="s">
        <v>12734</v>
      </c>
      <c r="RUH11" t="s">
        <v>12735</v>
      </c>
      <c r="RUI11" t="s">
        <v>12736</v>
      </c>
      <c r="RUJ11" t="s">
        <v>12737</v>
      </c>
      <c r="RUK11" t="s">
        <v>12738</v>
      </c>
      <c r="RUL11" t="s">
        <v>12739</v>
      </c>
      <c r="RUM11" t="s">
        <v>12740</v>
      </c>
      <c r="RUN11" t="s">
        <v>12741</v>
      </c>
      <c r="RUO11" t="s">
        <v>12742</v>
      </c>
      <c r="RUP11" t="s">
        <v>12743</v>
      </c>
      <c r="RUQ11" t="s">
        <v>12744</v>
      </c>
      <c r="RUR11" t="s">
        <v>12745</v>
      </c>
      <c r="RUS11" t="s">
        <v>12746</v>
      </c>
      <c r="RUT11" t="s">
        <v>12747</v>
      </c>
      <c r="RUU11" t="s">
        <v>12748</v>
      </c>
      <c r="RUV11" t="s">
        <v>12749</v>
      </c>
      <c r="RUW11" t="s">
        <v>12750</v>
      </c>
      <c r="RUX11" t="s">
        <v>12751</v>
      </c>
      <c r="RUY11" t="s">
        <v>12752</v>
      </c>
      <c r="RUZ11" t="s">
        <v>12753</v>
      </c>
      <c r="RVA11" t="s">
        <v>12754</v>
      </c>
      <c r="RVB11" t="s">
        <v>12755</v>
      </c>
      <c r="RVC11" t="s">
        <v>12756</v>
      </c>
      <c r="RVD11" t="s">
        <v>12757</v>
      </c>
      <c r="RVE11" t="s">
        <v>12758</v>
      </c>
      <c r="RVF11" t="s">
        <v>12759</v>
      </c>
      <c r="RVG11" t="s">
        <v>12760</v>
      </c>
      <c r="RVH11" t="s">
        <v>12761</v>
      </c>
      <c r="RVI11" t="s">
        <v>12762</v>
      </c>
      <c r="RVJ11" t="s">
        <v>12763</v>
      </c>
      <c r="RVK11" t="s">
        <v>12764</v>
      </c>
      <c r="RVL11" t="s">
        <v>12765</v>
      </c>
      <c r="RVM11" t="s">
        <v>12766</v>
      </c>
      <c r="RVN11" t="s">
        <v>12767</v>
      </c>
      <c r="RVO11" t="s">
        <v>12768</v>
      </c>
      <c r="RVP11" t="s">
        <v>12769</v>
      </c>
      <c r="RVQ11" t="s">
        <v>12770</v>
      </c>
      <c r="RVR11" t="s">
        <v>12771</v>
      </c>
      <c r="RVS11" t="s">
        <v>12772</v>
      </c>
      <c r="RVT11" t="s">
        <v>12773</v>
      </c>
      <c r="RVU11" t="s">
        <v>12774</v>
      </c>
      <c r="RVV11" t="s">
        <v>12775</v>
      </c>
      <c r="RVW11" t="s">
        <v>12776</v>
      </c>
      <c r="RVX11" t="s">
        <v>12777</v>
      </c>
      <c r="RVY11" t="s">
        <v>12778</v>
      </c>
      <c r="RVZ11" t="s">
        <v>12779</v>
      </c>
      <c r="RWA11" t="s">
        <v>12780</v>
      </c>
      <c r="RWB11" t="s">
        <v>12781</v>
      </c>
      <c r="RWC11" t="s">
        <v>12782</v>
      </c>
      <c r="RWD11" t="s">
        <v>12783</v>
      </c>
      <c r="RWE11" t="s">
        <v>12784</v>
      </c>
      <c r="RWF11" t="s">
        <v>12785</v>
      </c>
      <c r="RWG11" t="s">
        <v>12786</v>
      </c>
      <c r="RWH11" t="s">
        <v>12787</v>
      </c>
      <c r="RWI11" t="s">
        <v>12788</v>
      </c>
      <c r="RWJ11" t="s">
        <v>12789</v>
      </c>
      <c r="RWK11" t="s">
        <v>12790</v>
      </c>
      <c r="RWL11" t="s">
        <v>12791</v>
      </c>
      <c r="RWM11" t="s">
        <v>12792</v>
      </c>
      <c r="RWN11" t="s">
        <v>12793</v>
      </c>
      <c r="RWO11" t="s">
        <v>12794</v>
      </c>
      <c r="RWP11" t="s">
        <v>12795</v>
      </c>
      <c r="RWQ11" t="s">
        <v>12796</v>
      </c>
      <c r="RWR11" t="s">
        <v>12797</v>
      </c>
      <c r="RWS11" t="s">
        <v>12798</v>
      </c>
      <c r="RWT11" t="s">
        <v>12799</v>
      </c>
      <c r="RWU11" t="s">
        <v>12800</v>
      </c>
      <c r="RWV11" t="s">
        <v>12801</v>
      </c>
      <c r="RWW11" t="s">
        <v>12802</v>
      </c>
      <c r="RWX11" t="s">
        <v>12803</v>
      </c>
      <c r="RWY11" t="s">
        <v>12804</v>
      </c>
      <c r="RWZ11" t="s">
        <v>12805</v>
      </c>
      <c r="RXA11" t="s">
        <v>12806</v>
      </c>
      <c r="RXB11" t="s">
        <v>12807</v>
      </c>
      <c r="RXC11" t="s">
        <v>12808</v>
      </c>
      <c r="RXD11" t="s">
        <v>12809</v>
      </c>
      <c r="RXE11" t="s">
        <v>12810</v>
      </c>
      <c r="RXF11" t="s">
        <v>12811</v>
      </c>
      <c r="RXG11" t="s">
        <v>12812</v>
      </c>
      <c r="RXH11" t="s">
        <v>12813</v>
      </c>
      <c r="RXI11" t="s">
        <v>12814</v>
      </c>
      <c r="RXJ11" t="s">
        <v>12815</v>
      </c>
      <c r="RXK11" t="s">
        <v>12816</v>
      </c>
      <c r="RXL11" t="s">
        <v>12817</v>
      </c>
      <c r="RXM11" t="s">
        <v>12818</v>
      </c>
      <c r="RXN11" t="s">
        <v>12819</v>
      </c>
      <c r="RXO11" t="s">
        <v>12820</v>
      </c>
      <c r="RXP11" t="s">
        <v>12821</v>
      </c>
      <c r="RXQ11" t="s">
        <v>12822</v>
      </c>
      <c r="RXR11" t="s">
        <v>12823</v>
      </c>
      <c r="RXS11" t="s">
        <v>12824</v>
      </c>
      <c r="RXT11" t="s">
        <v>12825</v>
      </c>
      <c r="RXU11" t="s">
        <v>12826</v>
      </c>
      <c r="RXV11" t="s">
        <v>12827</v>
      </c>
      <c r="RXW11" t="s">
        <v>12828</v>
      </c>
      <c r="RXX11" t="s">
        <v>12829</v>
      </c>
      <c r="RXY11" t="s">
        <v>12830</v>
      </c>
      <c r="RXZ11" t="s">
        <v>12831</v>
      </c>
      <c r="RYA11" t="s">
        <v>12832</v>
      </c>
      <c r="RYB11" t="s">
        <v>12833</v>
      </c>
      <c r="RYC11" t="s">
        <v>12834</v>
      </c>
      <c r="RYD11" t="s">
        <v>12835</v>
      </c>
      <c r="RYE11" t="s">
        <v>12836</v>
      </c>
      <c r="RYF11" t="s">
        <v>12837</v>
      </c>
      <c r="RYG11" t="s">
        <v>12838</v>
      </c>
      <c r="RYH11" t="s">
        <v>12839</v>
      </c>
      <c r="RYI11" t="s">
        <v>12840</v>
      </c>
      <c r="RYJ11" t="s">
        <v>12841</v>
      </c>
      <c r="RYK11" t="s">
        <v>12842</v>
      </c>
      <c r="RYL11" t="s">
        <v>12843</v>
      </c>
      <c r="RYM11" t="s">
        <v>12844</v>
      </c>
      <c r="RYN11" t="s">
        <v>12845</v>
      </c>
      <c r="RYO11" t="s">
        <v>12846</v>
      </c>
      <c r="RYP11" t="s">
        <v>12847</v>
      </c>
      <c r="RYQ11" t="s">
        <v>12848</v>
      </c>
      <c r="RYR11" t="s">
        <v>12849</v>
      </c>
      <c r="RYS11" t="s">
        <v>12850</v>
      </c>
      <c r="RYT11" t="s">
        <v>12851</v>
      </c>
      <c r="RYU11" t="s">
        <v>12852</v>
      </c>
      <c r="RYV11" t="s">
        <v>12853</v>
      </c>
      <c r="RYW11" t="s">
        <v>12854</v>
      </c>
      <c r="RYX11" t="s">
        <v>12855</v>
      </c>
      <c r="RYY11" t="s">
        <v>12856</v>
      </c>
      <c r="RYZ11" t="s">
        <v>12857</v>
      </c>
      <c r="RZA11" t="s">
        <v>12858</v>
      </c>
      <c r="RZB11" t="s">
        <v>12859</v>
      </c>
      <c r="RZC11" t="s">
        <v>12860</v>
      </c>
      <c r="RZD11" t="s">
        <v>12861</v>
      </c>
      <c r="RZE11" t="s">
        <v>12862</v>
      </c>
      <c r="RZF11" t="s">
        <v>12863</v>
      </c>
      <c r="RZG11" t="s">
        <v>12864</v>
      </c>
      <c r="RZH11" t="s">
        <v>12865</v>
      </c>
      <c r="RZI11" t="s">
        <v>12866</v>
      </c>
      <c r="RZJ11" t="s">
        <v>12867</v>
      </c>
      <c r="RZK11" t="s">
        <v>12868</v>
      </c>
      <c r="RZL11" t="s">
        <v>12869</v>
      </c>
      <c r="RZM11" t="s">
        <v>12870</v>
      </c>
      <c r="RZN11" t="s">
        <v>12871</v>
      </c>
      <c r="RZO11" t="s">
        <v>12872</v>
      </c>
      <c r="RZP11" t="s">
        <v>12873</v>
      </c>
      <c r="RZQ11" t="s">
        <v>12874</v>
      </c>
      <c r="RZR11" t="s">
        <v>12875</v>
      </c>
      <c r="RZS11" t="s">
        <v>12876</v>
      </c>
      <c r="RZT11" t="s">
        <v>12877</v>
      </c>
      <c r="RZU11" t="s">
        <v>12878</v>
      </c>
      <c r="RZV11" t="s">
        <v>12879</v>
      </c>
      <c r="RZW11" t="s">
        <v>12880</v>
      </c>
      <c r="RZX11" t="s">
        <v>12881</v>
      </c>
      <c r="RZY11" t="s">
        <v>12882</v>
      </c>
      <c r="RZZ11" t="s">
        <v>12883</v>
      </c>
      <c r="SAA11" t="s">
        <v>12884</v>
      </c>
      <c r="SAB11" t="s">
        <v>12885</v>
      </c>
      <c r="SAC11" t="s">
        <v>12886</v>
      </c>
      <c r="SAD11" t="s">
        <v>12887</v>
      </c>
      <c r="SAE11" t="s">
        <v>12888</v>
      </c>
      <c r="SAF11" t="s">
        <v>12889</v>
      </c>
      <c r="SAG11" t="s">
        <v>12890</v>
      </c>
      <c r="SAH11" t="s">
        <v>12891</v>
      </c>
      <c r="SAI11" t="s">
        <v>12892</v>
      </c>
      <c r="SAJ11" t="s">
        <v>12893</v>
      </c>
      <c r="SAK11" t="s">
        <v>12894</v>
      </c>
      <c r="SAL11" t="s">
        <v>12895</v>
      </c>
      <c r="SAM11" t="s">
        <v>12896</v>
      </c>
      <c r="SAN11" t="s">
        <v>12897</v>
      </c>
      <c r="SAO11" t="s">
        <v>12898</v>
      </c>
      <c r="SAP11" t="s">
        <v>12899</v>
      </c>
      <c r="SAQ11" t="s">
        <v>12900</v>
      </c>
      <c r="SAR11" t="s">
        <v>12901</v>
      </c>
      <c r="SAS11" t="s">
        <v>12902</v>
      </c>
      <c r="SAT11" t="s">
        <v>12903</v>
      </c>
      <c r="SAU11" t="s">
        <v>12904</v>
      </c>
      <c r="SAV11" t="s">
        <v>12905</v>
      </c>
      <c r="SAW11" t="s">
        <v>12906</v>
      </c>
      <c r="SAX11" t="s">
        <v>12907</v>
      </c>
      <c r="SAY11" t="s">
        <v>12908</v>
      </c>
      <c r="SAZ11" t="s">
        <v>12909</v>
      </c>
      <c r="SBA11" t="s">
        <v>12910</v>
      </c>
      <c r="SBB11" t="s">
        <v>12911</v>
      </c>
      <c r="SBC11" t="s">
        <v>12912</v>
      </c>
      <c r="SBD11" t="s">
        <v>12913</v>
      </c>
      <c r="SBE11" t="s">
        <v>12914</v>
      </c>
      <c r="SBF11" t="s">
        <v>12915</v>
      </c>
      <c r="SBG11" t="s">
        <v>12916</v>
      </c>
      <c r="SBH11" t="s">
        <v>12917</v>
      </c>
      <c r="SBI11" t="s">
        <v>12918</v>
      </c>
      <c r="SBJ11" t="s">
        <v>12919</v>
      </c>
      <c r="SBK11" t="s">
        <v>12920</v>
      </c>
      <c r="SBL11" t="s">
        <v>12921</v>
      </c>
      <c r="SBM11" t="s">
        <v>12922</v>
      </c>
      <c r="SBN11" t="s">
        <v>12923</v>
      </c>
      <c r="SBO11" t="s">
        <v>12924</v>
      </c>
      <c r="SBP11" t="s">
        <v>12925</v>
      </c>
      <c r="SBQ11" t="s">
        <v>12926</v>
      </c>
      <c r="SBR11" t="s">
        <v>12927</v>
      </c>
      <c r="SBS11" t="s">
        <v>12928</v>
      </c>
      <c r="SBT11" t="s">
        <v>12929</v>
      </c>
      <c r="SBU11" t="s">
        <v>12930</v>
      </c>
      <c r="SBV11" t="s">
        <v>12931</v>
      </c>
      <c r="SBW11" t="s">
        <v>12932</v>
      </c>
      <c r="SBX11" t="s">
        <v>12933</v>
      </c>
      <c r="SBY11" t="s">
        <v>12934</v>
      </c>
      <c r="SBZ11" t="s">
        <v>12935</v>
      </c>
      <c r="SCA11" t="s">
        <v>12936</v>
      </c>
      <c r="SCB11" t="s">
        <v>12937</v>
      </c>
      <c r="SCC11" t="s">
        <v>12938</v>
      </c>
      <c r="SCD11" t="s">
        <v>12939</v>
      </c>
      <c r="SCE11" t="s">
        <v>12940</v>
      </c>
      <c r="SCF11" t="s">
        <v>12941</v>
      </c>
      <c r="SCG11" t="s">
        <v>12942</v>
      </c>
      <c r="SCH11" t="s">
        <v>12943</v>
      </c>
      <c r="SCI11" t="s">
        <v>12944</v>
      </c>
      <c r="SCJ11" t="s">
        <v>12945</v>
      </c>
      <c r="SCK11" t="s">
        <v>12946</v>
      </c>
      <c r="SCL11" t="s">
        <v>12947</v>
      </c>
      <c r="SCM11" t="s">
        <v>12948</v>
      </c>
      <c r="SCN11" t="s">
        <v>12949</v>
      </c>
      <c r="SCO11" t="s">
        <v>12950</v>
      </c>
      <c r="SCP11" t="s">
        <v>12951</v>
      </c>
      <c r="SCQ11" t="s">
        <v>12952</v>
      </c>
      <c r="SCR11" t="s">
        <v>12953</v>
      </c>
      <c r="SCS11" t="s">
        <v>12954</v>
      </c>
      <c r="SCT11" t="s">
        <v>12955</v>
      </c>
      <c r="SCU11" t="s">
        <v>12956</v>
      </c>
      <c r="SCV11" t="s">
        <v>12957</v>
      </c>
      <c r="SCW11" t="s">
        <v>12958</v>
      </c>
      <c r="SCX11" t="s">
        <v>12959</v>
      </c>
      <c r="SCY11" t="s">
        <v>12960</v>
      </c>
      <c r="SCZ11" t="s">
        <v>12961</v>
      </c>
      <c r="SDA11" t="s">
        <v>12962</v>
      </c>
      <c r="SDB11" t="s">
        <v>12963</v>
      </c>
      <c r="SDC11" t="s">
        <v>12964</v>
      </c>
      <c r="SDD11" t="s">
        <v>12965</v>
      </c>
      <c r="SDE11" t="s">
        <v>12966</v>
      </c>
      <c r="SDF11" t="s">
        <v>12967</v>
      </c>
      <c r="SDG11" t="s">
        <v>12968</v>
      </c>
      <c r="SDH11" t="s">
        <v>12969</v>
      </c>
      <c r="SDI11" t="s">
        <v>12970</v>
      </c>
      <c r="SDJ11" t="s">
        <v>12971</v>
      </c>
      <c r="SDK11" t="s">
        <v>12972</v>
      </c>
      <c r="SDL11" t="s">
        <v>12973</v>
      </c>
      <c r="SDM11" t="s">
        <v>12974</v>
      </c>
      <c r="SDN11" t="s">
        <v>12975</v>
      </c>
      <c r="SDO11" t="s">
        <v>12976</v>
      </c>
      <c r="SDP11" t="s">
        <v>12977</v>
      </c>
      <c r="SDQ11" t="s">
        <v>12978</v>
      </c>
      <c r="SDR11" t="s">
        <v>12979</v>
      </c>
      <c r="SDS11" t="s">
        <v>12980</v>
      </c>
      <c r="SDT11" t="s">
        <v>12981</v>
      </c>
      <c r="SDU11" t="s">
        <v>12982</v>
      </c>
      <c r="SDV11" t="s">
        <v>12983</v>
      </c>
      <c r="SDW11" t="s">
        <v>12984</v>
      </c>
      <c r="SDX11" t="s">
        <v>12985</v>
      </c>
      <c r="SDY11" t="s">
        <v>12986</v>
      </c>
      <c r="SDZ11" t="s">
        <v>12987</v>
      </c>
      <c r="SEA11" t="s">
        <v>12988</v>
      </c>
      <c r="SEB11" t="s">
        <v>12989</v>
      </c>
      <c r="SEC11" t="s">
        <v>12990</v>
      </c>
      <c r="SED11" t="s">
        <v>12991</v>
      </c>
      <c r="SEE11" t="s">
        <v>12992</v>
      </c>
      <c r="SEF11" t="s">
        <v>12993</v>
      </c>
      <c r="SEG11" t="s">
        <v>12994</v>
      </c>
      <c r="SEH11" t="s">
        <v>12995</v>
      </c>
      <c r="SEI11" t="s">
        <v>12996</v>
      </c>
      <c r="SEJ11" t="s">
        <v>12997</v>
      </c>
      <c r="SEK11" t="s">
        <v>12998</v>
      </c>
      <c r="SEL11" t="s">
        <v>12999</v>
      </c>
      <c r="SEM11" t="s">
        <v>13000</v>
      </c>
      <c r="SEN11" t="s">
        <v>13001</v>
      </c>
      <c r="SEO11" t="s">
        <v>13002</v>
      </c>
      <c r="SEP11" t="s">
        <v>13003</v>
      </c>
      <c r="SEQ11" t="s">
        <v>13004</v>
      </c>
      <c r="SER11" t="s">
        <v>13005</v>
      </c>
      <c r="SES11" t="s">
        <v>13006</v>
      </c>
      <c r="SET11" t="s">
        <v>13007</v>
      </c>
      <c r="SEU11" t="s">
        <v>13008</v>
      </c>
      <c r="SEV11" t="s">
        <v>13009</v>
      </c>
      <c r="SEW11" t="s">
        <v>13010</v>
      </c>
      <c r="SEX11" t="s">
        <v>13011</v>
      </c>
      <c r="SEY11" t="s">
        <v>13012</v>
      </c>
      <c r="SEZ11" t="s">
        <v>13013</v>
      </c>
      <c r="SFA11" t="s">
        <v>13014</v>
      </c>
      <c r="SFB11" t="s">
        <v>13015</v>
      </c>
      <c r="SFC11" t="s">
        <v>13016</v>
      </c>
      <c r="SFD11" t="s">
        <v>13017</v>
      </c>
      <c r="SFE11" t="s">
        <v>13018</v>
      </c>
      <c r="SFF11" t="s">
        <v>13019</v>
      </c>
      <c r="SFG11" t="s">
        <v>13020</v>
      </c>
      <c r="SFH11" t="s">
        <v>13021</v>
      </c>
      <c r="SFI11" t="s">
        <v>13022</v>
      </c>
      <c r="SFJ11" t="s">
        <v>13023</v>
      </c>
      <c r="SFK11" t="s">
        <v>13024</v>
      </c>
      <c r="SFL11" t="s">
        <v>13025</v>
      </c>
      <c r="SFM11" t="s">
        <v>13026</v>
      </c>
      <c r="SFN11" t="s">
        <v>13027</v>
      </c>
      <c r="SFO11" t="s">
        <v>13028</v>
      </c>
      <c r="SFP11" t="s">
        <v>13029</v>
      </c>
      <c r="SFQ11" t="s">
        <v>13030</v>
      </c>
      <c r="SFR11" t="s">
        <v>13031</v>
      </c>
      <c r="SFS11" t="s">
        <v>13032</v>
      </c>
      <c r="SFT11" t="s">
        <v>13033</v>
      </c>
      <c r="SFU11" t="s">
        <v>13034</v>
      </c>
      <c r="SFV11" t="s">
        <v>13035</v>
      </c>
      <c r="SFW11" t="s">
        <v>13036</v>
      </c>
      <c r="SFX11" t="s">
        <v>13037</v>
      </c>
      <c r="SFY11" t="s">
        <v>13038</v>
      </c>
      <c r="SFZ11" t="s">
        <v>13039</v>
      </c>
      <c r="SGA11" t="s">
        <v>13040</v>
      </c>
      <c r="SGB11" t="s">
        <v>13041</v>
      </c>
      <c r="SGC11" t="s">
        <v>13042</v>
      </c>
      <c r="SGD11" t="s">
        <v>13043</v>
      </c>
      <c r="SGE11" t="s">
        <v>13044</v>
      </c>
      <c r="SGF11" t="s">
        <v>13045</v>
      </c>
      <c r="SGG11" t="s">
        <v>13046</v>
      </c>
      <c r="SGH11" t="s">
        <v>13047</v>
      </c>
      <c r="SGI11" t="s">
        <v>13048</v>
      </c>
      <c r="SGJ11" t="s">
        <v>13049</v>
      </c>
      <c r="SGK11" t="s">
        <v>13050</v>
      </c>
      <c r="SGL11" t="s">
        <v>13051</v>
      </c>
      <c r="SGM11" t="s">
        <v>13052</v>
      </c>
      <c r="SGN11" t="s">
        <v>13053</v>
      </c>
      <c r="SGO11" t="s">
        <v>13054</v>
      </c>
      <c r="SGP11" t="s">
        <v>13055</v>
      </c>
      <c r="SGQ11" t="s">
        <v>13056</v>
      </c>
      <c r="SGR11" t="s">
        <v>13057</v>
      </c>
      <c r="SGS11" t="s">
        <v>13058</v>
      </c>
      <c r="SGT11" t="s">
        <v>13059</v>
      </c>
      <c r="SGU11" t="s">
        <v>13060</v>
      </c>
      <c r="SGV11" t="s">
        <v>13061</v>
      </c>
      <c r="SGW11" t="s">
        <v>13062</v>
      </c>
      <c r="SGX11" t="s">
        <v>13063</v>
      </c>
      <c r="SGY11" t="s">
        <v>13064</v>
      </c>
      <c r="SGZ11" t="s">
        <v>13065</v>
      </c>
      <c r="SHA11" t="s">
        <v>13066</v>
      </c>
      <c r="SHB11" t="s">
        <v>13067</v>
      </c>
      <c r="SHC11" t="s">
        <v>13068</v>
      </c>
      <c r="SHD11" t="s">
        <v>13069</v>
      </c>
      <c r="SHE11" t="s">
        <v>13070</v>
      </c>
      <c r="SHF11" t="s">
        <v>13071</v>
      </c>
      <c r="SHG11" t="s">
        <v>13072</v>
      </c>
      <c r="SHH11" t="s">
        <v>13073</v>
      </c>
      <c r="SHI11" t="s">
        <v>13074</v>
      </c>
      <c r="SHJ11" t="s">
        <v>13075</v>
      </c>
      <c r="SHK11" t="s">
        <v>13076</v>
      </c>
      <c r="SHL11" t="s">
        <v>13077</v>
      </c>
      <c r="SHM11" t="s">
        <v>13078</v>
      </c>
      <c r="SHN11" t="s">
        <v>13079</v>
      </c>
      <c r="SHO11" t="s">
        <v>13080</v>
      </c>
      <c r="SHP11" t="s">
        <v>13081</v>
      </c>
      <c r="SHQ11" t="s">
        <v>13082</v>
      </c>
      <c r="SHR11" t="s">
        <v>13083</v>
      </c>
      <c r="SHS11" t="s">
        <v>13084</v>
      </c>
      <c r="SHT11" t="s">
        <v>13085</v>
      </c>
      <c r="SHU11" t="s">
        <v>13086</v>
      </c>
      <c r="SHV11" t="s">
        <v>13087</v>
      </c>
      <c r="SHW11" t="s">
        <v>13088</v>
      </c>
      <c r="SHX11" t="s">
        <v>13089</v>
      </c>
      <c r="SHY11" t="s">
        <v>13090</v>
      </c>
      <c r="SHZ11" t="s">
        <v>13091</v>
      </c>
      <c r="SIA11" t="s">
        <v>13092</v>
      </c>
      <c r="SIB11" t="s">
        <v>13093</v>
      </c>
      <c r="SIC11" t="s">
        <v>13094</v>
      </c>
      <c r="SID11" t="s">
        <v>13095</v>
      </c>
      <c r="SIE11" t="s">
        <v>13096</v>
      </c>
      <c r="SIF11" t="s">
        <v>13097</v>
      </c>
      <c r="SIG11" t="s">
        <v>13098</v>
      </c>
      <c r="SIH11" t="s">
        <v>13099</v>
      </c>
      <c r="SII11" t="s">
        <v>13100</v>
      </c>
      <c r="SIJ11" t="s">
        <v>13101</v>
      </c>
      <c r="SIK11" t="s">
        <v>13102</v>
      </c>
      <c r="SIL11" t="s">
        <v>13103</v>
      </c>
      <c r="SIM11" t="s">
        <v>13104</v>
      </c>
      <c r="SIN11" t="s">
        <v>13105</v>
      </c>
      <c r="SIO11" t="s">
        <v>13106</v>
      </c>
      <c r="SIP11" t="s">
        <v>13107</v>
      </c>
      <c r="SIQ11" t="s">
        <v>13108</v>
      </c>
      <c r="SIR11" t="s">
        <v>13109</v>
      </c>
      <c r="SIS11" t="s">
        <v>13110</v>
      </c>
      <c r="SIT11" t="s">
        <v>13111</v>
      </c>
      <c r="SIU11" t="s">
        <v>13112</v>
      </c>
      <c r="SIV11" t="s">
        <v>13113</v>
      </c>
      <c r="SIW11" t="s">
        <v>13114</v>
      </c>
      <c r="SIX11" t="s">
        <v>13115</v>
      </c>
      <c r="SIY11" t="s">
        <v>13116</v>
      </c>
      <c r="SIZ11" t="s">
        <v>13117</v>
      </c>
      <c r="SJA11" t="s">
        <v>13118</v>
      </c>
      <c r="SJB11" t="s">
        <v>13119</v>
      </c>
      <c r="SJC11" t="s">
        <v>13120</v>
      </c>
      <c r="SJD11" t="s">
        <v>13121</v>
      </c>
      <c r="SJE11" t="s">
        <v>13122</v>
      </c>
      <c r="SJF11" t="s">
        <v>13123</v>
      </c>
      <c r="SJG11" t="s">
        <v>13124</v>
      </c>
      <c r="SJH11" t="s">
        <v>13125</v>
      </c>
      <c r="SJI11" t="s">
        <v>13126</v>
      </c>
      <c r="SJJ11" t="s">
        <v>13127</v>
      </c>
      <c r="SJK11" t="s">
        <v>13128</v>
      </c>
      <c r="SJL11" t="s">
        <v>13129</v>
      </c>
      <c r="SJM11" t="s">
        <v>13130</v>
      </c>
      <c r="SJN11" t="s">
        <v>13131</v>
      </c>
      <c r="SJO11" t="s">
        <v>13132</v>
      </c>
      <c r="SJP11" t="s">
        <v>13133</v>
      </c>
      <c r="SJQ11" t="s">
        <v>13134</v>
      </c>
      <c r="SJR11" t="s">
        <v>13135</v>
      </c>
      <c r="SJS11" t="s">
        <v>13136</v>
      </c>
      <c r="SJT11" t="s">
        <v>13137</v>
      </c>
      <c r="SJU11" t="s">
        <v>13138</v>
      </c>
      <c r="SJV11" t="s">
        <v>13139</v>
      </c>
      <c r="SJW11" t="s">
        <v>13140</v>
      </c>
      <c r="SJX11" t="s">
        <v>13141</v>
      </c>
      <c r="SJY11" t="s">
        <v>13142</v>
      </c>
      <c r="SJZ11" t="s">
        <v>13143</v>
      </c>
      <c r="SKA11" t="s">
        <v>13144</v>
      </c>
      <c r="SKB11" t="s">
        <v>13145</v>
      </c>
      <c r="SKC11" t="s">
        <v>13146</v>
      </c>
      <c r="SKD11" t="s">
        <v>13147</v>
      </c>
      <c r="SKE11" t="s">
        <v>13148</v>
      </c>
      <c r="SKF11" t="s">
        <v>13149</v>
      </c>
      <c r="SKG11" t="s">
        <v>13150</v>
      </c>
      <c r="SKH11" t="s">
        <v>13151</v>
      </c>
      <c r="SKI11" t="s">
        <v>13152</v>
      </c>
      <c r="SKJ11" t="s">
        <v>13153</v>
      </c>
      <c r="SKK11" t="s">
        <v>13154</v>
      </c>
      <c r="SKL11" t="s">
        <v>13155</v>
      </c>
      <c r="SKM11" t="s">
        <v>13156</v>
      </c>
      <c r="SKN11" t="s">
        <v>13157</v>
      </c>
      <c r="SKO11" t="s">
        <v>13158</v>
      </c>
      <c r="SKP11" t="s">
        <v>13159</v>
      </c>
      <c r="SKQ11" t="s">
        <v>13160</v>
      </c>
      <c r="SKR11" t="s">
        <v>13161</v>
      </c>
      <c r="SKS11" t="s">
        <v>13162</v>
      </c>
      <c r="SKT11" t="s">
        <v>13163</v>
      </c>
      <c r="SKU11" t="s">
        <v>13164</v>
      </c>
      <c r="SKV11" t="s">
        <v>13165</v>
      </c>
      <c r="SKW11" t="s">
        <v>13166</v>
      </c>
      <c r="SKX11" t="s">
        <v>13167</v>
      </c>
      <c r="SKY11" t="s">
        <v>13168</v>
      </c>
      <c r="SKZ11" t="s">
        <v>13169</v>
      </c>
      <c r="SLA11" t="s">
        <v>13170</v>
      </c>
      <c r="SLB11" t="s">
        <v>13171</v>
      </c>
      <c r="SLC11" t="s">
        <v>13172</v>
      </c>
      <c r="SLD11" t="s">
        <v>13173</v>
      </c>
      <c r="SLE11" t="s">
        <v>13174</v>
      </c>
      <c r="SLF11" t="s">
        <v>13175</v>
      </c>
      <c r="SLG11" t="s">
        <v>13176</v>
      </c>
      <c r="SLH11" t="s">
        <v>13177</v>
      </c>
      <c r="SLI11" t="s">
        <v>13178</v>
      </c>
      <c r="SLJ11" t="s">
        <v>13179</v>
      </c>
      <c r="SLK11" t="s">
        <v>13180</v>
      </c>
      <c r="SLL11" t="s">
        <v>13181</v>
      </c>
      <c r="SLM11" t="s">
        <v>13182</v>
      </c>
      <c r="SLN11" t="s">
        <v>13183</v>
      </c>
      <c r="SLO11" t="s">
        <v>13184</v>
      </c>
      <c r="SLP11" t="s">
        <v>13185</v>
      </c>
      <c r="SLQ11" t="s">
        <v>13186</v>
      </c>
      <c r="SLR11" t="s">
        <v>13187</v>
      </c>
      <c r="SLS11" t="s">
        <v>13188</v>
      </c>
      <c r="SLT11" t="s">
        <v>13189</v>
      </c>
      <c r="SLU11" t="s">
        <v>13190</v>
      </c>
      <c r="SLV11" t="s">
        <v>13191</v>
      </c>
      <c r="SLW11" t="s">
        <v>13192</v>
      </c>
      <c r="SLX11" t="s">
        <v>13193</v>
      </c>
      <c r="SLY11" t="s">
        <v>13194</v>
      </c>
      <c r="SLZ11" t="s">
        <v>13195</v>
      </c>
      <c r="SMA11" t="s">
        <v>13196</v>
      </c>
      <c r="SMB11" t="s">
        <v>13197</v>
      </c>
      <c r="SMC11" t="s">
        <v>13198</v>
      </c>
      <c r="SMD11" t="s">
        <v>13199</v>
      </c>
      <c r="SME11" t="s">
        <v>13200</v>
      </c>
      <c r="SMF11" t="s">
        <v>13201</v>
      </c>
      <c r="SMG11" t="s">
        <v>13202</v>
      </c>
      <c r="SMH11" t="s">
        <v>13203</v>
      </c>
      <c r="SMI11" t="s">
        <v>13204</v>
      </c>
      <c r="SMJ11" t="s">
        <v>13205</v>
      </c>
      <c r="SMK11" t="s">
        <v>13206</v>
      </c>
      <c r="SML11" t="s">
        <v>13207</v>
      </c>
      <c r="SMM11" t="s">
        <v>13208</v>
      </c>
      <c r="SMN11" t="s">
        <v>13209</v>
      </c>
      <c r="SMO11" t="s">
        <v>13210</v>
      </c>
      <c r="SMP11" t="s">
        <v>13211</v>
      </c>
      <c r="SMQ11" t="s">
        <v>13212</v>
      </c>
      <c r="SMR11" t="s">
        <v>13213</v>
      </c>
      <c r="SMS11" t="s">
        <v>13214</v>
      </c>
      <c r="SMT11" t="s">
        <v>13215</v>
      </c>
      <c r="SMU11" t="s">
        <v>13216</v>
      </c>
      <c r="SMV11" t="s">
        <v>13217</v>
      </c>
      <c r="SMW11" t="s">
        <v>13218</v>
      </c>
      <c r="SMX11" t="s">
        <v>13219</v>
      </c>
      <c r="SMY11" t="s">
        <v>13220</v>
      </c>
      <c r="SMZ11" t="s">
        <v>13221</v>
      </c>
      <c r="SNA11" t="s">
        <v>13222</v>
      </c>
      <c r="SNB11" t="s">
        <v>13223</v>
      </c>
      <c r="SNC11" t="s">
        <v>13224</v>
      </c>
      <c r="SND11" t="s">
        <v>13225</v>
      </c>
      <c r="SNE11" t="s">
        <v>13226</v>
      </c>
      <c r="SNF11" t="s">
        <v>13227</v>
      </c>
      <c r="SNG11" t="s">
        <v>13228</v>
      </c>
      <c r="SNH11" t="s">
        <v>13229</v>
      </c>
      <c r="SNI11" t="s">
        <v>13230</v>
      </c>
      <c r="SNJ11" t="s">
        <v>13231</v>
      </c>
      <c r="SNK11" t="s">
        <v>13232</v>
      </c>
      <c r="SNL11" t="s">
        <v>13233</v>
      </c>
      <c r="SNM11" t="s">
        <v>13234</v>
      </c>
      <c r="SNN11" t="s">
        <v>13235</v>
      </c>
      <c r="SNO11" t="s">
        <v>13236</v>
      </c>
      <c r="SNP11" t="s">
        <v>13237</v>
      </c>
      <c r="SNQ11" t="s">
        <v>13238</v>
      </c>
      <c r="SNR11" t="s">
        <v>13239</v>
      </c>
      <c r="SNS11" t="s">
        <v>13240</v>
      </c>
      <c r="SNT11" t="s">
        <v>13241</v>
      </c>
      <c r="SNU11" t="s">
        <v>13242</v>
      </c>
      <c r="SNV11" t="s">
        <v>13243</v>
      </c>
      <c r="SNW11" t="s">
        <v>13244</v>
      </c>
      <c r="SNX11" t="s">
        <v>13245</v>
      </c>
      <c r="SNY11" t="s">
        <v>13246</v>
      </c>
      <c r="SNZ11" t="s">
        <v>13247</v>
      </c>
      <c r="SOA11" t="s">
        <v>13248</v>
      </c>
      <c r="SOB11" t="s">
        <v>13249</v>
      </c>
      <c r="SOC11" t="s">
        <v>13250</v>
      </c>
      <c r="SOD11" t="s">
        <v>13251</v>
      </c>
      <c r="SOE11" t="s">
        <v>13252</v>
      </c>
      <c r="SOF11" t="s">
        <v>13253</v>
      </c>
      <c r="SOG11" t="s">
        <v>13254</v>
      </c>
      <c r="SOH11" t="s">
        <v>13255</v>
      </c>
      <c r="SOI11" t="s">
        <v>13256</v>
      </c>
      <c r="SOJ11" t="s">
        <v>13257</v>
      </c>
      <c r="SOK11" t="s">
        <v>13258</v>
      </c>
      <c r="SOL11" t="s">
        <v>13259</v>
      </c>
      <c r="SOM11" t="s">
        <v>13260</v>
      </c>
      <c r="SON11" t="s">
        <v>13261</v>
      </c>
      <c r="SOO11" t="s">
        <v>13262</v>
      </c>
      <c r="SOP11" t="s">
        <v>13263</v>
      </c>
      <c r="SOQ11" t="s">
        <v>13264</v>
      </c>
      <c r="SOR11" t="s">
        <v>13265</v>
      </c>
      <c r="SOS11" t="s">
        <v>13266</v>
      </c>
      <c r="SOT11" t="s">
        <v>13267</v>
      </c>
      <c r="SOU11" t="s">
        <v>13268</v>
      </c>
      <c r="SOV11" t="s">
        <v>13269</v>
      </c>
      <c r="SOW11" t="s">
        <v>13270</v>
      </c>
      <c r="SOX11" t="s">
        <v>13271</v>
      </c>
      <c r="SOY11" t="s">
        <v>13272</v>
      </c>
      <c r="SOZ11" t="s">
        <v>13273</v>
      </c>
      <c r="SPA11" t="s">
        <v>13274</v>
      </c>
      <c r="SPB11" t="s">
        <v>13275</v>
      </c>
      <c r="SPC11" t="s">
        <v>13276</v>
      </c>
      <c r="SPD11" t="s">
        <v>13277</v>
      </c>
      <c r="SPE11" t="s">
        <v>13278</v>
      </c>
      <c r="SPF11" t="s">
        <v>13279</v>
      </c>
      <c r="SPG11" t="s">
        <v>13280</v>
      </c>
      <c r="SPH11" t="s">
        <v>13281</v>
      </c>
      <c r="SPI11" t="s">
        <v>13282</v>
      </c>
      <c r="SPJ11" t="s">
        <v>13283</v>
      </c>
      <c r="SPK11" t="s">
        <v>13284</v>
      </c>
      <c r="SPL11" t="s">
        <v>13285</v>
      </c>
      <c r="SPM11" t="s">
        <v>13286</v>
      </c>
      <c r="SPN11" t="s">
        <v>13287</v>
      </c>
      <c r="SPO11" t="s">
        <v>13288</v>
      </c>
      <c r="SPP11" t="s">
        <v>13289</v>
      </c>
      <c r="SPQ11" t="s">
        <v>13290</v>
      </c>
      <c r="SPR11" t="s">
        <v>13291</v>
      </c>
      <c r="SPS11" t="s">
        <v>13292</v>
      </c>
      <c r="SPT11" t="s">
        <v>13293</v>
      </c>
      <c r="SPU11" t="s">
        <v>13294</v>
      </c>
      <c r="SPV11" t="s">
        <v>13295</v>
      </c>
      <c r="SPW11" t="s">
        <v>13296</v>
      </c>
      <c r="SPX11" t="s">
        <v>13297</v>
      </c>
      <c r="SPY11" t="s">
        <v>13298</v>
      </c>
      <c r="SPZ11" t="s">
        <v>13299</v>
      </c>
      <c r="SQA11" t="s">
        <v>13300</v>
      </c>
      <c r="SQB11" t="s">
        <v>13301</v>
      </c>
      <c r="SQC11" t="s">
        <v>13302</v>
      </c>
      <c r="SQD11" t="s">
        <v>13303</v>
      </c>
      <c r="SQE11" t="s">
        <v>13304</v>
      </c>
      <c r="SQF11" t="s">
        <v>13305</v>
      </c>
      <c r="SQG11" t="s">
        <v>13306</v>
      </c>
      <c r="SQH11" t="s">
        <v>13307</v>
      </c>
      <c r="SQI11" t="s">
        <v>13308</v>
      </c>
      <c r="SQJ11" t="s">
        <v>13309</v>
      </c>
      <c r="SQK11" t="s">
        <v>13310</v>
      </c>
      <c r="SQL11" t="s">
        <v>13311</v>
      </c>
      <c r="SQM11" t="s">
        <v>13312</v>
      </c>
      <c r="SQN11" t="s">
        <v>13313</v>
      </c>
      <c r="SQO11" t="s">
        <v>13314</v>
      </c>
      <c r="SQP11" t="s">
        <v>13315</v>
      </c>
      <c r="SQQ11" t="s">
        <v>13316</v>
      </c>
      <c r="SQR11" t="s">
        <v>13317</v>
      </c>
      <c r="SQS11" t="s">
        <v>13318</v>
      </c>
      <c r="SQT11" t="s">
        <v>13319</v>
      </c>
      <c r="SQU11" t="s">
        <v>13320</v>
      </c>
      <c r="SQV11" t="s">
        <v>13321</v>
      </c>
      <c r="SQW11" t="s">
        <v>13322</v>
      </c>
      <c r="SQX11" t="s">
        <v>13323</v>
      </c>
      <c r="SQY11" t="s">
        <v>13324</v>
      </c>
      <c r="SQZ11" t="s">
        <v>13325</v>
      </c>
      <c r="SRA11" t="s">
        <v>13326</v>
      </c>
      <c r="SRB11" t="s">
        <v>13327</v>
      </c>
      <c r="SRC11" t="s">
        <v>13328</v>
      </c>
      <c r="SRD11" t="s">
        <v>13329</v>
      </c>
      <c r="SRE11" t="s">
        <v>13330</v>
      </c>
      <c r="SRF11" t="s">
        <v>13331</v>
      </c>
      <c r="SRG11" t="s">
        <v>13332</v>
      </c>
      <c r="SRH11" t="s">
        <v>13333</v>
      </c>
      <c r="SRI11" t="s">
        <v>13334</v>
      </c>
      <c r="SRJ11" t="s">
        <v>13335</v>
      </c>
      <c r="SRK11" t="s">
        <v>13336</v>
      </c>
      <c r="SRL11" t="s">
        <v>13337</v>
      </c>
      <c r="SRM11" t="s">
        <v>13338</v>
      </c>
      <c r="SRN11" t="s">
        <v>13339</v>
      </c>
      <c r="SRO11" t="s">
        <v>13340</v>
      </c>
      <c r="SRP11" t="s">
        <v>13341</v>
      </c>
      <c r="SRQ11" t="s">
        <v>13342</v>
      </c>
      <c r="SRR11" t="s">
        <v>13343</v>
      </c>
      <c r="SRS11" t="s">
        <v>13344</v>
      </c>
      <c r="SRT11" t="s">
        <v>13345</v>
      </c>
      <c r="SRU11" t="s">
        <v>13346</v>
      </c>
      <c r="SRV11" t="s">
        <v>13347</v>
      </c>
      <c r="SRW11" t="s">
        <v>13348</v>
      </c>
      <c r="SRX11" t="s">
        <v>13349</v>
      </c>
      <c r="SRY11" t="s">
        <v>13350</v>
      </c>
      <c r="SRZ11" t="s">
        <v>13351</v>
      </c>
      <c r="SSA11" t="s">
        <v>13352</v>
      </c>
      <c r="SSB11" t="s">
        <v>13353</v>
      </c>
      <c r="SSC11" t="s">
        <v>13354</v>
      </c>
      <c r="SSD11" t="s">
        <v>13355</v>
      </c>
      <c r="SSE11" t="s">
        <v>13356</v>
      </c>
      <c r="SSF11" t="s">
        <v>13357</v>
      </c>
      <c r="SSG11" t="s">
        <v>13358</v>
      </c>
      <c r="SSH11" t="s">
        <v>13359</v>
      </c>
      <c r="SSI11" t="s">
        <v>13360</v>
      </c>
      <c r="SSJ11" t="s">
        <v>13361</v>
      </c>
      <c r="SSK11" t="s">
        <v>13362</v>
      </c>
      <c r="SSL11" t="s">
        <v>13363</v>
      </c>
      <c r="SSM11" t="s">
        <v>13364</v>
      </c>
      <c r="SSN11" t="s">
        <v>13365</v>
      </c>
      <c r="SSO11" t="s">
        <v>13366</v>
      </c>
      <c r="SSP11" t="s">
        <v>13367</v>
      </c>
      <c r="SSQ11" t="s">
        <v>13368</v>
      </c>
      <c r="SSR11" t="s">
        <v>13369</v>
      </c>
      <c r="SSS11" t="s">
        <v>13370</v>
      </c>
      <c r="SST11" t="s">
        <v>13371</v>
      </c>
      <c r="SSU11" t="s">
        <v>13372</v>
      </c>
      <c r="SSV11" t="s">
        <v>13373</v>
      </c>
      <c r="SSW11" t="s">
        <v>13374</v>
      </c>
      <c r="SSX11" t="s">
        <v>13375</v>
      </c>
      <c r="SSY11" t="s">
        <v>13376</v>
      </c>
      <c r="SSZ11" t="s">
        <v>13377</v>
      </c>
      <c r="STA11" t="s">
        <v>13378</v>
      </c>
      <c r="STB11" t="s">
        <v>13379</v>
      </c>
      <c r="STC11" t="s">
        <v>13380</v>
      </c>
      <c r="STD11" t="s">
        <v>13381</v>
      </c>
      <c r="STE11" t="s">
        <v>13382</v>
      </c>
      <c r="STF11" t="s">
        <v>13383</v>
      </c>
      <c r="STG11" t="s">
        <v>13384</v>
      </c>
      <c r="STH11" t="s">
        <v>13385</v>
      </c>
      <c r="STI11" t="s">
        <v>13386</v>
      </c>
      <c r="STJ11" t="s">
        <v>13387</v>
      </c>
      <c r="STK11" t="s">
        <v>13388</v>
      </c>
      <c r="STL11" t="s">
        <v>13389</v>
      </c>
      <c r="STM11" t="s">
        <v>13390</v>
      </c>
      <c r="STN11" t="s">
        <v>13391</v>
      </c>
      <c r="STO11" t="s">
        <v>13392</v>
      </c>
      <c r="STP11" t="s">
        <v>13393</v>
      </c>
      <c r="STQ11" t="s">
        <v>13394</v>
      </c>
      <c r="STR11" t="s">
        <v>13395</v>
      </c>
      <c r="STS11" t="s">
        <v>13396</v>
      </c>
      <c r="STT11" t="s">
        <v>13397</v>
      </c>
      <c r="STU11" t="s">
        <v>13398</v>
      </c>
      <c r="STV11" t="s">
        <v>13399</v>
      </c>
      <c r="STW11" t="s">
        <v>13400</v>
      </c>
      <c r="STX11" t="s">
        <v>13401</v>
      </c>
      <c r="STY11" t="s">
        <v>13402</v>
      </c>
      <c r="STZ11" t="s">
        <v>13403</v>
      </c>
      <c r="SUA11" t="s">
        <v>13404</v>
      </c>
      <c r="SUB11" t="s">
        <v>13405</v>
      </c>
      <c r="SUC11" t="s">
        <v>13406</v>
      </c>
      <c r="SUD11" t="s">
        <v>13407</v>
      </c>
      <c r="SUE11" t="s">
        <v>13408</v>
      </c>
      <c r="SUF11" t="s">
        <v>13409</v>
      </c>
      <c r="SUG11" t="s">
        <v>13410</v>
      </c>
      <c r="SUH11" t="s">
        <v>13411</v>
      </c>
      <c r="SUI11" t="s">
        <v>13412</v>
      </c>
      <c r="SUJ11" t="s">
        <v>13413</v>
      </c>
      <c r="SUK11" t="s">
        <v>13414</v>
      </c>
      <c r="SUL11" t="s">
        <v>13415</v>
      </c>
      <c r="SUM11" t="s">
        <v>13416</v>
      </c>
      <c r="SUN11" t="s">
        <v>13417</v>
      </c>
      <c r="SUO11" t="s">
        <v>13418</v>
      </c>
      <c r="SUP11" t="s">
        <v>13419</v>
      </c>
      <c r="SUQ11" t="s">
        <v>13420</v>
      </c>
      <c r="SUR11" t="s">
        <v>13421</v>
      </c>
      <c r="SUS11" t="s">
        <v>13422</v>
      </c>
      <c r="SUT11" t="s">
        <v>13423</v>
      </c>
      <c r="SUU11" t="s">
        <v>13424</v>
      </c>
      <c r="SUV11" t="s">
        <v>13425</v>
      </c>
      <c r="SUW11" t="s">
        <v>13426</v>
      </c>
      <c r="SUX11" t="s">
        <v>13427</v>
      </c>
      <c r="SUY11" t="s">
        <v>13428</v>
      </c>
      <c r="SUZ11" t="s">
        <v>13429</v>
      </c>
      <c r="SVA11" t="s">
        <v>13430</v>
      </c>
      <c r="SVB11" t="s">
        <v>13431</v>
      </c>
      <c r="SVC11" t="s">
        <v>13432</v>
      </c>
      <c r="SVD11" t="s">
        <v>13433</v>
      </c>
      <c r="SVE11" t="s">
        <v>13434</v>
      </c>
      <c r="SVF11" t="s">
        <v>13435</v>
      </c>
      <c r="SVG11" t="s">
        <v>13436</v>
      </c>
      <c r="SVH11" t="s">
        <v>13437</v>
      </c>
      <c r="SVI11" t="s">
        <v>13438</v>
      </c>
      <c r="SVJ11" t="s">
        <v>13439</v>
      </c>
      <c r="SVK11" t="s">
        <v>13440</v>
      </c>
      <c r="SVL11" t="s">
        <v>13441</v>
      </c>
      <c r="SVM11" t="s">
        <v>13442</v>
      </c>
      <c r="SVN11" t="s">
        <v>13443</v>
      </c>
      <c r="SVO11" t="s">
        <v>13444</v>
      </c>
      <c r="SVP11" t="s">
        <v>13445</v>
      </c>
      <c r="SVQ11" t="s">
        <v>13446</v>
      </c>
      <c r="SVR11" t="s">
        <v>13447</v>
      </c>
      <c r="SVS11" t="s">
        <v>13448</v>
      </c>
      <c r="SVT11" t="s">
        <v>13449</v>
      </c>
      <c r="SVU11" t="s">
        <v>13450</v>
      </c>
      <c r="SVV11" t="s">
        <v>13451</v>
      </c>
      <c r="SVW11" t="s">
        <v>13452</v>
      </c>
      <c r="SVX11" t="s">
        <v>13453</v>
      </c>
      <c r="SVY11" t="s">
        <v>13454</v>
      </c>
      <c r="SVZ11" t="s">
        <v>13455</v>
      </c>
      <c r="SWA11" t="s">
        <v>13456</v>
      </c>
      <c r="SWB11" t="s">
        <v>13457</v>
      </c>
      <c r="SWC11" t="s">
        <v>13458</v>
      </c>
      <c r="SWD11" t="s">
        <v>13459</v>
      </c>
      <c r="SWE11" t="s">
        <v>13460</v>
      </c>
      <c r="SWF11" t="s">
        <v>13461</v>
      </c>
      <c r="SWG11" t="s">
        <v>13462</v>
      </c>
      <c r="SWH11" t="s">
        <v>13463</v>
      </c>
      <c r="SWI11" t="s">
        <v>13464</v>
      </c>
      <c r="SWJ11" t="s">
        <v>13465</v>
      </c>
      <c r="SWK11" t="s">
        <v>13466</v>
      </c>
      <c r="SWL11" t="s">
        <v>13467</v>
      </c>
      <c r="SWM11" t="s">
        <v>13468</v>
      </c>
      <c r="SWN11" t="s">
        <v>13469</v>
      </c>
      <c r="SWO11" t="s">
        <v>13470</v>
      </c>
      <c r="SWP11" t="s">
        <v>13471</v>
      </c>
      <c r="SWQ11" t="s">
        <v>13472</v>
      </c>
      <c r="SWR11" t="s">
        <v>13473</v>
      </c>
      <c r="SWS11" t="s">
        <v>13474</v>
      </c>
      <c r="SWT11" t="s">
        <v>13475</v>
      </c>
      <c r="SWU11" t="s">
        <v>13476</v>
      </c>
      <c r="SWV11" t="s">
        <v>13477</v>
      </c>
      <c r="SWW11" t="s">
        <v>13478</v>
      </c>
      <c r="SWX11" t="s">
        <v>13479</v>
      </c>
      <c r="SWY11" t="s">
        <v>13480</v>
      </c>
      <c r="SWZ11" t="s">
        <v>13481</v>
      </c>
      <c r="SXA11" t="s">
        <v>13482</v>
      </c>
      <c r="SXB11" t="s">
        <v>13483</v>
      </c>
      <c r="SXC11" t="s">
        <v>13484</v>
      </c>
      <c r="SXD11" t="s">
        <v>13485</v>
      </c>
      <c r="SXE11" t="s">
        <v>13486</v>
      </c>
      <c r="SXF11" t="s">
        <v>13487</v>
      </c>
      <c r="SXG11" t="s">
        <v>13488</v>
      </c>
      <c r="SXH11" t="s">
        <v>13489</v>
      </c>
      <c r="SXI11" t="s">
        <v>13490</v>
      </c>
      <c r="SXJ11" t="s">
        <v>13491</v>
      </c>
      <c r="SXK11" t="s">
        <v>13492</v>
      </c>
      <c r="SXL11" t="s">
        <v>13493</v>
      </c>
      <c r="SXM11" t="s">
        <v>13494</v>
      </c>
      <c r="SXN11" t="s">
        <v>13495</v>
      </c>
      <c r="SXO11" t="s">
        <v>13496</v>
      </c>
      <c r="SXP11" t="s">
        <v>13497</v>
      </c>
      <c r="SXQ11" t="s">
        <v>13498</v>
      </c>
      <c r="SXR11" t="s">
        <v>13499</v>
      </c>
      <c r="SXS11" t="s">
        <v>13500</v>
      </c>
      <c r="SXT11" t="s">
        <v>13501</v>
      </c>
      <c r="SXU11" t="s">
        <v>13502</v>
      </c>
      <c r="SXV11" t="s">
        <v>13503</v>
      </c>
      <c r="SXW11" t="s">
        <v>13504</v>
      </c>
      <c r="SXX11" t="s">
        <v>13505</v>
      </c>
      <c r="SXY11" t="s">
        <v>13506</v>
      </c>
      <c r="SXZ11" t="s">
        <v>13507</v>
      </c>
      <c r="SYA11" t="s">
        <v>13508</v>
      </c>
      <c r="SYB11" t="s">
        <v>13509</v>
      </c>
      <c r="SYC11" t="s">
        <v>13510</v>
      </c>
      <c r="SYD11" t="s">
        <v>13511</v>
      </c>
      <c r="SYE11" t="s">
        <v>13512</v>
      </c>
      <c r="SYF11" t="s">
        <v>13513</v>
      </c>
      <c r="SYG11" t="s">
        <v>13514</v>
      </c>
      <c r="SYH11" t="s">
        <v>13515</v>
      </c>
      <c r="SYI11" t="s">
        <v>13516</v>
      </c>
      <c r="SYJ11" t="s">
        <v>13517</v>
      </c>
      <c r="SYK11" t="s">
        <v>13518</v>
      </c>
      <c r="SYL11" t="s">
        <v>13519</v>
      </c>
      <c r="SYM11" t="s">
        <v>13520</v>
      </c>
      <c r="SYN11" t="s">
        <v>13521</v>
      </c>
      <c r="SYO11" t="s">
        <v>13522</v>
      </c>
      <c r="SYP11" t="s">
        <v>13523</v>
      </c>
      <c r="SYQ11" t="s">
        <v>13524</v>
      </c>
      <c r="SYR11" t="s">
        <v>13525</v>
      </c>
      <c r="SYS11" t="s">
        <v>13526</v>
      </c>
      <c r="SYT11" t="s">
        <v>13527</v>
      </c>
      <c r="SYU11" t="s">
        <v>13528</v>
      </c>
      <c r="SYV11" t="s">
        <v>13529</v>
      </c>
      <c r="SYW11" t="s">
        <v>13530</v>
      </c>
      <c r="SYX11" t="s">
        <v>13531</v>
      </c>
      <c r="SYY11" t="s">
        <v>13532</v>
      </c>
      <c r="SYZ11" t="s">
        <v>13533</v>
      </c>
      <c r="SZA11" t="s">
        <v>13534</v>
      </c>
      <c r="SZB11" t="s">
        <v>13535</v>
      </c>
      <c r="SZC11" t="s">
        <v>13536</v>
      </c>
      <c r="SZD11" t="s">
        <v>13537</v>
      </c>
      <c r="SZE11" t="s">
        <v>13538</v>
      </c>
      <c r="SZF11" t="s">
        <v>13539</v>
      </c>
      <c r="SZG11" t="s">
        <v>13540</v>
      </c>
      <c r="SZH11" t="s">
        <v>13541</v>
      </c>
      <c r="SZI11" t="s">
        <v>13542</v>
      </c>
      <c r="SZJ11" t="s">
        <v>13543</v>
      </c>
      <c r="SZK11" t="s">
        <v>13544</v>
      </c>
      <c r="SZL11" t="s">
        <v>13545</v>
      </c>
      <c r="SZM11" t="s">
        <v>13546</v>
      </c>
      <c r="SZN11" t="s">
        <v>13547</v>
      </c>
      <c r="SZO11" t="s">
        <v>13548</v>
      </c>
      <c r="SZP11" t="s">
        <v>13549</v>
      </c>
      <c r="SZQ11" t="s">
        <v>13550</v>
      </c>
      <c r="SZR11" t="s">
        <v>13551</v>
      </c>
      <c r="SZS11" t="s">
        <v>13552</v>
      </c>
      <c r="SZT11" t="s">
        <v>13553</v>
      </c>
      <c r="SZU11" t="s">
        <v>13554</v>
      </c>
      <c r="SZV11" t="s">
        <v>13555</v>
      </c>
      <c r="SZW11" t="s">
        <v>13556</v>
      </c>
      <c r="SZX11" t="s">
        <v>13557</v>
      </c>
      <c r="SZY11" t="s">
        <v>13558</v>
      </c>
      <c r="SZZ11" t="s">
        <v>13559</v>
      </c>
      <c r="TAA11" t="s">
        <v>13560</v>
      </c>
      <c r="TAB11" t="s">
        <v>13561</v>
      </c>
      <c r="TAC11" t="s">
        <v>13562</v>
      </c>
      <c r="TAD11" t="s">
        <v>13563</v>
      </c>
      <c r="TAE11" t="s">
        <v>13564</v>
      </c>
      <c r="TAF11" t="s">
        <v>13565</v>
      </c>
      <c r="TAG11" t="s">
        <v>13566</v>
      </c>
      <c r="TAH11" t="s">
        <v>13567</v>
      </c>
      <c r="TAI11" t="s">
        <v>13568</v>
      </c>
      <c r="TAJ11" t="s">
        <v>13569</v>
      </c>
      <c r="TAK11" t="s">
        <v>13570</v>
      </c>
      <c r="TAL11" t="s">
        <v>13571</v>
      </c>
      <c r="TAM11" t="s">
        <v>13572</v>
      </c>
      <c r="TAN11" t="s">
        <v>13573</v>
      </c>
      <c r="TAO11" t="s">
        <v>13574</v>
      </c>
      <c r="TAP11" t="s">
        <v>13575</v>
      </c>
      <c r="TAQ11" t="s">
        <v>13576</v>
      </c>
      <c r="TAR11" t="s">
        <v>13577</v>
      </c>
      <c r="TAS11" t="s">
        <v>13578</v>
      </c>
      <c r="TAT11" t="s">
        <v>13579</v>
      </c>
      <c r="TAU11" t="s">
        <v>13580</v>
      </c>
      <c r="TAV11" t="s">
        <v>13581</v>
      </c>
      <c r="TAW11" t="s">
        <v>13582</v>
      </c>
      <c r="TAX11" t="s">
        <v>13583</v>
      </c>
      <c r="TAY11" t="s">
        <v>13584</v>
      </c>
      <c r="TAZ11" t="s">
        <v>13585</v>
      </c>
      <c r="TBA11" t="s">
        <v>13586</v>
      </c>
      <c r="TBB11" t="s">
        <v>13587</v>
      </c>
      <c r="TBC11" t="s">
        <v>13588</v>
      </c>
      <c r="TBD11" t="s">
        <v>13589</v>
      </c>
      <c r="TBE11" t="s">
        <v>13590</v>
      </c>
      <c r="TBF11" t="s">
        <v>13591</v>
      </c>
      <c r="TBG11" t="s">
        <v>13592</v>
      </c>
      <c r="TBH11" t="s">
        <v>13593</v>
      </c>
      <c r="TBI11" t="s">
        <v>13594</v>
      </c>
      <c r="TBJ11" t="s">
        <v>13595</v>
      </c>
      <c r="TBK11" t="s">
        <v>13596</v>
      </c>
      <c r="TBL11" t="s">
        <v>13597</v>
      </c>
      <c r="TBM11" t="s">
        <v>13598</v>
      </c>
      <c r="TBN11" t="s">
        <v>13599</v>
      </c>
      <c r="TBO11" t="s">
        <v>13600</v>
      </c>
      <c r="TBP11" t="s">
        <v>13601</v>
      </c>
      <c r="TBQ11" t="s">
        <v>13602</v>
      </c>
      <c r="TBR11" t="s">
        <v>13603</v>
      </c>
      <c r="TBS11" t="s">
        <v>13604</v>
      </c>
      <c r="TBT11" t="s">
        <v>13605</v>
      </c>
      <c r="TBU11" t="s">
        <v>13606</v>
      </c>
      <c r="TBV11" t="s">
        <v>13607</v>
      </c>
      <c r="TBW11" t="s">
        <v>13608</v>
      </c>
      <c r="TBX11" t="s">
        <v>13609</v>
      </c>
      <c r="TBY11" t="s">
        <v>13610</v>
      </c>
      <c r="TBZ11" t="s">
        <v>13611</v>
      </c>
      <c r="TCA11" t="s">
        <v>13612</v>
      </c>
      <c r="TCB11" t="s">
        <v>13613</v>
      </c>
      <c r="TCC11" t="s">
        <v>13614</v>
      </c>
      <c r="TCD11" t="s">
        <v>13615</v>
      </c>
      <c r="TCE11" t="s">
        <v>13616</v>
      </c>
      <c r="TCF11" t="s">
        <v>13617</v>
      </c>
      <c r="TCG11" t="s">
        <v>13618</v>
      </c>
      <c r="TCH11" t="s">
        <v>13619</v>
      </c>
      <c r="TCI11" t="s">
        <v>13620</v>
      </c>
      <c r="TCJ11" t="s">
        <v>13621</v>
      </c>
      <c r="TCK11" t="s">
        <v>13622</v>
      </c>
      <c r="TCL11" t="s">
        <v>13623</v>
      </c>
      <c r="TCM11" t="s">
        <v>13624</v>
      </c>
      <c r="TCN11" t="s">
        <v>13625</v>
      </c>
      <c r="TCO11" t="s">
        <v>13626</v>
      </c>
      <c r="TCP11" t="s">
        <v>13627</v>
      </c>
      <c r="TCQ11" t="s">
        <v>13628</v>
      </c>
      <c r="TCR11" t="s">
        <v>13629</v>
      </c>
      <c r="TCS11" t="s">
        <v>13630</v>
      </c>
      <c r="TCT11" t="s">
        <v>13631</v>
      </c>
      <c r="TCU11" t="s">
        <v>13632</v>
      </c>
      <c r="TCV11" t="s">
        <v>13633</v>
      </c>
      <c r="TCW11" t="s">
        <v>13634</v>
      </c>
      <c r="TCX11" t="s">
        <v>13635</v>
      </c>
      <c r="TCY11" t="s">
        <v>13636</v>
      </c>
      <c r="TCZ11" t="s">
        <v>13637</v>
      </c>
      <c r="TDA11" t="s">
        <v>13638</v>
      </c>
      <c r="TDB11" t="s">
        <v>13639</v>
      </c>
      <c r="TDC11" t="s">
        <v>13640</v>
      </c>
      <c r="TDD11" t="s">
        <v>13641</v>
      </c>
      <c r="TDE11" t="s">
        <v>13642</v>
      </c>
      <c r="TDF11" t="s">
        <v>13643</v>
      </c>
      <c r="TDG11" t="s">
        <v>13644</v>
      </c>
      <c r="TDH11" t="s">
        <v>13645</v>
      </c>
      <c r="TDI11" t="s">
        <v>13646</v>
      </c>
      <c r="TDJ11" t="s">
        <v>13647</v>
      </c>
      <c r="TDK11" t="s">
        <v>13648</v>
      </c>
      <c r="TDL11" t="s">
        <v>13649</v>
      </c>
      <c r="TDM11" t="s">
        <v>13650</v>
      </c>
      <c r="TDN11" t="s">
        <v>13651</v>
      </c>
      <c r="TDO11" t="s">
        <v>13652</v>
      </c>
      <c r="TDP11" t="s">
        <v>13653</v>
      </c>
      <c r="TDQ11" t="s">
        <v>13654</v>
      </c>
      <c r="TDR11" t="s">
        <v>13655</v>
      </c>
      <c r="TDS11" t="s">
        <v>13656</v>
      </c>
      <c r="TDT11" t="s">
        <v>13657</v>
      </c>
      <c r="TDU11" t="s">
        <v>13658</v>
      </c>
      <c r="TDV11" t="s">
        <v>13659</v>
      </c>
      <c r="TDW11" t="s">
        <v>13660</v>
      </c>
      <c r="TDX11" t="s">
        <v>13661</v>
      </c>
      <c r="TDY11" t="s">
        <v>13662</v>
      </c>
      <c r="TDZ11" t="s">
        <v>13663</v>
      </c>
      <c r="TEA11" t="s">
        <v>13664</v>
      </c>
      <c r="TEB11" t="s">
        <v>13665</v>
      </c>
      <c r="TEC11" t="s">
        <v>13666</v>
      </c>
      <c r="TED11" t="s">
        <v>13667</v>
      </c>
      <c r="TEE11" t="s">
        <v>13668</v>
      </c>
      <c r="TEF11" t="s">
        <v>13669</v>
      </c>
      <c r="TEG11" t="s">
        <v>13670</v>
      </c>
      <c r="TEH11" t="s">
        <v>13671</v>
      </c>
      <c r="TEI11" t="s">
        <v>13672</v>
      </c>
      <c r="TEJ11" t="s">
        <v>13673</v>
      </c>
      <c r="TEK11" t="s">
        <v>13674</v>
      </c>
      <c r="TEL11" t="s">
        <v>13675</v>
      </c>
      <c r="TEM11" t="s">
        <v>13676</v>
      </c>
      <c r="TEN11" t="s">
        <v>13677</v>
      </c>
      <c r="TEO11" t="s">
        <v>13678</v>
      </c>
      <c r="TEP11" t="s">
        <v>13679</v>
      </c>
      <c r="TEQ11" t="s">
        <v>13680</v>
      </c>
      <c r="TER11" t="s">
        <v>13681</v>
      </c>
      <c r="TES11" t="s">
        <v>13682</v>
      </c>
      <c r="TET11" t="s">
        <v>13683</v>
      </c>
      <c r="TEU11" t="s">
        <v>13684</v>
      </c>
      <c r="TEV11" t="s">
        <v>13685</v>
      </c>
      <c r="TEW11" t="s">
        <v>13686</v>
      </c>
      <c r="TEX11" t="s">
        <v>13687</v>
      </c>
      <c r="TEY11" t="s">
        <v>13688</v>
      </c>
      <c r="TEZ11" t="s">
        <v>13689</v>
      </c>
      <c r="TFA11" t="s">
        <v>13690</v>
      </c>
      <c r="TFB11" t="s">
        <v>13691</v>
      </c>
      <c r="TFC11" t="s">
        <v>13692</v>
      </c>
      <c r="TFD11" t="s">
        <v>13693</v>
      </c>
      <c r="TFE11" t="s">
        <v>13694</v>
      </c>
      <c r="TFF11" t="s">
        <v>13695</v>
      </c>
      <c r="TFG11" t="s">
        <v>13696</v>
      </c>
      <c r="TFH11" t="s">
        <v>13697</v>
      </c>
      <c r="TFI11" t="s">
        <v>13698</v>
      </c>
      <c r="TFJ11" t="s">
        <v>13699</v>
      </c>
      <c r="TFK11" t="s">
        <v>13700</v>
      </c>
      <c r="TFL11" t="s">
        <v>13701</v>
      </c>
      <c r="TFM11" t="s">
        <v>13702</v>
      </c>
      <c r="TFN11" t="s">
        <v>13703</v>
      </c>
      <c r="TFO11" t="s">
        <v>13704</v>
      </c>
      <c r="TFP11" t="s">
        <v>13705</v>
      </c>
      <c r="TFQ11" t="s">
        <v>13706</v>
      </c>
      <c r="TFR11" t="s">
        <v>13707</v>
      </c>
      <c r="TFS11" t="s">
        <v>13708</v>
      </c>
      <c r="TFT11" t="s">
        <v>13709</v>
      </c>
      <c r="TFU11" t="s">
        <v>13710</v>
      </c>
      <c r="TFV11" t="s">
        <v>13711</v>
      </c>
      <c r="TFW11" t="s">
        <v>13712</v>
      </c>
      <c r="TFX11" t="s">
        <v>13713</v>
      </c>
      <c r="TFY11" t="s">
        <v>13714</v>
      </c>
      <c r="TFZ11" t="s">
        <v>13715</v>
      </c>
      <c r="TGA11" t="s">
        <v>13716</v>
      </c>
      <c r="TGB11" t="s">
        <v>13717</v>
      </c>
      <c r="TGC11" t="s">
        <v>13718</v>
      </c>
      <c r="TGD11" t="s">
        <v>13719</v>
      </c>
      <c r="TGE11" t="s">
        <v>13720</v>
      </c>
      <c r="TGF11" t="s">
        <v>13721</v>
      </c>
      <c r="TGG11" t="s">
        <v>13722</v>
      </c>
      <c r="TGH11" t="s">
        <v>13723</v>
      </c>
      <c r="TGI11" t="s">
        <v>13724</v>
      </c>
      <c r="TGJ11" t="s">
        <v>13725</v>
      </c>
      <c r="TGK11" t="s">
        <v>13726</v>
      </c>
      <c r="TGL11" t="s">
        <v>13727</v>
      </c>
      <c r="TGM11" t="s">
        <v>13728</v>
      </c>
      <c r="TGN11" t="s">
        <v>13729</v>
      </c>
      <c r="TGO11" t="s">
        <v>13730</v>
      </c>
      <c r="TGP11" t="s">
        <v>13731</v>
      </c>
      <c r="TGQ11" t="s">
        <v>13732</v>
      </c>
      <c r="TGR11" t="s">
        <v>13733</v>
      </c>
      <c r="TGS11" t="s">
        <v>13734</v>
      </c>
      <c r="TGT11" t="s">
        <v>13735</v>
      </c>
      <c r="TGU11" t="s">
        <v>13736</v>
      </c>
      <c r="TGV11" t="s">
        <v>13737</v>
      </c>
      <c r="TGW11" t="s">
        <v>13738</v>
      </c>
      <c r="TGX11" t="s">
        <v>13739</v>
      </c>
      <c r="TGY11" t="s">
        <v>13740</v>
      </c>
      <c r="TGZ11" t="s">
        <v>13741</v>
      </c>
      <c r="THA11" t="s">
        <v>13742</v>
      </c>
      <c r="THB11" t="s">
        <v>13743</v>
      </c>
      <c r="THC11" t="s">
        <v>13744</v>
      </c>
      <c r="THD11" t="s">
        <v>13745</v>
      </c>
      <c r="THE11" t="s">
        <v>13746</v>
      </c>
      <c r="THF11" t="s">
        <v>13747</v>
      </c>
      <c r="THG11" t="s">
        <v>13748</v>
      </c>
      <c r="THH11" t="s">
        <v>13749</v>
      </c>
      <c r="THI11" t="s">
        <v>13750</v>
      </c>
      <c r="THJ11" t="s">
        <v>13751</v>
      </c>
      <c r="THK11" t="s">
        <v>13752</v>
      </c>
      <c r="THL11" t="s">
        <v>13753</v>
      </c>
      <c r="THM11" t="s">
        <v>13754</v>
      </c>
      <c r="THN11" t="s">
        <v>13755</v>
      </c>
      <c r="THO11" t="s">
        <v>13756</v>
      </c>
      <c r="THP11" t="s">
        <v>13757</v>
      </c>
      <c r="THQ11" t="s">
        <v>13758</v>
      </c>
      <c r="THR11" t="s">
        <v>13759</v>
      </c>
      <c r="THS11" t="s">
        <v>13760</v>
      </c>
      <c r="THT11" t="s">
        <v>13761</v>
      </c>
      <c r="THU11" t="s">
        <v>13762</v>
      </c>
      <c r="THV11" t="s">
        <v>13763</v>
      </c>
      <c r="THW11" t="s">
        <v>13764</v>
      </c>
      <c r="THX11" t="s">
        <v>13765</v>
      </c>
      <c r="THY11" t="s">
        <v>13766</v>
      </c>
      <c r="THZ11" t="s">
        <v>13767</v>
      </c>
      <c r="TIA11" t="s">
        <v>13768</v>
      </c>
      <c r="TIB11" t="s">
        <v>13769</v>
      </c>
      <c r="TIC11" t="s">
        <v>13770</v>
      </c>
      <c r="TID11" t="s">
        <v>13771</v>
      </c>
      <c r="TIE11" t="s">
        <v>13772</v>
      </c>
      <c r="TIF11" t="s">
        <v>13773</v>
      </c>
      <c r="TIG11" t="s">
        <v>13774</v>
      </c>
      <c r="TIH11" t="s">
        <v>13775</v>
      </c>
      <c r="TII11" t="s">
        <v>13776</v>
      </c>
      <c r="TIJ11" t="s">
        <v>13777</v>
      </c>
      <c r="TIK11" t="s">
        <v>13778</v>
      </c>
      <c r="TIL11" t="s">
        <v>13779</v>
      </c>
      <c r="TIM11" t="s">
        <v>13780</v>
      </c>
      <c r="TIN11" t="s">
        <v>13781</v>
      </c>
      <c r="TIO11" t="s">
        <v>13782</v>
      </c>
      <c r="TIP11" t="s">
        <v>13783</v>
      </c>
      <c r="TIQ11" t="s">
        <v>13784</v>
      </c>
      <c r="TIR11" t="s">
        <v>13785</v>
      </c>
      <c r="TIS11" t="s">
        <v>13786</v>
      </c>
      <c r="TIT11" t="s">
        <v>13787</v>
      </c>
      <c r="TIU11" t="s">
        <v>13788</v>
      </c>
      <c r="TIV11" t="s">
        <v>13789</v>
      </c>
      <c r="TIW11" t="s">
        <v>13790</v>
      </c>
      <c r="TIX11" t="s">
        <v>13791</v>
      </c>
      <c r="TIY11" t="s">
        <v>13792</v>
      </c>
      <c r="TIZ11" t="s">
        <v>13793</v>
      </c>
      <c r="TJA11" t="s">
        <v>13794</v>
      </c>
      <c r="TJB11" t="s">
        <v>13795</v>
      </c>
      <c r="TJC11" t="s">
        <v>13796</v>
      </c>
      <c r="TJD11" t="s">
        <v>13797</v>
      </c>
      <c r="TJE11" t="s">
        <v>13798</v>
      </c>
      <c r="TJF11" t="s">
        <v>13799</v>
      </c>
      <c r="TJG11" t="s">
        <v>13800</v>
      </c>
      <c r="TJH11" t="s">
        <v>13801</v>
      </c>
      <c r="TJI11" t="s">
        <v>13802</v>
      </c>
      <c r="TJJ11" t="s">
        <v>13803</v>
      </c>
      <c r="TJK11" t="s">
        <v>13804</v>
      </c>
      <c r="TJL11" t="s">
        <v>13805</v>
      </c>
      <c r="TJM11" t="s">
        <v>13806</v>
      </c>
      <c r="TJN11" t="s">
        <v>13807</v>
      </c>
      <c r="TJO11" t="s">
        <v>13808</v>
      </c>
      <c r="TJP11" t="s">
        <v>13809</v>
      </c>
      <c r="TJQ11" t="s">
        <v>13810</v>
      </c>
      <c r="TJR11" t="s">
        <v>13811</v>
      </c>
      <c r="TJS11" t="s">
        <v>13812</v>
      </c>
      <c r="TJT11" t="s">
        <v>13813</v>
      </c>
      <c r="TJU11" t="s">
        <v>13814</v>
      </c>
      <c r="TJV11" t="s">
        <v>13815</v>
      </c>
      <c r="TJW11" t="s">
        <v>13816</v>
      </c>
      <c r="TJX11" t="s">
        <v>13817</v>
      </c>
      <c r="TJY11" t="s">
        <v>13818</v>
      </c>
      <c r="TJZ11" t="s">
        <v>13819</v>
      </c>
      <c r="TKA11" t="s">
        <v>13820</v>
      </c>
      <c r="TKB11" t="s">
        <v>13821</v>
      </c>
      <c r="TKC11" t="s">
        <v>13822</v>
      </c>
      <c r="TKD11" t="s">
        <v>13823</v>
      </c>
      <c r="TKE11" t="s">
        <v>13824</v>
      </c>
      <c r="TKF11" t="s">
        <v>13825</v>
      </c>
      <c r="TKG11" t="s">
        <v>13826</v>
      </c>
      <c r="TKH11" t="s">
        <v>13827</v>
      </c>
      <c r="TKI11" t="s">
        <v>13828</v>
      </c>
      <c r="TKJ11" t="s">
        <v>13829</v>
      </c>
      <c r="TKK11" t="s">
        <v>13830</v>
      </c>
      <c r="TKL11" t="s">
        <v>13831</v>
      </c>
      <c r="TKM11" t="s">
        <v>13832</v>
      </c>
      <c r="TKN11" t="s">
        <v>13833</v>
      </c>
      <c r="TKO11" t="s">
        <v>13834</v>
      </c>
      <c r="TKP11" t="s">
        <v>13835</v>
      </c>
      <c r="TKQ11" t="s">
        <v>13836</v>
      </c>
      <c r="TKR11" t="s">
        <v>13837</v>
      </c>
      <c r="TKS11" t="s">
        <v>13838</v>
      </c>
      <c r="TKT11" t="s">
        <v>13839</v>
      </c>
      <c r="TKU11" t="s">
        <v>13840</v>
      </c>
      <c r="TKV11" t="s">
        <v>13841</v>
      </c>
      <c r="TKW11" t="s">
        <v>13842</v>
      </c>
      <c r="TKX11" t="s">
        <v>13843</v>
      </c>
      <c r="TKY11" t="s">
        <v>13844</v>
      </c>
      <c r="TKZ11" t="s">
        <v>13845</v>
      </c>
      <c r="TLA11" t="s">
        <v>13846</v>
      </c>
      <c r="TLB11" t="s">
        <v>13847</v>
      </c>
      <c r="TLC11" t="s">
        <v>13848</v>
      </c>
      <c r="TLD11" t="s">
        <v>13849</v>
      </c>
      <c r="TLE11" t="s">
        <v>13850</v>
      </c>
      <c r="TLF11" t="s">
        <v>13851</v>
      </c>
      <c r="TLG11" t="s">
        <v>13852</v>
      </c>
      <c r="TLH11" t="s">
        <v>13853</v>
      </c>
      <c r="TLI11" t="s">
        <v>13854</v>
      </c>
      <c r="TLJ11" t="s">
        <v>13855</v>
      </c>
      <c r="TLK11" t="s">
        <v>13856</v>
      </c>
      <c r="TLL11" t="s">
        <v>13857</v>
      </c>
      <c r="TLM11" t="s">
        <v>13858</v>
      </c>
      <c r="TLN11" t="s">
        <v>13859</v>
      </c>
      <c r="TLO11" t="s">
        <v>13860</v>
      </c>
      <c r="TLP11" t="s">
        <v>13861</v>
      </c>
      <c r="TLQ11" t="s">
        <v>13862</v>
      </c>
      <c r="TLR11" t="s">
        <v>13863</v>
      </c>
      <c r="TLS11" t="s">
        <v>13864</v>
      </c>
      <c r="TLT11" t="s">
        <v>13865</v>
      </c>
      <c r="TLU11" t="s">
        <v>13866</v>
      </c>
      <c r="TLV11" t="s">
        <v>13867</v>
      </c>
      <c r="TLW11" t="s">
        <v>13868</v>
      </c>
      <c r="TLX11" t="s">
        <v>13869</v>
      </c>
      <c r="TLY11" t="s">
        <v>13870</v>
      </c>
      <c r="TLZ11" t="s">
        <v>13871</v>
      </c>
      <c r="TMA11" t="s">
        <v>13872</v>
      </c>
      <c r="TMB11" t="s">
        <v>13873</v>
      </c>
      <c r="TMC11" t="s">
        <v>13874</v>
      </c>
      <c r="TMD11" t="s">
        <v>13875</v>
      </c>
      <c r="TME11" t="s">
        <v>13876</v>
      </c>
      <c r="TMF11" t="s">
        <v>13877</v>
      </c>
      <c r="TMG11" t="s">
        <v>13878</v>
      </c>
      <c r="TMH11" t="s">
        <v>13879</v>
      </c>
      <c r="TMI11" t="s">
        <v>13880</v>
      </c>
      <c r="TMJ11" t="s">
        <v>13881</v>
      </c>
      <c r="TMK11" t="s">
        <v>13882</v>
      </c>
      <c r="TML11" t="s">
        <v>13883</v>
      </c>
      <c r="TMM11" t="s">
        <v>13884</v>
      </c>
      <c r="TMN11" t="s">
        <v>13885</v>
      </c>
      <c r="TMO11" t="s">
        <v>13886</v>
      </c>
      <c r="TMP11" t="s">
        <v>13887</v>
      </c>
      <c r="TMQ11" t="s">
        <v>13888</v>
      </c>
      <c r="TMR11" t="s">
        <v>13889</v>
      </c>
      <c r="TMS11" t="s">
        <v>13890</v>
      </c>
      <c r="TMT11" t="s">
        <v>13891</v>
      </c>
      <c r="TMU11" t="s">
        <v>13892</v>
      </c>
      <c r="TMV11" t="s">
        <v>13893</v>
      </c>
      <c r="TMW11" t="s">
        <v>13894</v>
      </c>
      <c r="TMX11" t="s">
        <v>13895</v>
      </c>
      <c r="TMY11" t="s">
        <v>13896</v>
      </c>
      <c r="TMZ11" t="s">
        <v>13897</v>
      </c>
      <c r="TNA11" t="s">
        <v>13898</v>
      </c>
      <c r="TNB11" t="s">
        <v>13899</v>
      </c>
      <c r="TNC11" t="s">
        <v>13900</v>
      </c>
      <c r="TND11" t="s">
        <v>13901</v>
      </c>
      <c r="TNE11" t="s">
        <v>13902</v>
      </c>
      <c r="TNF11" t="s">
        <v>13903</v>
      </c>
      <c r="TNG11" t="s">
        <v>13904</v>
      </c>
      <c r="TNH11" t="s">
        <v>13905</v>
      </c>
      <c r="TNI11" t="s">
        <v>13906</v>
      </c>
      <c r="TNJ11" t="s">
        <v>13907</v>
      </c>
      <c r="TNK11" t="s">
        <v>13908</v>
      </c>
      <c r="TNL11" t="s">
        <v>13909</v>
      </c>
      <c r="TNM11" t="s">
        <v>13910</v>
      </c>
      <c r="TNN11" t="s">
        <v>13911</v>
      </c>
      <c r="TNO11" t="s">
        <v>13912</v>
      </c>
      <c r="TNP11" t="s">
        <v>13913</v>
      </c>
      <c r="TNQ11" t="s">
        <v>13914</v>
      </c>
      <c r="TNR11" t="s">
        <v>13915</v>
      </c>
      <c r="TNS11" t="s">
        <v>13916</v>
      </c>
      <c r="TNT11" t="s">
        <v>13917</v>
      </c>
      <c r="TNU11" t="s">
        <v>13918</v>
      </c>
      <c r="TNV11" t="s">
        <v>13919</v>
      </c>
      <c r="TNW11" t="s">
        <v>13920</v>
      </c>
      <c r="TNX11" t="s">
        <v>13921</v>
      </c>
      <c r="TNY11" t="s">
        <v>13922</v>
      </c>
      <c r="TNZ11" t="s">
        <v>13923</v>
      </c>
      <c r="TOA11" t="s">
        <v>13924</v>
      </c>
      <c r="TOB11" t="s">
        <v>13925</v>
      </c>
      <c r="TOC11" t="s">
        <v>13926</v>
      </c>
      <c r="TOD11" t="s">
        <v>13927</v>
      </c>
      <c r="TOE11" t="s">
        <v>13928</v>
      </c>
      <c r="TOF11" t="s">
        <v>13929</v>
      </c>
      <c r="TOG11" t="s">
        <v>13930</v>
      </c>
      <c r="TOH11" t="s">
        <v>13931</v>
      </c>
      <c r="TOI11" t="s">
        <v>13932</v>
      </c>
      <c r="TOJ11" t="s">
        <v>13933</v>
      </c>
      <c r="TOK11" t="s">
        <v>13934</v>
      </c>
      <c r="TOL11" t="s">
        <v>13935</v>
      </c>
      <c r="TOM11" t="s">
        <v>13936</v>
      </c>
      <c r="TON11" t="s">
        <v>13937</v>
      </c>
      <c r="TOO11" t="s">
        <v>13938</v>
      </c>
      <c r="TOP11" t="s">
        <v>13939</v>
      </c>
      <c r="TOQ11" t="s">
        <v>13940</v>
      </c>
      <c r="TOR11" t="s">
        <v>13941</v>
      </c>
      <c r="TOS11" t="s">
        <v>13942</v>
      </c>
      <c r="TOT11" t="s">
        <v>13943</v>
      </c>
      <c r="TOU11" t="s">
        <v>13944</v>
      </c>
      <c r="TOV11" t="s">
        <v>13945</v>
      </c>
      <c r="TOW11" t="s">
        <v>13946</v>
      </c>
      <c r="TOX11" t="s">
        <v>13947</v>
      </c>
      <c r="TOY11" t="s">
        <v>13948</v>
      </c>
      <c r="TOZ11" t="s">
        <v>13949</v>
      </c>
      <c r="TPA11" t="s">
        <v>13950</v>
      </c>
      <c r="TPB11" t="s">
        <v>13951</v>
      </c>
      <c r="TPC11" t="s">
        <v>13952</v>
      </c>
      <c r="TPD11" t="s">
        <v>13953</v>
      </c>
      <c r="TPE11" t="s">
        <v>13954</v>
      </c>
      <c r="TPF11" t="s">
        <v>13955</v>
      </c>
      <c r="TPG11" t="s">
        <v>13956</v>
      </c>
      <c r="TPH11" t="s">
        <v>13957</v>
      </c>
      <c r="TPI11" t="s">
        <v>13958</v>
      </c>
      <c r="TPJ11" t="s">
        <v>13959</v>
      </c>
      <c r="TPK11" t="s">
        <v>13960</v>
      </c>
      <c r="TPL11" t="s">
        <v>13961</v>
      </c>
      <c r="TPM11" t="s">
        <v>13962</v>
      </c>
      <c r="TPN11" t="s">
        <v>13963</v>
      </c>
      <c r="TPO11" t="s">
        <v>13964</v>
      </c>
      <c r="TPP11" t="s">
        <v>13965</v>
      </c>
      <c r="TPQ11" t="s">
        <v>13966</v>
      </c>
      <c r="TPR11" t="s">
        <v>13967</v>
      </c>
      <c r="TPS11" t="s">
        <v>13968</v>
      </c>
      <c r="TPT11" t="s">
        <v>13969</v>
      </c>
      <c r="TPU11" t="s">
        <v>13970</v>
      </c>
      <c r="TPV11" t="s">
        <v>13971</v>
      </c>
      <c r="TPW11" t="s">
        <v>13972</v>
      </c>
      <c r="TPX11" t="s">
        <v>13973</v>
      </c>
      <c r="TPY11" t="s">
        <v>13974</v>
      </c>
      <c r="TPZ11" t="s">
        <v>13975</v>
      </c>
      <c r="TQA11" t="s">
        <v>13976</v>
      </c>
      <c r="TQB11" t="s">
        <v>13977</v>
      </c>
      <c r="TQC11" t="s">
        <v>13978</v>
      </c>
      <c r="TQD11" t="s">
        <v>13979</v>
      </c>
      <c r="TQE11" t="s">
        <v>13980</v>
      </c>
      <c r="TQF11" t="s">
        <v>13981</v>
      </c>
      <c r="TQG11" t="s">
        <v>13982</v>
      </c>
      <c r="TQH11" t="s">
        <v>13983</v>
      </c>
      <c r="TQI11" t="s">
        <v>13984</v>
      </c>
      <c r="TQJ11" t="s">
        <v>13985</v>
      </c>
      <c r="TQK11" t="s">
        <v>13986</v>
      </c>
      <c r="TQL11" t="s">
        <v>13987</v>
      </c>
      <c r="TQM11" t="s">
        <v>13988</v>
      </c>
      <c r="TQN11" t="s">
        <v>13989</v>
      </c>
      <c r="TQO11" t="s">
        <v>13990</v>
      </c>
      <c r="TQP11" t="s">
        <v>13991</v>
      </c>
      <c r="TQQ11" t="s">
        <v>13992</v>
      </c>
      <c r="TQR11" t="s">
        <v>13993</v>
      </c>
      <c r="TQS11" t="s">
        <v>13994</v>
      </c>
      <c r="TQT11" t="s">
        <v>13995</v>
      </c>
      <c r="TQU11" t="s">
        <v>13996</v>
      </c>
      <c r="TQV11" t="s">
        <v>13997</v>
      </c>
      <c r="TQW11" t="s">
        <v>13998</v>
      </c>
      <c r="TQX11" t="s">
        <v>13999</v>
      </c>
      <c r="TQY11" t="s">
        <v>14000</v>
      </c>
      <c r="TQZ11" t="s">
        <v>14001</v>
      </c>
      <c r="TRA11" t="s">
        <v>14002</v>
      </c>
      <c r="TRB11" t="s">
        <v>14003</v>
      </c>
      <c r="TRC11" t="s">
        <v>14004</v>
      </c>
      <c r="TRD11" t="s">
        <v>14005</v>
      </c>
      <c r="TRE11" t="s">
        <v>14006</v>
      </c>
      <c r="TRF11" t="s">
        <v>14007</v>
      </c>
      <c r="TRG11" t="s">
        <v>14008</v>
      </c>
      <c r="TRH11" t="s">
        <v>14009</v>
      </c>
      <c r="TRI11" t="s">
        <v>14010</v>
      </c>
      <c r="TRJ11" t="s">
        <v>14011</v>
      </c>
      <c r="TRK11" t="s">
        <v>14012</v>
      </c>
      <c r="TRL11" t="s">
        <v>14013</v>
      </c>
      <c r="TRM11" t="s">
        <v>14014</v>
      </c>
      <c r="TRN11" t="s">
        <v>14015</v>
      </c>
      <c r="TRO11" t="s">
        <v>14016</v>
      </c>
      <c r="TRP11" t="s">
        <v>14017</v>
      </c>
      <c r="TRQ11" t="s">
        <v>14018</v>
      </c>
      <c r="TRR11" t="s">
        <v>14019</v>
      </c>
      <c r="TRS11" t="s">
        <v>14020</v>
      </c>
      <c r="TRT11" t="s">
        <v>14021</v>
      </c>
      <c r="TRU11" t="s">
        <v>14022</v>
      </c>
      <c r="TRV11" t="s">
        <v>14023</v>
      </c>
      <c r="TRW11" t="s">
        <v>14024</v>
      </c>
      <c r="TRX11" t="s">
        <v>14025</v>
      </c>
      <c r="TRY11" t="s">
        <v>14026</v>
      </c>
      <c r="TRZ11" t="s">
        <v>14027</v>
      </c>
      <c r="TSA11" t="s">
        <v>14028</v>
      </c>
      <c r="TSB11" t="s">
        <v>14029</v>
      </c>
      <c r="TSC11" t="s">
        <v>14030</v>
      </c>
      <c r="TSD11" t="s">
        <v>14031</v>
      </c>
      <c r="TSE11" t="s">
        <v>14032</v>
      </c>
      <c r="TSF11" t="s">
        <v>14033</v>
      </c>
      <c r="TSG11" t="s">
        <v>14034</v>
      </c>
      <c r="TSH11" t="s">
        <v>14035</v>
      </c>
      <c r="TSI11" t="s">
        <v>14036</v>
      </c>
      <c r="TSJ11" t="s">
        <v>14037</v>
      </c>
      <c r="TSK11" t="s">
        <v>14038</v>
      </c>
      <c r="TSL11" t="s">
        <v>14039</v>
      </c>
      <c r="TSM11" t="s">
        <v>14040</v>
      </c>
      <c r="TSN11" t="s">
        <v>14041</v>
      </c>
      <c r="TSO11" t="s">
        <v>14042</v>
      </c>
      <c r="TSP11" t="s">
        <v>14043</v>
      </c>
      <c r="TSQ11" t="s">
        <v>14044</v>
      </c>
      <c r="TSR11" t="s">
        <v>14045</v>
      </c>
      <c r="TSS11" t="s">
        <v>14046</v>
      </c>
      <c r="TST11" t="s">
        <v>14047</v>
      </c>
      <c r="TSU11" t="s">
        <v>14048</v>
      </c>
      <c r="TSV11" t="s">
        <v>14049</v>
      </c>
      <c r="TSW11" t="s">
        <v>14050</v>
      </c>
      <c r="TSX11" t="s">
        <v>14051</v>
      </c>
      <c r="TSY11" t="s">
        <v>14052</v>
      </c>
      <c r="TSZ11" t="s">
        <v>14053</v>
      </c>
      <c r="TTA11" t="s">
        <v>14054</v>
      </c>
      <c r="TTB11" t="s">
        <v>14055</v>
      </c>
      <c r="TTC11" t="s">
        <v>14056</v>
      </c>
      <c r="TTD11" t="s">
        <v>14057</v>
      </c>
      <c r="TTE11" t="s">
        <v>14058</v>
      </c>
      <c r="TTF11" t="s">
        <v>14059</v>
      </c>
      <c r="TTG11" t="s">
        <v>14060</v>
      </c>
      <c r="TTH11" t="s">
        <v>14061</v>
      </c>
      <c r="TTI11" t="s">
        <v>14062</v>
      </c>
      <c r="TTJ11" t="s">
        <v>14063</v>
      </c>
      <c r="TTK11" t="s">
        <v>14064</v>
      </c>
      <c r="TTL11" t="s">
        <v>14065</v>
      </c>
      <c r="TTM11" t="s">
        <v>14066</v>
      </c>
      <c r="TTN11" t="s">
        <v>14067</v>
      </c>
      <c r="TTO11" t="s">
        <v>14068</v>
      </c>
      <c r="TTP11" t="s">
        <v>14069</v>
      </c>
      <c r="TTQ11" t="s">
        <v>14070</v>
      </c>
      <c r="TTR11" t="s">
        <v>14071</v>
      </c>
      <c r="TTS11" t="s">
        <v>14072</v>
      </c>
      <c r="TTT11" t="s">
        <v>14073</v>
      </c>
      <c r="TTU11" t="s">
        <v>14074</v>
      </c>
      <c r="TTV11" t="s">
        <v>14075</v>
      </c>
      <c r="TTW11" t="s">
        <v>14076</v>
      </c>
      <c r="TTX11" t="s">
        <v>14077</v>
      </c>
      <c r="TTY11" t="s">
        <v>14078</v>
      </c>
      <c r="TTZ11" t="s">
        <v>14079</v>
      </c>
      <c r="TUA11" t="s">
        <v>14080</v>
      </c>
      <c r="TUB11" t="s">
        <v>14081</v>
      </c>
      <c r="TUC11" t="s">
        <v>14082</v>
      </c>
      <c r="TUD11" t="s">
        <v>14083</v>
      </c>
      <c r="TUE11" t="s">
        <v>14084</v>
      </c>
      <c r="TUF11" t="s">
        <v>14085</v>
      </c>
      <c r="TUG11" t="s">
        <v>14086</v>
      </c>
      <c r="TUH11" t="s">
        <v>14087</v>
      </c>
      <c r="TUI11" t="s">
        <v>14088</v>
      </c>
      <c r="TUJ11" t="s">
        <v>14089</v>
      </c>
      <c r="TUK11" t="s">
        <v>14090</v>
      </c>
      <c r="TUL11" t="s">
        <v>14091</v>
      </c>
      <c r="TUM11" t="s">
        <v>14092</v>
      </c>
      <c r="TUN11" t="s">
        <v>14093</v>
      </c>
      <c r="TUO11" t="s">
        <v>14094</v>
      </c>
      <c r="TUP11" t="s">
        <v>14095</v>
      </c>
      <c r="TUQ11" t="s">
        <v>14096</v>
      </c>
      <c r="TUR11" t="s">
        <v>14097</v>
      </c>
      <c r="TUS11" t="s">
        <v>14098</v>
      </c>
      <c r="TUT11" t="s">
        <v>14099</v>
      </c>
      <c r="TUU11" t="s">
        <v>14100</v>
      </c>
      <c r="TUV11" t="s">
        <v>14101</v>
      </c>
      <c r="TUW11" t="s">
        <v>14102</v>
      </c>
      <c r="TUX11" t="s">
        <v>14103</v>
      </c>
      <c r="TUY11" t="s">
        <v>14104</v>
      </c>
      <c r="TUZ11" t="s">
        <v>14105</v>
      </c>
      <c r="TVA11" t="s">
        <v>14106</v>
      </c>
      <c r="TVB11" t="s">
        <v>14107</v>
      </c>
      <c r="TVC11" t="s">
        <v>14108</v>
      </c>
      <c r="TVD11" t="s">
        <v>14109</v>
      </c>
      <c r="TVE11" t="s">
        <v>14110</v>
      </c>
      <c r="TVF11" t="s">
        <v>14111</v>
      </c>
      <c r="TVG11" t="s">
        <v>14112</v>
      </c>
      <c r="TVH11" t="s">
        <v>14113</v>
      </c>
      <c r="TVI11" t="s">
        <v>14114</v>
      </c>
      <c r="TVJ11" t="s">
        <v>14115</v>
      </c>
      <c r="TVK11" t="s">
        <v>14116</v>
      </c>
      <c r="TVL11" t="s">
        <v>14117</v>
      </c>
      <c r="TVM11" t="s">
        <v>14118</v>
      </c>
      <c r="TVN11" t="s">
        <v>14119</v>
      </c>
      <c r="TVO11" t="s">
        <v>14120</v>
      </c>
      <c r="TVP11" t="s">
        <v>14121</v>
      </c>
      <c r="TVQ11" t="s">
        <v>14122</v>
      </c>
      <c r="TVR11" t="s">
        <v>14123</v>
      </c>
      <c r="TVS11" t="s">
        <v>14124</v>
      </c>
      <c r="TVT11" t="s">
        <v>14125</v>
      </c>
      <c r="TVU11" t="s">
        <v>14126</v>
      </c>
      <c r="TVV11" t="s">
        <v>14127</v>
      </c>
      <c r="TVW11" t="s">
        <v>14128</v>
      </c>
      <c r="TVX11" t="s">
        <v>14129</v>
      </c>
      <c r="TVY11" t="s">
        <v>14130</v>
      </c>
      <c r="TVZ11" t="s">
        <v>14131</v>
      </c>
      <c r="TWA11" t="s">
        <v>14132</v>
      </c>
      <c r="TWB11" t="s">
        <v>14133</v>
      </c>
      <c r="TWC11" t="s">
        <v>14134</v>
      </c>
      <c r="TWD11" t="s">
        <v>14135</v>
      </c>
      <c r="TWE11" t="s">
        <v>14136</v>
      </c>
      <c r="TWF11" t="s">
        <v>14137</v>
      </c>
      <c r="TWG11" t="s">
        <v>14138</v>
      </c>
      <c r="TWH11" t="s">
        <v>14139</v>
      </c>
      <c r="TWI11" t="s">
        <v>14140</v>
      </c>
      <c r="TWJ11" t="s">
        <v>14141</v>
      </c>
      <c r="TWK11" t="s">
        <v>14142</v>
      </c>
      <c r="TWL11" t="s">
        <v>14143</v>
      </c>
      <c r="TWM11" t="s">
        <v>14144</v>
      </c>
      <c r="TWN11" t="s">
        <v>14145</v>
      </c>
      <c r="TWO11" t="s">
        <v>14146</v>
      </c>
      <c r="TWP11" t="s">
        <v>14147</v>
      </c>
      <c r="TWQ11" t="s">
        <v>14148</v>
      </c>
      <c r="TWR11" t="s">
        <v>14149</v>
      </c>
      <c r="TWS11" t="s">
        <v>14150</v>
      </c>
      <c r="TWT11" t="s">
        <v>14151</v>
      </c>
      <c r="TWU11" t="s">
        <v>14152</v>
      </c>
      <c r="TWV11" t="s">
        <v>14153</v>
      </c>
      <c r="TWW11" t="s">
        <v>14154</v>
      </c>
      <c r="TWX11" t="s">
        <v>14155</v>
      </c>
      <c r="TWY11" t="s">
        <v>14156</v>
      </c>
      <c r="TWZ11" t="s">
        <v>14157</v>
      </c>
      <c r="TXA11" t="s">
        <v>14158</v>
      </c>
      <c r="TXB11" t="s">
        <v>14159</v>
      </c>
      <c r="TXC11" t="s">
        <v>14160</v>
      </c>
      <c r="TXD11" t="s">
        <v>14161</v>
      </c>
      <c r="TXE11" t="s">
        <v>14162</v>
      </c>
      <c r="TXF11" t="s">
        <v>14163</v>
      </c>
      <c r="TXG11" t="s">
        <v>14164</v>
      </c>
      <c r="TXH11" t="s">
        <v>14165</v>
      </c>
      <c r="TXI11" t="s">
        <v>14166</v>
      </c>
      <c r="TXJ11" t="s">
        <v>14167</v>
      </c>
      <c r="TXK11" t="s">
        <v>14168</v>
      </c>
      <c r="TXL11" t="s">
        <v>14169</v>
      </c>
      <c r="TXM11" t="s">
        <v>14170</v>
      </c>
      <c r="TXN11" t="s">
        <v>14171</v>
      </c>
      <c r="TXO11" t="s">
        <v>14172</v>
      </c>
      <c r="TXP11" t="s">
        <v>14173</v>
      </c>
      <c r="TXQ11" t="s">
        <v>14174</v>
      </c>
      <c r="TXR11" t="s">
        <v>14175</v>
      </c>
      <c r="TXS11" t="s">
        <v>14176</v>
      </c>
      <c r="TXT11" t="s">
        <v>14177</v>
      </c>
      <c r="TXU11" t="s">
        <v>14178</v>
      </c>
      <c r="TXV11" t="s">
        <v>14179</v>
      </c>
      <c r="TXW11" t="s">
        <v>14180</v>
      </c>
      <c r="TXX11" t="s">
        <v>14181</v>
      </c>
      <c r="TXY11" t="s">
        <v>14182</v>
      </c>
      <c r="TXZ11" t="s">
        <v>14183</v>
      </c>
      <c r="TYA11" t="s">
        <v>14184</v>
      </c>
      <c r="TYB11" t="s">
        <v>14185</v>
      </c>
      <c r="TYC11" t="s">
        <v>14186</v>
      </c>
      <c r="TYD11" t="s">
        <v>14187</v>
      </c>
      <c r="TYE11" t="s">
        <v>14188</v>
      </c>
      <c r="TYF11" t="s">
        <v>14189</v>
      </c>
      <c r="TYG11" t="s">
        <v>14190</v>
      </c>
      <c r="TYH11" t="s">
        <v>14191</v>
      </c>
      <c r="TYI11" t="s">
        <v>14192</v>
      </c>
      <c r="TYJ11" t="s">
        <v>14193</v>
      </c>
      <c r="TYK11" t="s">
        <v>14194</v>
      </c>
      <c r="TYL11" t="s">
        <v>14195</v>
      </c>
      <c r="TYM11" t="s">
        <v>14196</v>
      </c>
      <c r="TYN11" t="s">
        <v>14197</v>
      </c>
      <c r="TYO11" t="s">
        <v>14198</v>
      </c>
      <c r="TYP11" t="s">
        <v>14199</v>
      </c>
      <c r="TYQ11" t="s">
        <v>14200</v>
      </c>
      <c r="TYR11" t="s">
        <v>14201</v>
      </c>
      <c r="TYS11" t="s">
        <v>14202</v>
      </c>
      <c r="TYT11" t="s">
        <v>14203</v>
      </c>
      <c r="TYU11" t="s">
        <v>14204</v>
      </c>
      <c r="TYV11" t="s">
        <v>14205</v>
      </c>
      <c r="TYW11" t="s">
        <v>14206</v>
      </c>
      <c r="TYX11" t="s">
        <v>14207</v>
      </c>
      <c r="TYY11" t="s">
        <v>14208</v>
      </c>
      <c r="TYZ11" t="s">
        <v>14209</v>
      </c>
      <c r="TZA11" t="s">
        <v>14210</v>
      </c>
      <c r="TZB11" t="s">
        <v>14211</v>
      </c>
      <c r="TZC11" t="s">
        <v>14212</v>
      </c>
      <c r="TZD11" t="s">
        <v>14213</v>
      </c>
      <c r="TZE11" t="s">
        <v>14214</v>
      </c>
      <c r="TZF11" t="s">
        <v>14215</v>
      </c>
      <c r="TZG11" t="s">
        <v>14216</v>
      </c>
      <c r="TZH11" t="s">
        <v>14217</v>
      </c>
      <c r="TZI11" t="s">
        <v>14218</v>
      </c>
      <c r="TZJ11" t="s">
        <v>14219</v>
      </c>
      <c r="TZK11" t="s">
        <v>14220</v>
      </c>
      <c r="TZL11" t="s">
        <v>14221</v>
      </c>
      <c r="TZM11" t="s">
        <v>14222</v>
      </c>
      <c r="TZN11" t="s">
        <v>14223</v>
      </c>
      <c r="TZO11" t="s">
        <v>14224</v>
      </c>
      <c r="TZP11" t="s">
        <v>14225</v>
      </c>
      <c r="TZQ11" t="s">
        <v>14226</v>
      </c>
      <c r="TZR11" t="s">
        <v>14227</v>
      </c>
      <c r="TZS11" t="s">
        <v>14228</v>
      </c>
      <c r="TZT11" t="s">
        <v>14229</v>
      </c>
      <c r="TZU11" t="s">
        <v>14230</v>
      </c>
      <c r="TZV11" t="s">
        <v>14231</v>
      </c>
      <c r="TZW11" t="s">
        <v>14232</v>
      </c>
      <c r="TZX11" t="s">
        <v>14233</v>
      </c>
      <c r="TZY11" t="s">
        <v>14234</v>
      </c>
      <c r="TZZ11" t="s">
        <v>14235</v>
      </c>
      <c r="UAA11" t="s">
        <v>14236</v>
      </c>
      <c r="UAB11" t="s">
        <v>14237</v>
      </c>
      <c r="UAC11" t="s">
        <v>14238</v>
      </c>
      <c r="UAD11" t="s">
        <v>14239</v>
      </c>
      <c r="UAE11" t="s">
        <v>14240</v>
      </c>
      <c r="UAF11" t="s">
        <v>14241</v>
      </c>
      <c r="UAG11" t="s">
        <v>14242</v>
      </c>
      <c r="UAH11" t="s">
        <v>14243</v>
      </c>
      <c r="UAI11" t="s">
        <v>14244</v>
      </c>
      <c r="UAJ11" t="s">
        <v>14245</v>
      </c>
      <c r="UAK11" t="s">
        <v>14246</v>
      </c>
      <c r="UAL11" t="s">
        <v>14247</v>
      </c>
      <c r="UAM11" t="s">
        <v>14248</v>
      </c>
      <c r="UAN11" t="s">
        <v>14249</v>
      </c>
      <c r="UAO11" t="s">
        <v>14250</v>
      </c>
      <c r="UAP11" t="s">
        <v>14251</v>
      </c>
      <c r="UAQ11" t="s">
        <v>14252</v>
      </c>
      <c r="UAR11" t="s">
        <v>14253</v>
      </c>
      <c r="UAS11" t="s">
        <v>14254</v>
      </c>
      <c r="UAT11" t="s">
        <v>14255</v>
      </c>
      <c r="UAU11" t="s">
        <v>14256</v>
      </c>
      <c r="UAV11" t="s">
        <v>14257</v>
      </c>
      <c r="UAW11" t="s">
        <v>14258</v>
      </c>
      <c r="UAX11" t="s">
        <v>14259</v>
      </c>
      <c r="UAY11" t="s">
        <v>14260</v>
      </c>
      <c r="UAZ11" t="s">
        <v>14261</v>
      </c>
      <c r="UBA11" t="s">
        <v>14262</v>
      </c>
      <c r="UBB11" t="s">
        <v>14263</v>
      </c>
      <c r="UBC11" t="s">
        <v>14264</v>
      </c>
      <c r="UBD11" t="s">
        <v>14265</v>
      </c>
      <c r="UBE11" t="s">
        <v>14266</v>
      </c>
      <c r="UBF11" t="s">
        <v>14267</v>
      </c>
      <c r="UBG11" t="s">
        <v>14268</v>
      </c>
      <c r="UBH11" t="s">
        <v>14269</v>
      </c>
      <c r="UBI11" t="s">
        <v>14270</v>
      </c>
      <c r="UBJ11" t="s">
        <v>14271</v>
      </c>
      <c r="UBK11" t="s">
        <v>14272</v>
      </c>
      <c r="UBL11" t="s">
        <v>14273</v>
      </c>
      <c r="UBM11" t="s">
        <v>14274</v>
      </c>
      <c r="UBN11" t="s">
        <v>14275</v>
      </c>
      <c r="UBO11" t="s">
        <v>14276</v>
      </c>
      <c r="UBP11" t="s">
        <v>14277</v>
      </c>
      <c r="UBQ11" t="s">
        <v>14278</v>
      </c>
      <c r="UBR11" t="s">
        <v>14279</v>
      </c>
      <c r="UBS11" t="s">
        <v>14280</v>
      </c>
      <c r="UBT11" t="s">
        <v>14281</v>
      </c>
      <c r="UBU11" t="s">
        <v>14282</v>
      </c>
      <c r="UBV11" t="s">
        <v>14283</v>
      </c>
      <c r="UBW11" t="s">
        <v>14284</v>
      </c>
      <c r="UBX11" t="s">
        <v>14285</v>
      </c>
      <c r="UBY11" t="s">
        <v>14286</v>
      </c>
      <c r="UBZ11" t="s">
        <v>14287</v>
      </c>
      <c r="UCA11" t="s">
        <v>14288</v>
      </c>
      <c r="UCB11" t="s">
        <v>14289</v>
      </c>
      <c r="UCC11" t="s">
        <v>14290</v>
      </c>
      <c r="UCD11" t="s">
        <v>14291</v>
      </c>
      <c r="UCE11" t="s">
        <v>14292</v>
      </c>
      <c r="UCF11" t="s">
        <v>14293</v>
      </c>
      <c r="UCG11" t="s">
        <v>14294</v>
      </c>
      <c r="UCH11" t="s">
        <v>14295</v>
      </c>
      <c r="UCI11" t="s">
        <v>14296</v>
      </c>
      <c r="UCJ11" t="s">
        <v>14297</v>
      </c>
      <c r="UCK11" t="s">
        <v>14298</v>
      </c>
      <c r="UCL11" t="s">
        <v>14299</v>
      </c>
      <c r="UCM11" t="s">
        <v>14300</v>
      </c>
      <c r="UCN11" t="s">
        <v>14301</v>
      </c>
      <c r="UCO11" t="s">
        <v>14302</v>
      </c>
      <c r="UCP11" t="s">
        <v>14303</v>
      </c>
      <c r="UCQ11" t="s">
        <v>14304</v>
      </c>
      <c r="UCR11" t="s">
        <v>14305</v>
      </c>
      <c r="UCS11" t="s">
        <v>14306</v>
      </c>
      <c r="UCT11" t="s">
        <v>14307</v>
      </c>
      <c r="UCU11" t="s">
        <v>14308</v>
      </c>
      <c r="UCV11" t="s">
        <v>14309</v>
      </c>
      <c r="UCW11" t="s">
        <v>14310</v>
      </c>
      <c r="UCX11" t="s">
        <v>14311</v>
      </c>
      <c r="UCY11" t="s">
        <v>14312</v>
      </c>
      <c r="UCZ11" t="s">
        <v>14313</v>
      </c>
      <c r="UDA11" t="s">
        <v>14314</v>
      </c>
      <c r="UDB11" t="s">
        <v>14315</v>
      </c>
      <c r="UDC11" t="s">
        <v>14316</v>
      </c>
      <c r="UDD11" t="s">
        <v>14317</v>
      </c>
      <c r="UDE11" t="s">
        <v>14318</v>
      </c>
      <c r="UDF11" t="s">
        <v>14319</v>
      </c>
      <c r="UDG11" t="s">
        <v>14320</v>
      </c>
      <c r="UDH11" t="s">
        <v>14321</v>
      </c>
      <c r="UDI11" t="s">
        <v>14322</v>
      </c>
      <c r="UDJ11" t="s">
        <v>14323</v>
      </c>
      <c r="UDK11" t="s">
        <v>14324</v>
      </c>
      <c r="UDL11" t="s">
        <v>14325</v>
      </c>
      <c r="UDM11" t="s">
        <v>14326</v>
      </c>
      <c r="UDN11" t="s">
        <v>14327</v>
      </c>
      <c r="UDO11" t="s">
        <v>14328</v>
      </c>
      <c r="UDP11" t="s">
        <v>14329</v>
      </c>
      <c r="UDQ11" t="s">
        <v>14330</v>
      </c>
      <c r="UDR11" t="s">
        <v>14331</v>
      </c>
      <c r="UDS11" t="s">
        <v>14332</v>
      </c>
      <c r="UDT11" t="s">
        <v>14333</v>
      </c>
      <c r="UDU11" t="s">
        <v>14334</v>
      </c>
      <c r="UDV11" t="s">
        <v>14335</v>
      </c>
      <c r="UDW11" t="s">
        <v>14336</v>
      </c>
      <c r="UDX11" t="s">
        <v>14337</v>
      </c>
      <c r="UDY11" t="s">
        <v>14338</v>
      </c>
      <c r="UDZ11" t="s">
        <v>14339</v>
      </c>
      <c r="UEA11" t="s">
        <v>14340</v>
      </c>
      <c r="UEB11" t="s">
        <v>14341</v>
      </c>
      <c r="UEC11" t="s">
        <v>14342</v>
      </c>
      <c r="UED11" t="s">
        <v>14343</v>
      </c>
      <c r="UEE11" t="s">
        <v>14344</v>
      </c>
      <c r="UEF11" t="s">
        <v>14345</v>
      </c>
      <c r="UEG11" t="s">
        <v>14346</v>
      </c>
      <c r="UEH11" t="s">
        <v>14347</v>
      </c>
      <c r="UEI11" t="s">
        <v>14348</v>
      </c>
      <c r="UEJ11" t="s">
        <v>14349</v>
      </c>
      <c r="UEK11" t="s">
        <v>14350</v>
      </c>
      <c r="UEL11" t="s">
        <v>14351</v>
      </c>
      <c r="UEM11" t="s">
        <v>14352</v>
      </c>
      <c r="UEN11" t="s">
        <v>14353</v>
      </c>
      <c r="UEO11" t="s">
        <v>14354</v>
      </c>
      <c r="UEP11" t="s">
        <v>14355</v>
      </c>
      <c r="UEQ11" t="s">
        <v>14356</v>
      </c>
      <c r="UER11" t="s">
        <v>14357</v>
      </c>
      <c r="UES11" t="s">
        <v>14358</v>
      </c>
      <c r="UET11" t="s">
        <v>14359</v>
      </c>
      <c r="UEU11" t="s">
        <v>14360</v>
      </c>
      <c r="UEV11" t="s">
        <v>14361</v>
      </c>
      <c r="UEW11" t="s">
        <v>14362</v>
      </c>
      <c r="UEX11" t="s">
        <v>14363</v>
      </c>
      <c r="UEY11" t="s">
        <v>14364</v>
      </c>
      <c r="UEZ11" t="s">
        <v>14365</v>
      </c>
      <c r="UFA11" t="s">
        <v>14366</v>
      </c>
      <c r="UFB11" t="s">
        <v>14367</v>
      </c>
      <c r="UFC11" t="s">
        <v>14368</v>
      </c>
      <c r="UFD11" t="s">
        <v>14369</v>
      </c>
      <c r="UFE11" t="s">
        <v>14370</v>
      </c>
      <c r="UFF11" t="s">
        <v>14371</v>
      </c>
      <c r="UFG11" t="s">
        <v>14372</v>
      </c>
      <c r="UFH11" t="s">
        <v>14373</v>
      </c>
      <c r="UFI11" t="s">
        <v>14374</v>
      </c>
      <c r="UFJ11" t="s">
        <v>14375</v>
      </c>
      <c r="UFK11" t="s">
        <v>14376</v>
      </c>
      <c r="UFL11" t="s">
        <v>14377</v>
      </c>
      <c r="UFM11" t="s">
        <v>14378</v>
      </c>
      <c r="UFN11" t="s">
        <v>14379</v>
      </c>
      <c r="UFO11" t="s">
        <v>14380</v>
      </c>
      <c r="UFP11" t="s">
        <v>14381</v>
      </c>
      <c r="UFQ11" t="s">
        <v>14382</v>
      </c>
      <c r="UFR11" t="s">
        <v>14383</v>
      </c>
      <c r="UFS11" t="s">
        <v>14384</v>
      </c>
      <c r="UFT11" t="s">
        <v>14385</v>
      </c>
      <c r="UFU11" t="s">
        <v>14386</v>
      </c>
      <c r="UFV11" t="s">
        <v>14387</v>
      </c>
      <c r="UFW11" t="s">
        <v>14388</v>
      </c>
      <c r="UFX11" t="s">
        <v>14389</v>
      </c>
      <c r="UFY11" t="s">
        <v>14390</v>
      </c>
      <c r="UFZ11" t="s">
        <v>14391</v>
      </c>
      <c r="UGA11" t="s">
        <v>14392</v>
      </c>
      <c r="UGB11" t="s">
        <v>14393</v>
      </c>
      <c r="UGC11" t="s">
        <v>14394</v>
      </c>
      <c r="UGD11" t="s">
        <v>14395</v>
      </c>
      <c r="UGE11" t="s">
        <v>14396</v>
      </c>
      <c r="UGF11" t="s">
        <v>14397</v>
      </c>
      <c r="UGG11" t="s">
        <v>14398</v>
      </c>
      <c r="UGH11" t="s">
        <v>14399</v>
      </c>
      <c r="UGI11" t="s">
        <v>14400</v>
      </c>
      <c r="UGJ11" t="s">
        <v>14401</v>
      </c>
      <c r="UGK11" t="s">
        <v>14402</v>
      </c>
      <c r="UGL11" t="s">
        <v>14403</v>
      </c>
      <c r="UGM11" t="s">
        <v>14404</v>
      </c>
      <c r="UGN11" t="s">
        <v>14405</v>
      </c>
      <c r="UGO11" t="s">
        <v>14406</v>
      </c>
      <c r="UGP11" t="s">
        <v>14407</v>
      </c>
      <c r="UGQ11" t="s">
        <v>14408</v>
      </c>
      <c r="UGR11" t="s">
        <v>14409</v>
      </c>
      <c r="UGS11" t="s">
        <v>14410</v>
      </c>
      <c r="UGT11" t="s">
        <v>14411</v>
      </c>
      <c r="UGU11" t="s">
        <v>14412</v>
      </c>
      <c r="UGV11" t="s">
        <v>14413</v>
      </c>
      <c r="UGW11" t="s">
        <v>14414</v>
      </c>
      <c r="UGX11" t="s">
        <v>14415</v>
      </c>
      <c r="UGY11" t="s">
        <v>14416</v>
      </c>
      <c r="UGZ11" t="s">
        <v>14417</v>
      </c>
      <c r="UHA11" t="s">
        <v>14418</v>
      </c>
      <c r="UHB11" t="s">
        <v>14419</v>
      </c>
      <c r="UHC11" t="s">
        <v>14420</v>
      </c>
      <c r="UHD11" t="s">
        <v>14421</v>
      </c>
      <c r="UHE11" t="s">
        <v>14422</v>
      </c>
      <c r="UHF11" t="s">
        <v>14423</v>
      </c>
      <c r="UHG11" t="s">
        <v>14424</v>
      </c>
      <c r="UHH11" t="s">
        <v>14425</v>
      </c>
      <c r="UHI11" t="s">
        <v>14426</v>
      </c>
      <c r="UHJ11" t="s">
        <v>14427</v>
      </c>
      <c r="UHK11" t="s">
        <v>14428</v>
      </c>
      <c r="UHL11" t="s">
        <v>14429</v>
      </c>
      <c r="UHM11" t="s">
        <v>14430</v>
      </c>
      <c r="UHN11" t="s">
        <v>14431</v>
      </c>
      <c r="UHO11" t="s">
        <v>14432</v>
      </c>
      <c r="UHP11" t="s">
        <v>14433</v>
      </c>
      <c r="UHQ11" t="s">
        <v>14434</v>
      </c>
      <c r="UHR11" t="s">
        <v>14435</v>
      </c>
      <c r="UHS11" t="s">
        <v>14436</v>
      </c>
      <c r="UHT11" t="s">
        <v>14437</v>
      </c>
      <c r="UHU11" t="s">
        <v>14438</v>
      </c>
      <c r="UHV11" t="s">
        <v>14439</v>
      </c>
      <c r="UHW11" t="s">
        <v>14440</v>
      </c>
      <c r="UHX11" t="s">
        <v>14441</v>
      </c>
      <c r="UHY11" t="s">
        <v>14442</v>
      </c>
      <c r="UHZ11" t="s">
        <v>14443</v>
      </c>
      <c r="UIA11" t="s">
        <v>14444</v>
      </c>
      <c r="UIB11" t="s">
        <v>14445</v>
      </c>
      <c r="UIC11" t="s">
        <v>14446</v>
      </c>
      <c r="UID11" t="s">
        <v>14447</v>
      </c>
      <c r="UIE11" t="s">
        <v>14448</v>
      </c>
      <c r="UIF11" t="s">
        <v>14449</v>
      </c>
      <c r="UIG11" t="s">
        <v>14450</v>
      </c>
      <c r="UIH11" t="s">
        <v>14451</v>
      </c>
      <c r="UII11" t="s">
        <v>14452</v>
      </c>
      <c r="UIJ11" t="s">
        <v>14453</v>
      </c>
      <c r="UIK11" t="s">
        <v>14454</v>
      </c>
      <c r="UIL11" t="s">
        <v>14455</v>
      </c>
      <c r="UIM11" t="s">
        <v>14456</v>
      </c>
      <c r="UIN11" t="s">
        <v>14457</v>
      </c>
      <c r="UIO11" t="s">
        <v>14458</v>
      </c>
      <c r="UIP11" t="s">
        <v>14459</v>
      </c>
      <c r="UIQ11" t="s">
        <v>14460</v>
      </c>
      <c r="UIR11" t="s">
        <v>14461</v>
      </c>
      <c r="UIS11" t="s">
        <v>14462</v>
      </c>
      <c r="UIT11" t="s">
        <v>14463</v>
      </c>
      <c r="UIU11" t="s">
        <v>14464</v>
      </c>
      <c r="UIV11" t="s">
        <v>14465</v>
      </c>
      <c r="UIW11" t="s">
        <v>14466</v>
      </c>
      <c r="UIX11" t="s">
        <v>14467</v>
      </c>
      <c r="UIY11" t="s">
        <v>14468</v>
      </c>
      <c r="UIZ11" t="s">
        <v>14469</v>
      </c>
      <c r="UJA11" t="s">
        <v>14470</v>
      </c>
      <c r="UJB11" t="s">
        <v>14471</v>
      </c>
      <c r="UJC11" t="s">
        <v>14472</v>
      </c>
      <c r="UJD11" t="s">
        <v>14473</v>
      </c>
      <c r="UJE11" t="s">
        <v>14474</v>
      </c>
      <c r="UJF11" t="s">
        <v>14475</v>
      </c>
      <c r="UJG11" t="s">
        <v>14476</v>
      </c>
      <c r="UJH11" t="s">
        <v>14477</v>
      </c>
      <c r="UJI11" t="s">
        <v>14478</v>
      </c>
      <c r="UJJ11" t="s">
        <v>14479</v>
      </c>
      <c r="UJK11" t="s">
        <v>14480</v>
      </c>
      <c r="UJL11" t="s">
        <v>14481</v>
      </c>
      <c r="UJM11" t="s">
        <v>14482</v>
      </c>
      <c r="UJN11" t="s">
        <v>14483</v>
      </c>
      <c r="UJO11" t="s">
        <v>14484</v>
      </c>
      <c r="UJP11" t="s">
        <v>14485</v>
      </c>
      <c r="UJQ11" t="s">
        <v>14486</v>
      </c>
      <c r="UJR11" t="s">
        <v>14487</v>
      </c>
      <c r="UJS11" t="s">
        <v>14488</v>
      </c>
      <c r="UJT11" t="s">
        <v>14489</v>
      </c>
      <c r="UJU11" t="s">
        <v>14490</v>
      </c>
      <c r="UJV11" t="s">
        <v>14491</v>
      </c>
      <c r="UJW11" t="s">
        <v>14492</v>
      </c>
      <c r="UJX11" t="s">
        <v>14493</v>
      </c>
      <c r="UJY11" t="s">
        <v>14494</v>
      </c>
      <c r="UJZ11" t="s">
        <v>14495</v>
      </c>
      <c r="UKA11" t="s">
        <v>14496</v>
      </c>
      <c r="UKB11" t="s">
        <v>14497</v>
      </c>
      <c r="UKC11" t="s">
        <v>14498</v>
      </c>
      <c r="UKD11" t="s">
        <v>14499</v>
      </c>
      <c r="UKE11" t="s">
        <v>14500</v>
      </c>
      <c r="UKF11" t="s">
        <v>14501</v>
      </c>
      <c r="UKG11" t="s">
        <v>14502</v>
      </c>
      <c r="UKH11" t="s">
        <v>14503</v>
      </c>
      <c r="UKI11" t="s">
        <v>14504</v>
      </c>
      <c r="UKJ11" t="s">
        <v>14505</v>
      </c>
      <c r="UKK11" t="s">
        <v>14506</v>
      </c>
      <c r="UKL11" t="s">
        <v>14507</v>
      </c>
      <c r="UKM11" t="s">
        <v>14508</v>
      </c>
      <c r="UKN11" t="s">
        <v>14509</v>
      </c>
      <c r="UKO11" t="s">
        <v>14510</v>
      </c>
      <c r="UKP11" t="s">
        <v>14511</v>
      </c>
      <c r="UKQ11" t="s">
        <v>14512</v>
      </c>
      <c r="UKR11" t="s">
        <v>14513</v>
      </c>
      <c r="UKS11" t="s">
        <v>14514</v>
      </c>
      <c r="UKT11" t="s">
        <v>14515</v>
      </c>
      <c r="UKU11" t="s">
        <v>14516</v>
      </c>
      <c r="UKV11" t="s">
        <v>14517</v>
      </c>
      <c r="UKW11" t="s">
        <v>14518</v>
      </c>
      <c r="UKX11" t="s">
        <v>14519</v>
      </c>
      <c r="UKY11" t="s">
        <v>14520</v>
      </c>
      <c r="UKZ11" t="s">
        <v>14521</v>
      </c>
      <c r="ULA11" t="s">
        <v>14522</v>
      </c>
      <c r="ULB11" t="s">
        <v>14523</v>
      </c>
      <c r="ULC11" t="s">
        <v>14524</v>
      </c>
      <c r="ULD11" t="s">
        <v>14525</v>
      </c>
      <c r="ULE11" t="s">
        <v>14526</v>
      </c>
      <c r="ULF11" t="s">
        <v>14527</v>
      </c>
      <c r="ULG11" t="s">
        <v>14528</v>
      </c>
      <c r="ULH11" t="s">
        <v>14529</v>
      </c>
      <c r="ULI11" t="s">
        <v>14530</v>
      </c>
      <c r="ULJ11" t="s">
        <v>14531</v>
      </c>
      <c r="ULK11" t="s">
        <v>14532</v>
      </c>
      <c r="ULL11" t="s">
        <v>14533</v>
      </c>
      <c r="ULM11" t="s">
        <v>14534</v>
      </c>
      <c r="ULN11" t="s">
        <v>14535</v>
      </c>
      <c r="ULO11" t="s">
        <v>14536</v>
      </c>
      <c r="ULP11" t="s">
        <v>14537</v>
      </c>
      <c r="ULQ11" t="s">
        <v>14538</v>
      </c>
      <c r="ULR11" t="s">
        <v>14539</v>
      </c>
      <c r="ULS11" t="s">
        <v>14540</v>
      </c>
      <c r="ULT11" t="s">
        <v>14541</v>
      </c>
      <c r="ULU11" t="s">
        <v>14542</v>
      </c>
      <c r="ULV11" t="s">
        <v>14543</v>
      </c>
      <c r="ULW11" t="s">
        <v>14544</v>
      </c>
      <c r="ULX11" t="s">
        <v>14545</v>
      </c>
      <c r="ULY11" t="s">
        <v>14546</v>
      </c>
      <c r="ULZ11" t="s">
        <v>14547</v>
      </c>
      <c r="UMA11" t="s">
        <v>14548</v>
      </c>
      <c r="UMB11" t="s">
        <v>14549</v>
      </c>
      <c r="UMC11" t="s">
        <v>14550</v>
      </c>
      <c r="UMD11" t="s">
        <v>14551</v>
      </c>
      <c r="UME11" t="s">
        <v>14552</v>
      </c>
      <c r="UMF11" t="s">
        <v>14553</v>
      </c>
      <c r="UMG11" t="s">
        <v>14554</v>
      </c>
      <c r="UMH11" t="s">
        <v>14555</v>
      </c>
      <c r="UMI11" t="s">
        <v>14556</v>
      </c>
      <c r="UMJ11" t="s">
        <v>14557</v>
      </c>
      <c r="UMK11" t="s">
        <v>14558</v>
      </c>
      <c r="UML11" t="s">
        <v>14559</v>
      </c>
      <c r="UMM11" t="s">
        <v>14560</v>
      </c>
      <c r="UMN11" t="s">
        <v>14561</v>
      </c>
      <c r="UMO11" t="s">
        <v>14562</v>
      </c>
      <c r="UMP11" t="s">
        <v>14563</v>
      </c>
      <c r="UMQ11" t="s">
        <v>14564</v>
      </c>
      <c r="UMR11" t="s">
        <v>14565</v>
      </c>
      <c r="UMS11" t="s">
        <v>14566</v>
      </c>
      <c r="UMT11" t="s">
        <v>14567</v>
      </c>
      <c r="UMU11" t="s">
        <v>14568</v>
      </c>
      <c r="UMV11" t="s">
        <v>14569</v>
      </c>
      <c r="UMW11" t="s">
        <v>14570</v>
      </c>
      <c r="UMX11" t="s">
        <v>14571</v>
      </c>
      <c r="UMY11" t="s">
        <v>14572</v>
      </c>
      <c r="UMZ11" t="s">
        <v>14573</v>
      </c>
      <c r="UNA11" t="s">
        <v>14574</v>
      </c>
      <c r="UNB11" t="s">
        <v>14575</v>
      </c>
      <c r="UNC11" t="s">
        <v>14576</v>
      </c>
      <c r="UND11" t="s">
        <v>14577</v>
      </c>
      <c r="UNE11" t="s">
        <v>14578</v>
      </c>
      <c r="UNF11" t="s">
        <v>14579</v>
      </c>
      <c r="UNG11" t="s">
        <v>14580</v>
      </c>
      <c r="UNH11" t="s">
        <v>14581</v>
      </c>
      <c r="UNI11" t="s">
        <v>14582</v>
      </c>
      <c r="UNJ11" t="s">
        <v>14583</v>
      </c>
      <c r="UNK11" t="s">
        <v>14584</v>
      </c>
      <c r="UNL11" t="s">
        <v>14585</v>
      </c>
      <c r="UNM11" t="s">
        <v>14586</v>
      </c>
      <c r="UNN11" t="s">
        <v>14587</v>
      </c>
      <c r="UNO11" t="s">
        <v>14588</v>
      </c>
      <c r="UNP11" t="s">
        <v>14589</v>
      </c>
      <c r="UNQ11" t="s">
        <v>14590</v>
      </c>
      <c r="UNR11" t="s">
        <v>14591</v>
      </c>
      <c r="UNS11" t="s">
        <v>14592</v>
      </c>
      <c r="UNT11" t="s">
        <v>14593</v>
      </c>
      <c r="UNU11" t="s">
        <v>14594</v>
      </c>
      <c r="UNV11" t="s">
        <v>14595</v>
      </c>
      <c r="UNW11" t="s">
        <v>14596</v>
      </c>
      <c r="UNX11" t="s">
        <v>14597</v>
      </c>
      <c r="UNY11" t="s">
        <v>14598</v>
      </c>
      <c r="UNZ11" t="s">
        <v>14599</v>
      </c>
      <c r="UOA11" t="s">
        <v>14600</v>
      </c>
      <c r="UOB11" t="s">
        <v>14601</v>
      </c>
      <c r="UOC11" t="s">
        <v>14602</v>
      </c>
      <c r="UOD11" t="s">
        <v>14603</v>
      </c>
      <c r="UOE11" t="s">
        <v>14604</v>
      </c>
      <c r="UOF11" t="s">
        <v>14605</v>
      </c>
      <c r="UOG11" t="s">
        <v>14606</v>
      </c>
      <c r="UOH11" t="s">
        <v>14607</v>
      </c>
      <c r="UOI11" t="s">
        <v>14608</v>
      </c>
      <c r="UOJ11" t="s">
        <v>14609</v>
      </c>
      <c r="UOK11" t="s">
        <v>14610</v>
      </c>
      <c r="UOL11" t="s">
        <v>14611</v>
      </c>
      <c r="UOM11" t="s">
        <v>14612</v>
      </c>
      <c r="UON11" t="s">
        <v>14613</v>
      </c>
      <c r="UOO11" t="s">
        <v>14614</v>
      </c>
      <c r="UOP11" t="s">
        <v>14615</v>
      </c>
      <c r="UOQ11" t="s">
        <v>14616</v>
      </c>
      <c r="UOR11" t="s">
        <v>14617</v>
      </c>
      <c r="UOS11" t="s">
        <v>14618</v>
      </c>
      <c r="UOT11" t="s">
        <v>14619</v>
      </c>
      <c r="UOU11" t="s">
        <v>14620</v>
      </c>
      <c r="UOV11" t="s">
        <v>14621</v>
      </c>
      <c r="UOW11" t="s">
        <v>14622</v>
      </c>
      <c r="UOX11" t="s">
        <v>14623</v>
      </c>
      <c r="UOY11" t="s">
        <v>14624</v>
      </c>
      <c r="UOZ11" t="s">
        <v>14625</v>
      </c>
      <c r="UPA11" t="s">
        <v>14626</v>
      </c>
      <c r="UPB11" t="s">
        <v>14627</v>
      </c>
      <c r="UPC11" t="s">
        <v>14628</v>
      </c>
      <c r="UPD11" t="s">
        <v>14629</v>
      </c>
      <c r="UPE11" t="s">
        <v>14630</v>
      </c>
      <c r="UPF11" t="s">
        <v>14631</v>
      </c>
      <c r="UPG11" t="s">
        <v>14632</v>
      </c>
      <c r="UPH11" t="s">
        <v>14633</v>
      </c>
      <c r="UPI11" t="s">
        <v>14634</v>
      </c>
      <c r="UPJ11" t="s">
        <v>14635</v>
      </c>
      <c r="UPK11" t="s">
        <v>14636</v>
      </c>
      <c r="UPL11" t="s">
        <v>14637</v>
      </c>
      <c r="UPM11" t="s">
        <v>14638</v>
      </c>
      <c r="UPN11" t="s">
        <v>14639</v>
      </c>
      <c r="UPO11" t="s">
        <v>14640</v>
      </c>
      <c r="UPP11" t="s">
        <v>14641</v>
      </c>
      <c r="UPQ11" t="s">
        <v>14642</v>
      </c>
      <c r="UPR11" t="s">
        <v>14643</v>
      </c>
      <c r="UPS11" t="s">
        <v>14644</v>
      </c>
      <c r="UPT11" t="s">
        <v>14645</v>
      </c>
      <c r="UPU11" t="s">
        <v>14646</v>
      </c>
      <c r="UPV11" t="s">
        <v>14647</v>
      </c>
      <c r="UPW11" t="s">
        <v>14648</v>
      </c>
      <c r="UPX11" t="s">
        <v>14649</v>
      </c>
      <c r="UPY11" t="s">
        <v>14650</v>
      </c>
      <c r="UPZ11" t="s">
        <v>14651</v>
      </c>
      <c r="UQA11" t="s">
        <v>14652</v>
      </c>
      <c r="UQB11" t="s">
        <v>14653</v>
      </c>
      <c r="UQC11" t="s">
        <v>14654</v>
      </c>
      <c r="UQD11" t="s">
        <v>14655</v>
      </c>
      <c r="UQE11" t="s">
        <v>14656</v>
      </c>
      <c r="UQF11" t="s">
        <v>14657</v>
      </c>
      <c r="UQG11" t="s">
        <v>14658</v>
      </c>
      <c r="UQH11" t="s">
        <v>14659</v>
      </c>
      <c r="UQI11" t="s">
        <v>14660</v>
      </c>
      <c r="UQJ11" t="s">
        <v>14661</v>
      </c>
      <c r="UQK11" t="s">
        <v>14662</v>
      </c>
      <c r="UQL11" t="s">
        <v>14663</v>
      </c>
      <c r="UQM11" t="s">
        <v>14664</v>
      </c>
      <c r="UQN11" t="s">
        <v>14665</v>
      </c>
      <c r="UQO11" t="s">
        <v>14666</v>
      </c>
      <c r="UQP11" t="s">
        <v>14667</v>
      </c>
      <c r="UQQ11" t="s">
        <v>14668</v>
      </c>
      <c r="UQR11" t="s">
        <v>14669</v>
      </c>
      <c r="UQS11" t="s">
        <v>14670</v>
      </c>
      <c r="UQT11" t="s">
        <v>14671</v>
      </c>
      <c r="UQU11" t="s">
        <v>14672</v>
      </c>
      <c r="UQV11" t="s">
        <v>14673</v>
      </c>
      <c r="UQW11" t="s">
        <v>14674</v>
      </c>
      <c r="UQX11" t="s">
        <v>14675</v>
      </c>
      <c r="UQY11" t="s">
        <v>14676</v>
      </c>
      <c r="UQZ11" t="s">
        <v>14677</v>
      </c>
      <c r="URA11" t="s">
        <v>14678</v>
      </c>
      <c r="URB11" t="s">
        <v>14679</v>
      </c>
      <c r="URC11" t="s">
        <v>14680</v>
      </c>
      <c r="URD11" t="s">
        <v>14681</v>
      </c>
      <c r="URE11" t="s">
        <v>14682</v>
      </c>
      <c r="URF11" t="s">
        <v>14683</v>
      </c>
      <c r="URG11" t="s">
        <v>14684</v>
      </c>
      <c r="URH11" t="s">
        <v>14685</v>
      </c>
      <c r="URI11" t="s">
        <v>14686</v>
      </c>
      <c r="URJ11" t="s">
        <v>14687</v>
      </c>
      <c r="URK11" t="s">
        <v>14688</v>
      </c>
      <c r="URL11" t="s">
        <v>14689</v>
      </c>
      <c r="URM11" t="s">
        <v>14690</v>
      </c>
      <c r="URN11" t="s">
        <v>14691</v>
      </c>
      <c r="URO11" t="s">
        <v>14692</v>
      </c>
      <c r="URP11" t="s">
        <v>14693</v>
      </c>
      <c r="URQ11" t="s">
        <v>14694</v>
      </c>
      <c r="URR11" t="s">
        <v>14695</v>
      </c>
      <c r="URS11" t="s">
        <v>14696</v>
      </c>
      <c r="URT11" t="s">
        <v>14697</v>
      </c>
      <c r="URU11" t="s">
        <v>14698</v>
      </c>
      <c r="URV11" t="s">
        <v>14699</v>
      </c>
      <c r="URW11" t="s">
        <v>14700</v>
      </c>
      <c r="URX11" t="s">
        <v>14701</v>
      </c>
      <c r="URY11" t="s">
        <v>14702</v>
      </c>
      <c r="URZ11" t="s">
        <v>14703</v>
      </c>
      <c r="USA11" t="s">
        <v>14704</v>
      </c>
      <c r="USB11" t="s">
        <v>14705</v>
      </c>
      <c r="USC11" t="s">
        <v>14706</v>
      </c>
      <c r="USD11" t="s">
        <v>14707</v>
      </c>
      <c r="USE11" t="s">
        <v>14708</v>
      </c>
      <c r="USF11" t="s">
        <v>14709</v>
      </c>
      <c r="USG11" t="s">
        <v>14710</v>
      </c>
      <c r="USH11" t="s">
        <v>14711</v>
      </c>
      <c r="USI11" t="s">
        <v>14712</v>
      </c>
      <c r="USJ11" t="s">
        <v>14713</v>
      </c>
      <c r="USK11" t="s">
        <v>14714</v>
      </c>
      <c r="USL11" t="s">
        <v>14715</v>
      </c>
      <c r="USM11" t="s">
        <v>14716</v>
      </c>
      <c r="USN11" t="s">
        <v>14717</v>
      </c>
      <c r="USO11" t="s">
        <v>14718</v>
      </c>
      <c r="USP11" t="s">
        <v>14719</v>
      </c>
      <c r="USQ11" t="s">
        <v>14720</v>
      </c>
      <c r="USR11" t="s">
        <v>14721</v>
      </c>
      <c r="USS11" t="s">
        <v>14722</v>
      </c>
      <c r="UST11" t="s">
        <v>14723</v>
      </c>
      <c r="USU11" t="s">
        <v>14724</v>
      </c>
      <c r="USV11" t="s">
        <v>14725</v>
      </c>
      <c r="USW11" t="s">
        <v>14726</v>
      </c>
      <c r="USX11" t="s">
        <v>14727</v>
      </c>
      <c r="USY11" t="s">
        <v>14728</v>
      </c>
      <c r="USZ11" t="s">
        <v>14729</v>
      </c>
      <c r="UTA11" t="s">
        <v>14730</v>
      </c>
      <c r="UTB11" t="s">
        <v>14731</v>
      </c>
      <c r="UTC11" t="s">
        <v>14732</v>
      </c>
      <c r="UTD11" t="s">
        <v>14733</v>
      </c>
      <c r="UTE11" t="s">
        <v>14734</v>
      </c>
      <c r="UTF11" t="s">
        <v>14735</v>
      </c>
      <c r="UTG11" t="s">
        <v>14736</v>
      </c>
      <c r="UTH11" t="s">
        <v>14737</v>
      </c>
      <c r="UTI11" t="s">
        <v>14738</v>
      </c>
      <c r="UTJ11" t="s">
        <v>14739</v>
      </c>
      <c r="UTK11" t="s">
        <v>14740</v>
      </c>
      <c r="UTL11" t="s">
        <v>14741</v>
      </c>
      <c r="UTM11" t="s">
        <v>14742</v>
      </c>
      <c r="UTN11" t="s">
        <v>14743</v>
      </c>
      <c r="UTO11" t="s">
        <v>14744</v>
      </c>
      <c r="UTP11" t="s">
        <v>14745</v>
      </c>
      <c r="UTQ11" t="s">
        <v>14746</v>
      </c>
      <c r="UTR11" t="s">
        <v>14747</v>
      </c>
      <c r="UTS11" t="s">
        <v>14748</v>
      </c>
      <c r="UTT11" t="s">
        <v>14749</v>
      </c>
      <c r="UTU11" t="s">
        <v>14750</v>
      </c>
      <c r="UTV11" t="s">
        <v>14751</v>
      </c>
      <c r="UTW11" t="s">
        <v>14752</v>
      </c>
      <c r="UTX11" t="s">
        <v>14753</v>
      </c>
      <c r="UTY11" t="s">
        <v>14754</v>
      </c>
      <c r="UTZ11" t="s">
        <v>14755</v>
      </c>
      <c r="UUA11" t="s">
        <v>14756</v>
      </c>
      <c r="UUB11" t="s">
        <v>14757</v>
      </c>
      <c r="UUC11" t="s">
        <v>14758</v>
      </c>
      <c r="UUD11" t="s">
        <v>14759</v>
      </c>
      <c r="UUE11" t="s">
        <v>14760</v>
      </c>
      <c r="UUF11" t="s">
        <v>14761</v>
      </c>
      <c r="UUG11" t="s">
        <v>14762</v>
      </c>
      <c r="UUH11" t="s">
        <v>14763</v>
      </c>
      <c r="UUI11" t="s">
        <v>14764</v>
      </c>
      <c r="UUJ11" t="s">
        <v>14765</v>
      </c>
      <c r="UUK11" t="s">
        <v>14766</v>
      </c>
      <c r="UUL11" t="s">
        <v>14767</v>
      </c>
      <c r="UUM11" t="s">
        <v>14768</v>
      </c>
      <c r="UUN11" t="s">
        <v>14769</v>
      </c>
      <c r="UUO11" t="s">
        <v>14770</v>
      </c>
      <c r="UUP11" t="s">
        <v>14771</v>
      </c>
      <c r="UUQ11" t="s">
        <v>14772</v>
      </c>
      <c r="UUR11" t="s">
        <v>14773</v>
      </c>
      <c r="UUS11" t="s">
        <v>14774</v>
      </c>
      <c r="UUT11" t="s">
        <v>14775</v>
      </c>
      <c r="UUU11" t="s">
        <v>14776</v>
      </c>
      <c r="UUV11" t="s">
        <v>14777</v>
      </c>
      <c r="UUW11" t="s">
        <v>14778</v>
      </c>
      <c r="UUX11" t="s">
        <v>14779</v>
      </c>
      <c r="UUY11" t="s">
        <v>14780</v>
      </c>
      <c r="UUZ11" t="s">
        <v>14781</v>
      </c>
      <c r="UVA11" t="s">
        <v>14782</v>
      </c>
      <c r="UVB11" t="s">
        <v>14783</v>
      </c>
      <c r="UVC11" t="s">
        <v>14784</v>
      </c>
      <c r="UVD11" t="s">
        <v>14785</v>
      </c>
      <c r="UVE11" t="s">
        <v>14786</v>
      </c>
      <c r="UVF11" t="s">
        <v>14787</v>
      </c>
      <c r="UVG11" t="s">
        <v>14788</v>
      </c>
      <c r="UVH11" t="s">
        <v>14789</v>
      </c>
      <c r="UVI11" t="s">
        <v>14790</v>
      </c>
      <c r="UVJ11" t="s">
        <v>14791</v>
      </c>
      <c r="UVK11" t="s">
        <v>14792</v>
      </c>
      <c r="UVL11" t="s">
        <v>14793</v>
      </c>
      <c r="UVM11" t="s">
        <v>14794</v>
      </c>
      <c r="UVN11" t="s">
        <v>14795</v>
      </c>
      <c r="UVO11" t="s">
        <v>14796</v>
      </c>
      <c r="UVP11" t="s">
        <v>14797</v>
      </c>
      <c r="UVQ11" t="s">
        <v>14798</v>
      </c>
      <c r="UVR11" t="s">
        <v>14799</v>
      </c>
      <c r="UVS11" t="s">
        <v>14800</v>
      </c>
      <c r="UVT11" t="s">
        <v>14801</v>
      </c>
      <c r="UVU11" t="s">
        <v>14802</v>
      </c>
      <c r="UVV11" t="s">
        <v>14803</v>
      </c>
      <c r="UVW11" t="s">
        <v>14804</v>
      </c>
      <c r="UVX11" t="s">
        <v>14805</v>
      </c>
      <c r="UVY11" t="s">
        <v>14806</v>
      </c>
      <c r="UVZ11" t="s">
        <v>14807</v>
      </c>
      <c r="UWA11" t="s">
        <v>14808</v>
      </c>
      <c r="UWB11" t="s">
        <v>14809</v>
      </c>
      <c r="UWC11" t="s">
        <v>14810</v>
      </c>
      <c r="UWD11" t="s">
        <v>14811</v>
      </c>
      <c r="UWE11" t="s">
        <v>14812</v>
      </c>
      <c r="UWF11" t="s">
        <v>14813</v>
      </c>
      <c r="UWG11" t="s">
        <v>14814</v>
      </c>
      <c r="UWH11" t="s">
        <v>14815</v>
      </c>
      <c r="UWI11" t="s">
        <v>14816</v>
      </c>
      <c r="UWJ11" t="s">
        <v>14817</v>
      </c>
      <c r="UWK11" t="s">
        <v>14818</v>
      </c>
      <c r="UWL11" t="s">
        <v>14819</v>
      </c>
      <c r="UWM11" t="s">
        <v>14820</v>
      </c>
      <c r="UWN11" t="s">
        <v>14821</v>
      </c>
      <c r="UWO11" t="s">
        <v>14822</v>
      </c>
      <c r="UWP11" t="s">
        <v>14823</v>
      </c>
      <c r="UWQ11" t="s">
        <v>14824</v>
      </c>
      <c r="UWR11" t="s">
        <v>14825</v>
      </c>
      <c r="UWS11" t="s">
        <v>14826</v>
      </c>
      <c r="UWT11" t="s">
        <v>14827</v>
      </c>
      <c r="UWU11" t="s">
        <v>14828</v>
      </c>
      <c r="UWV11" t="s">
        <v>14829</v>
      </c>
      <c r="UWW11" t="s">
        <v>14830</v>
      </c>
      <c r="UWX11" t="s">
        <v>14831</v>
      </c>
      <c r="UWY11" t="s">
        <v>14832</v>
      </c>
      <c r="UWZ11" t="s">
        <v>14833</v>
      </c>
      <c r="UXA11" t="s">
        <v>14834</v>
      </c>
      <c r="UXB11" t="s">
        <v>14835</v>
      </c>
      <c r="UXC11" t="s">
        <v>14836</v>
      </c>
      <c r="UXD11" t="s">
        <v>14837</v>
      </c>
      <c r="UXE11" t="s">
        <v>14838</v>
      </c>
      <c r="UXF11" t="s">
        <v>14839</v>
      </c>
      <c r="UXG11" t="s">
        <v>14840</v>
      </c>
      <c r="UXH11" t="s">
        <v>14841</v>
      </c>
      <c r="UXI11" t="s">
        <v>14842</v>
      </c>
      <c r="UXJ11" t="s">
        <v>14843</v>
      </c>
      <c r="UXK11" t="s">
        <v>14844</v>
      </c>
      <c r="UXL11" t="s">
        <v>14845</v>
      </c>
      <c r="UXM11" t="s">
        <v>14846</v>
      </c>
      <c r="UXN11" t="s">
        <v>14847</v>
      </c>
      <c r="UXO11" t="s">
        <v>14848</v>
      </c>
      <c r="UXP11" t="s">
        <v>14849</v>
      </c>
      <c r="UXQ11" t="s">
        <v>14850</v>
      </c>
      <c r="UXR11" t="s">
        <v>14851</v>
      </c>
      <c r="UXS11" t="s">
        <v>14852</v>
      </c>
      <c r="UXT11" t="s">
        <v>14853</v>
      </c>
      <c r="UXU11" t="s">
        <v>14854</v>
      </c>
      <c r="UXV11" t="s">
        <v>14855</v>
      </c>
      <c r="UXW11" t="s">
        <v>14856</v>
      </c>
      <c r="UXX11" t="s">
        <v>14857</v>
      </c>
      <c r="UXY11" t="s">
        <v>14858</v>
      </c>
      <c r="UXZ11" t="s">
        <v>14859</v>
      </c>
      <c r="UYA11" t="s">
        <v>14860</v>
      </c>
      <c r="UYB11" t="s">
        <v>14861</v>
      </c>
      <c r="UYC11" t="s">
        <v>14862</v>
      </c>
      <c r="UYD11" t="s">
        <v>14863</v>
      </c>
      <c r="UYE11" t="s">
        <v>14864</v>
      </c>
      <c r="UYF11" t="s">
        <v>14865</v>
      </c>
      <c r="UYG11" t="s">
        <v>14866</v>
      </c>
      <c r="UYH11" t="s">
        <v>14867</v>
      </c>
      <c r="UYI11" t="s">
        <v>14868</v>
      </c>
      <c r="UYJ11" t="s">
        <v>14869</v>
      </c>
      <c r="UYK11" t="s">
        <v>14870</v>
      </c>
      <c r="UYL11" t="s">
        <v>14871</v>
      </c>
      <c r="UYM11" t="s">
        <v>14872</v>
      </c>
      <c r="UYN11" t="s">
        <v>14873</v>
      </c>
      <c r="UYO11" t="s">
        <v>14874</v>
      </c>
      <c r="UYP11" t="s">
        <v>14875</v>
      </c>
      <c r="UYQ11" t="s">
        <v>14876</v>
      </c>
      <c r="UYR11" t="s">
        <v>14877</v>
      </c>
      <c r="UYS11" t="s">
        <v>14878</v>
      </c>
      <c r="UYT11" t="s">
        <v>14879</v>
      </c>
      <c r="UYU11" t="s">
        <v>14880</v>
      </c>
      <c r="UYV11" t="s">
        <v>14881</v>
      </c>
      <c r="UYW11" t="s">
        <v>14882</v>
      </c>
      <c r="UYX11" t="s">
        <v>14883</v>
      </c>
      <c r="UYY11" t="s">
        <v>14884</v>
      </c>
      <c r="UYZ11" t="s">
        <v>14885</v>
      </c>
      <c r="UZA11" t="s">
        <v>14886</v>
      </c>
      <c r="UZB11" t="s">
        <v>14887</v>
      </c>
      <c r="UZC11" t="s">
        <v>14888</v>
      </c>
      <c r="UZD11" t="s">
        <v>14889</v>
      </c>
      <c r="UZE11" t="s">
        <v>14890</v>
      </c>
      <c r="UZF11" t="s">
        <v>14891</v>
      </c>
      <c r="UZG11" t="s">
        <v>14892</v>
      </c>
      <c r="UZH11" t="s">
        <v>14893</v>
      </c>
      <c r="UZI11" t="s">
        <v>14894</v>
      </c>
      <c r="UZJ11" t="s">
        <v>14895</v>
      </c>
      <c r="UZK11" t="s">
        <v>14896</v>
      </c>
      <c r="UZL11" t="s">
        <v>14897</v>
      </c>
      <c r="UZM11" t="s">
        <v>14898</v>
      </c>
      <c r="UZN11" t="s">
        <v>14899</v>
      </c>
      <c r="UZO11" t="s">
        <v>14900</v>
      </c>
      <c r="UZP11" t="s">
        <v>14901</v>
      </c>
      <c r="UZQ11" t="s">
        <v>14902</v>
      </c>
      <c r="UZR11" t="s">
        <v>14903</v>
      </c>
      <c r="UZS11" t="s">
        <v>14904</v>
      </c>
      <c r="UZT11" t="s">
        <v>14905</v>
      </c>
      <c r="UZU11" t="s">
        <v>14906</v>
      </c>
      <c r="UZV11" t="s">
        <v>14907</v>
      </c>
      <c r="UZW11" t="s">
        <v>14908</v>
      </c>
      <c r="UZX11" t="s">
        <v>14909</v>
      </c>
      <c r="UZY11" t="s">
        <v>14910</v>
      </c>
      <c r="UZZ11" t="s">
        <v>14911</v>
      </c>
      <c r="VAA11" t="s">
        <v>14912</v>
      </c>
      <c r="VAB11" t="s">
        <v>14913</v>
      </c>
      <c r="VAC11" t="s">
        <v>14914</v>
      </c>
      <c r="VAD11" t="s">
        <v>14915</v>
      </c>
      <c r="VAE11" t="s">
        <v>14916</v>
      </c>
      <c r="VAF11" t="s">
        <v>14917</v>
      </c>
      <c r="VAG11" t="s">
        <v>14918</v>
      </c>
      <c r="VAH11" t="s">
        <v>14919</v>
      </c>
      <c r="VAI11" t="s">
        <v>14920</v>
      </c>
      <c r="VAJ11" t="s">
        <v>14921</v>
      </c>
      <c r="VAK11" t="s">
        <v>14922</v>
      </c>
      <c r="VAL11" t="s">
        <v>14923</v>
      </c>
      <c r="VAM11" t="s">
        <v>14924</v>
      </c>
      <c r="VAN11" t="s">
        <v>14925</v>
      </c>
      <c r="VAO11" t="s">
        <v>14926</v>
      </c>
      <c r="VAP11" t="s">
        <v>14927</v>
      </c>
      <c r="VAQ11" t="s">
        <v>14928</v>
      </c>
      <c r="VAR11" t="s">
        <v>14929</v>
      </c>
      <c r="VAS11" t="s">
        <v>14930</v>
      </c>
      <c r="VAT11" t="s">
        <v>14931</v>
      </c>
      <c r="VAU11" t="s">
        <v>14932</v>
      </c>
      <c r="VAV11" t="s">
        <v>14933</v>
      </c>
      <c r="VAW11" t="s">
        <v>14934</v>
      </c>
      <c r="VAX11" t="s">
        <v>14935</v>
      </c>
      <c r="VAY11" t="s">
        <v>14936</v>
      </c>
      <c r="VAZ11" t="s">
        <v>14937</v>
      </c>
      <c r="VBA11" t="s">
        <v>14938</v>
      </c>
      <c r="VBB11" t="s">
        <v>14939</v>
      </c>
      <c r="VBC11" t="s">
        <v>14940</v>
      </c>
      <c r="VBD11" t="s">
        <v>14941</v>
      </c>
      <c r="VBE11" t="s">
        <v>14942</v>
      </c>
      <c r="VBF11" t="s">
        <v>14943</v>
      </c>
      <c r="VBG11" t="s">
        <v>14944</v>
      </c>
      <c r="VBH11" t="s">
        <v>14945</v>
      </c>
      <c r="VBI11" t="s">
        <v>14946</v>
      </c>
      <c r="VBJ11" t="s">
        <v>14947</v>
      </c>
      <c r="VBK11" t="s">
        <v>14948</v>
      </c>
      <c r="VBL11" t="s">
        <v>14949</v>
      </c>
      <c r="VBM11" t="s">
        <v>14950</v>
      </c>
      <c r="VBN11" t="s">
        <v>14951</v>
      </c>
      <c r="VBO11" t="s">
        <v>14952</v>
      </c>
      <c r="VBP11" t="s">
        <v>14953</v>
      </c>
      <c r="VBQ11" t="s">
        <v>14954</v>
      </c>
      <c r="VBR11" t="s">
        <v>14955</v>
      </c>
      <c r="VBS11" t="s">
        <v>14956</v>
      </c>
      <c r="VBT11" t="s">
        <v>14957</v>
      </c>
      <c r="VBU11" t="s">
        <v>14958</v>
      </c>
      <c r="VBV11" t="s">
        <v>14959</v>
      </c>
      <c r="VBW11" t="s">
        <v>14960</v>
      </c>
      <c r="VBX11" t="s">
        <v>14961</v>
      </c>
      <c r="VBY11" t="s">
        <v>14962</v>
      </c>
      <c r="VBZ11" t="s">
        <v>14963</v>
      </c>
      <c r="VCA11" t="s">
        <v>14964</v>
      </c>
      <c r="VCB11" t="s">
        <v>14965</v>
      </c>
      <c r="VCC11" t="s">
        <v>14966</v>
      </c>
      <c r="VCD11" t="s">
        <v>14967</v>
      </c>
      <c r="VCE11" t="s">
        <v>14968</v>
      </c>
      <c r="VCF11" t="s">
        <v>14969</v>
      </c>
      <c r="VCG11" t="s">
        <v>14970</v>
      </c>
      <c r="VCH11" t="s">
        <v>14971</v>
      </c>
      <c r="VCI11" t="s">
        <v>14972</v>
      </c>
      <c r="VCJ11" t="s">
        <v>14973</v>
      </c>
      <c r="VCK11" t="s">
        <v>14974</v>
      </c>
      <c r="VCL11" t="s">
        <v>14975</v>
      </c>
      <c r="VCM11" t="s">
        <v>14976</v>
      </c>
      <c r="VCN11" t="s">
        <v>14977</v>
      </c>
      <c r="VCO11" t="s">
        <v>14978</v>
      </c>
      <c r="VCP11" t="s">
        <v>14979</v>
      </c>
      <c r="VCQ11" t="s">
        <v>14980</v>
      </c>
      <c r="VCR11" t="s">
        <v>14981</v>
      </c>
      <c r="VCS11" t="s">
        <v>14982</v>
      </c>
      <c r="VCT11" t="s">
        <v>14983</v>
      </c>
      <c r="VCU11" t="s">
        <v>14984</v>
      </c>
      <c r="VCV11" t="s">
        <v>14985</v>
      </c>
      <c r="VCW11" t="s">
        <v>14986</v>
      </c>
      <c r="VCX11" t="s">
        <v>14987</v>
      </c>
      <c r="VCY11" t="s">
        <v>14988</v>
      </c>
      <c r="VCZ11" t="s">
        <v>14989</v>
      </c>
      <c r="VDA11" t="s">
        <v>14990</v>
      </c>
      <c r="VDB11" t="s">
        <v>14991</v>
      </c>
      <c r="VDC11" t="s">
        <v>14992</v>
      </c>
      <c r="VDD11" t="s">
        <v>14993</v>
      </c>
      <c r="VDE11" t="s">
        <v>14994</v>
      </c>
      <c r="VDF11" t="s">
        <v>14995</v>
      </c>
      <c r="VDG11" t="s">
        <v>14996</v>
      </c>
      <c r="VDH11" t="s">
        <v>14997</v>
      </c>
      <c r="VDI11" t="s">
        <v>14998</v>
      </c>
      <c r="VDJ11" t="s">
        <v>14999</v>
      </c>
      <c r="VDK11" t="s">
        <v>15000</v>
      </c>
      <c r="VDL11" t="s">
        <v>15001</v>
      </c>
      <c r="VDM11" t="s">
        <v>15002</v>
      </c>
      <c r="VDN11" t="s">
        <v>15003</v>
      </c>
      <c r="VDO11" t="s">
        <v>15004</v>
      </c>
      <c r="VDP11" t="s">
        <v>15005</v>
      </c>
      <c r="VDQ11" t="s">
        <v>15006</v>
      </c>
      <c r="VDR11" t="s">
        <v>15007</v>
      </c>
      <c r="VDS11" t="s">
        <v>15008</v>
      </c>
      <c r="VDT11" t="s">
        <v>15009</v>
      </c>
      <c r="VDU11" t="s">
        <v>15010</v>
      </c>
      <c r="VDV11" t="s">
        <v>15011</v>
      </c>
      <c r="VDW11" t="s">
        <v>15012</v>
      </c>
      <c r="VDX11" t="s">
        <v>15013</v>
      </c>
      <c r="VDY11" t="s">
        <v>15014</v>
      </c>
      <c r="VDZ11" t="s">
        <v>15015</v>
      </c>
      <c r="VEA11" t="s">
        <v>15016</v>
      </c>
      <c r="VEB11" t="s">
        <v>15017</v>
      </c>
      <c r="VEC11" t="s">
        <v>15018</v>
      </c>
      <c r="VED11" t="s">
        <v>15019</v>
      </c>
      <c r="VEE11" t="s">
        <v>15020</v>
      </c>
      <c r="VEF11" t="s">
        <v>15021</v>
      </c>
      <c r="VEG11" t="s">
        <v>15022</v>
      </c>
      <c r="VEH11" t="s">
        <v>15023</v>
      </c>
      <c r="VEI11" t="s">
        <v>15024</v>
      </c>
      <c r="VEJ11" t="s">
        <v>15025</v>
      </c>
      <c r="VEK11" t="s">
        <v>15026</v>
      </c>
      <c r="VEL11" t="s">
        <v>15027</v>
      </c>
      <c r="VEM11" t="s">
        <v>15028</v>
      </c>
      <c r="VEN11" t="s">
        <v>15029</v>
      </c>
      <c r="VEO11" t="s">
        <v>15030</v>
      </c>
      <c r="VEP11" t="s">
        <v>15031</v>
      </c>
      <c r="VEQ11" t="s">
        <v>15032</v>
      </c>
      <c r="VER11" t="s">
        <v>15033</v>
      </c>
      <c r="VES11" t="s">
        <v>15034</v>
      </c>
      <c r="VET11" t="s">
        <v>15035</v>
      </c>
      <c r="VEU11" t="s">
        <v>15036</v>
      </c>
      <c r="VEV11" t="s">
        <v>15037</v>
      </c>
      <c r="VEW11" t="s">
        <v>15038</v>
      </c>
      <c r="VEX11" t="s">
        <v>15039</v>
      </c>
      <c r="VEY11" t="s">
        <v>15040</v>
      </c>
      <c r="VEZ11" t="s">
        <v>15041</v>
      </c>
      <c r="VFA11" t="s">
        <v>15042</v>
      </c>
      <c r="VFB11" t="s">
        <v>15043</v>
      </c>
      <c r="VFC11" t="s">
        <v>15044</v>
      </c>
      <c r="VFD11" t="s">
        <v>15045</v>
      </c>
      <c r="VFE11" t="s">
        <v>15046</v>
      </c>
      <c r="VFF11" t="s">
        <v>15047</v>
      </c>
      <c r="VFG11" t="s">
        <v>15048</v>
      </c>
      <c r="VFH11" t="s">
        <v>15049</v>
      </c>
      <c r="VFI11" t="s">
        <v>15050</v>
      </c>
      <c r="VFJ11" t="s">
        <v>15051</v>
      </c>
      <c r="VFK11" t="s">
        <v>15052</v>
      </c>
      <c r="VFL11" t="s">
        <v>15053</v>
      </c>
      <c r="VFM11" t="s">
        <v>15054</v>
      </c>
      <c r="VFN11" t="s">
        <v>15055</v>
      </c>
      <c r="VFO11" t="s">
        <v>15056</v>
      </c>
      <c r="VFP11" t="s">
        <v>15057</v>
      </c>
      <c r="VFQ11" t="s">
        <v>15058</v>
      </c>
      <c r="VFR11" t="s">
        <v>15059</v>
      </c>
      <c r="VFS11" t="s">
        <v>15060</v>
      </c>
      <c r="VFT11" t="s">
        <v>15061</v>
      </c>
      <c r="VFU11" t="s">
        <v>15062</v>
      </c>
      <c r="VFV11" t="s">
        <v>15063</v>
      </c>
      <c r="VFW11" t="s">
        <v>15064</v>
      </c>
      <c r="VFX11" t="s">
        <v>15065</v>
      </c>
      <c r="VFY11" t="s">
        <v>15066</v>
      </c>
      <c r="VFZ11" t="s">
        <v>15067</v>
      </c>
      <c r="VGA11" t="s">
        <v>15068</v>
      </c>
      <c r="VGB11" t="s">
        <v>15069</v>
      </c>
      <c r="VGC11" t="s">
        <v>15070</v>
      </c>
      <c r="VGD11" t="s">
        <v>15071</v>
      </c>
      <c r="VGE11" t="s">
        <v>15072</v>
      </c>
      <c r="VGF11" t="s">
        <v>15073</v>
      </c>
      <c r="VGG11" t="s">
        <v>15074</v>
      </c>
      <c r="VGH11" t="s">
        <v>15075</v>
      </c>
      <c r="VGI11" t="s">
        <v>15076</v>
      </c>
      <c r="VGJ11" t="s">
        <v>15077</v>
      </c>
      <c r="VGK11" t="s">
        <v>15078</v>
      </c>
      <c r="VGL11" t="s">
        <v>15079</v>
      </c>
      <c r="VGM11" t="s">
        <v>15080</v>
      </c>
      <c r="VGN11" t="s">
        <v>15081</v>
      </c>
      <c r="VGO11" t="s">
        <v>15082</v>
      </c>
      <c r="VGP11" t="s">
        <v>15083</v>
      </c>
      <c r="VGQ11" t="s">
        <v>15084</v>
      </c>
      <c r="VGR11" t="s">
        <v>15085</v>
      </c>
      <c r="VGS11" t="s">
        <v>15086</v>
      </c>
      <c r="VGT11" t="s">
        <v>15087</v>
      </c>
      <c r="VGU11" t="s">
        <v>15088</v>
      </c>
      <c r="VGV11" t="s">
        <v>15089</v>
      </c>
      <c r="VGW11" t="s">
        <v>15090</v>
      </c>
      <c r="VGX11" t="s">
        <v>15091</v>
      </c>
      <c r="VGY11" t="s">
        <v>15092</v>
      </c>
      <c r="VGZ11" t="s">
        <v>15093</v>
      </c>
      <c r="VHA11" t="s">
        <v>15094</v>
      </c>
      <c r="VHB11" t="s">
        <v>15095</v>
      </c>
      <c r="VHC11" t="s">
        <v>15096</v>
      </c>
      <c r="VHD11" t="s">
        <v>15097</v>
      </c>
      <c r="VHE11" t="s">
        <v>15098</v>
      </c>
      <c r="VHF11" t="s">
        <v>15099</v>
      </c>
      <c r="VHG11" t="s">
        <v>15100</v>
      </c>
      <c r="VHH11" t="s">
        <v>15101</v>
      </c>
      <c r="VHI11" t="s">
        <v>15102</v>
      </c>
      <c r="VHJ11" t="s">
        <v>15103</v>
      </c>
      <c r="VHK11" t="s">
        <v>15104</v>
      </c>
      <c r="VHL11" t="s">
        <v>15105</v>
      </c>
      <c r="VHM11" t="s">
        <v>15106</v>
      </c>
      <c r="VHN11" t="s">
        <v>15107</v>
      </c>
      <c r="VHO11" t="s">
        <v>15108</v>
      </c>
      <c r="VHP11" t="s">
        <v>15109</v>
      </c>
      <c r="VHQ11" t="s">
        <v>15110</v>
      </c>
      <c r="VHR11" t="s">
        <v>15111</v>
      </c>
      <c r="VHS11" t="s">
        <v>15112</v>
      </c>
      <c r="VHT11" t="s">
        <v>15113</v>
      </c>
      <c r="VHU11" t="s">
        <v>15114</v>
      </c>
      <c r="VHV11" t="s">
        <v>15115</v>
      </c>
      <c r="VHW11" t="s">
        <v>15116</v>
      </c>
      <c r="VHX11" t="s">
        <v>15117</v>
      </c>
      <c r="VHY11" t="s">
        <v>15118</v>
      </c>
      <c r="VHZ11" t="s">
        <v>15119</v>
      </c>
      <c r="VIA11" t="s">
        <v>15120</v>
      </c>
      <c r="VIB11" t="s">
        <v>15121</v>
      </c>
      <c r="VIC11" t="s">
        <v>15122</v>
      </c>
      <c r="VID11" t="s">
        <v>15123</v>
      </c>
      <c r="VIE11" t="s">
        <v>15124</v>
      </c>
      <c r="VIF11" t="s">
        <v>15125</v>
      </c>
      <c r="VIG11" t="s">
        <v>15126</v>
      </c>
      <c r="VIH11" t="s">
        <v>15127</v>
      </c>
      <c r="VII11" t="s">
        <v>15128</v>
      </c>
      <c r="VIJ11" t="s">
        <v>15129</v>
      </c>
      <c r="VIK11" t="s">
        <v>15130</v>
      </c>
      <c r="VIL11" t="s">
        <v>15131</v>
      </c>
      <c r="VIM11" t="s">
        <v>15132</v>
      </c>
      <c r="VIN11" t="s">
        <v>15133</v>
      </c>
      <c r="VIO11" t="s">
        <v>15134</v>
      </c>
      <c r="VIP11" t="s">
        <v>15135</v>
      </c>
      <c r="VIQ11" t="s">
        <v>15136</v>
      </c>
      <c r="VIR11" t="s">
        <v>15137</v>
      </c>
      <c r="VIS11" t="s">
        <v>15138</v>
      </c>
      <c r="VIT11" t="s">
        <v>15139</v>
      </c>
      <c r="VIU11" t="s">
        <v>15140</v>
      </c>
      <c r="VIV11" t="s">
        <v>15141</v>
      </c>
      <c r="VIW11" t="s">
        <v>15142</v>
      </c>
      <c r="VIX11" t="s">
        <v>15143</v>
      </c>
      <c r="VIY11" t="s">
        <v>15144</v>
      </c>
      <c r="VIZ11" t="s">
        <v>15145</v>
      </c>
      <c r="VJA11" t="s">
        <v>15146</v>
      </c>
      <c r="VJB11" t="s">
        <v>15147</v>
      </c>
      <c r="VJC11" t="s">
        <v>15148</v>
      </c>
      <c r="VJD11" t="s">
        <v>15149</v>
      </c>
      <c r="VJE11" t="s">
        <v>15150</v>
      </c>
      <c r="VJF11" t="s">
        <v>15151</v>
      </c>
      <c r="VJG11" t="s">
        <v>15152</v>
      </c>
      <c r="VJH11" t="s">
        <v>15153</v>
      </c>
      <c r="VJI11" t="s">
        <v>15154</v>
      </c>
      <c r="VJJ11" t="s">
        <v>15155</v>
      </c>
      <c r="VJK11" t="s">
        <v>15156</v>
      </c>
      <c r="VJL11" t="s">
        <v>15157</v>
      </c>
      <c r="VJM11" t="s">
        <v>15158</v>
      </c>
      <c r="VJN11" t="s">
        <v>15159</v>
      </c>
      <c r="VJO11" t="s">
        <v>15160</v>
      </c>
      <c r="VJP11" t="s">
        <v>15161</v>
      </c>
      <c r="VJQ11" t="s">
        <v>15162</v>
      </c>
      <c r="VJR11" t="s">
        <v>15163</v>
      </c>
      <c r="VJS11" t="s">
        <v>15164</v>
      </c>
      <c r="VJT11" t="s">
        <v>15165</v>
      </c>
      <c r="VJU11" t="s">
        <v>15166</v>
      </c>
      <c r="VJV11" t="s">
        <v>15167</v>
      </c>
      <c r="VJW11" t="s">
        <v>15168</v>
      </c>
      <c r="VJX11" t="s">
        <v>15169</v>
      </c>
      <c r="VJY11" t="s">
        <v>15170</v>
      </c>
      <c r="VJZ11" t="s">
        <v>15171</v>
      </c>
      <c r="VKA11" t="s">
        <v>15172</v>
      </c>
      <c r="VKB11" t="s">
        <v>15173</v>
      </c>
      <c r="VKC11" t="s">
        <v>15174</v>
      </c>
      <c r="VKD11" t="s">
        <v>15175</v>
      </c>
      <c r="VKE11" t="s">
        <v>15176</v>
      </c>
      <c r="VKF11" t="s">
        <v>15177</v>
      </c>
      <c r="VKG11" t="s">
        <v>15178</v>
      </c>
      <c r="VKH11" t="s">
        <v>15179</v>
      </c>
      <c r="VKI11" t="s">
        <v>15180</v>
      </c>
      <c r="VKJ11" t="s">
        <v>15181</v>
      </c>
      <c r="VKK11" t="s">
        <v>15182</v>
      </c>
      <c r="VKL11" t="s">
        <v>15183</v>
      </c>
      <c r="VKM11" t="s">
        <v>15184</v>
      </c>
      <c r="VKN11" t="s">
        <v>15185</v>
      </c>
      <c r="VKO11" t="s">
        <v>15186</v>
      </c>
      <c r="VKP11" t="s">
        <v>15187</v>
      </c>
      <c r="VKQ11" t="s">
        <v>15188</v>
      </c>
      <c r="VKR11" t="s">
        <v>15189</v>
      </c>
      <c r="VKS11" t="s">
        <v>15190</v>
      </c>
      <c r="VKT11" t="s">
        <v>15191</v>
      </c>
      <c r="VKU11" t="s">
        <v>15192</v>
      </c>
      <c r="VKV11" t="s">
        <v>15193</v>
      </c>
      <c r="VKW11" t="s">
        <v>15194</v>
      </c>
      <c r="VKX11" t="s">
        <v>15195</v>
      </c>
      <c r="VKY11" t="s">
        <v>15196</v>
      </c>
      <c r="VKZ11" t="s">
        <v>15197</v>
      </c>
      <c r="VLA11" t="s">
        <v>15198</v>
      </c>
      <c r="VLB11" t="s">
        <v>15199</v>
      </c>
      <c r="VLC11" t="s">
        <v>15200</v>
      </c>
      <c r="VLD11" t="s">
        <v>15201</v>
      </c>
      <c r="VLE11" t="s">
        <v>15202</v>
      </c>
      <c r="VLF11" t="s">
        <v>15203</v>
      </c>
      <c r="VLG11" t="s">
        <v>15204</v>
      </c>
      <c r="VLH11" t="s">
        <v>15205</v>
      </c>
      <c r="VLI11" t="s">
        <v>15206</v>
      </c>
      <c r="VLJ11" t="s">
        <v>15207</v>
      </c>
      <c r="VLK11" t="s">
        <v>15208</v>
      </c>
      <c r="VLL11" t="s">
        <v>15209</v>
      </c>
      <c r="VLM11" t="s">
        <v>15210</v>
      </c>
      <c r="VLN11" t="s">
        <v>15211</v>
      </c>
      <c r="VLO11" t="s">
        <v>15212</v>
      </c>
      <c r="VLP11" t="s">
        <v>15213</v>
      </c>
      <c r="VLQ11" t="s">
        <v>15214</v>
      </c>
      <c r="VLR11" t="s">
        <v>15215</v>
      </c>
      <c r="VLS11" t="s">
        <v>15216</v>
      </c>
      <c r="VLT11" t="s">
        <v>15217</v>
      </c>
      <c r="VLU11" t="s">
        <v>15218</v>
      </c>
      <c r="VLV11" t="s">
        <v>15219</v>
      </c>
      <c r="VLW11" t="s">
        <v>15220</v>
      </c>
      <c r="VLX11" t="s">
        <v>15221</v>
      </c>
      <c r="VLY11" t="s">
        <v>15222</v>
      </c>
      <c r="VLZ11" t="s">
        <v>15223</v>
      </c>
      <c r="VMA11" t="s">
        <v>15224</v>
      </c>
      <c r="VMB11" t="s">
        <v>15225</v>
      </c>
      <c r="VMC11" t="s">
        <v>15226</v>
      </c>
      <c r="VMD11" t="s">
        <v>15227</v>
      </c>
      <c r="VME11" t="s">
        <v>15228</v>
      </c>
      <c r="VMF11" t="s">
        <v>15229</v>
      </c>
      <c r="VMG11" t="s">
        <v>15230</v>
      </c>
      <c r="VMH11" t="s">
        <v>15231</v>
      </c>
      <c r="VMI11" t="s">
        <v>15232</v>
      </c>
      <c r="VMJ11" t="s">
        <v>15233</v>
      </c>
      <c r="VMK11" t="s">
        <v>15234</v>
      </c>
      <c r="VML11" t="s">
        <v>15235</v>
      </c>
      <c r="VMM11" t="s">
        <v>15236</v>
      </c>
      <c r="VMN11" t="s">
        <v>15237</v>
      </c>
      <c r="VMO11" t="s">
        <v>15238</v>
      </c>
      <c r="VMP11" t="s">
        <v>15239</v>
      </c>
      <c r="VMQ11" t="s">
        <v>15240</v>
      </c>
      <c r="VMR11" t="s">
        <v>15241</v>
      </c>
      <c r="VMS11" t="s">
        <v>15242</v>
      </c>
      <c r="VMT11" t="s">
        <v>15243</v>
      </c>
      <c r="VMU11" t="s">
        <v>15244</v>
      </c>
      <c r="VMV11" t="s">
        <v>15245</v>
      </c>
      <c r="VMW11" t="s">
        <v>15246</v>
      </c>
      <c r="VMX11" t="s">
        <v>15247</v>
      </c>
      <c r="VMY11" t="s">
        <v>15248</v>
      </c>
      <c r="VMZ11" t="s">
        <v>15249</v>
      </c>
      <c r="VNA11" t="s">
        <v>15250</v>
      </c>
      <c r="VNB11" t="s">
        <v>15251</v>
      </c>
      <c r="VNC11" t="s">
        <v>15252</v>
      </c>
      <c r="VND11" t="s">
        <v>15253</v>
      </c>
      <c r="VNE11" t="s">
        <v>15254</v>
      </c>
      <c r="VNF11" t="s">
        <v>15255</v>
      </c>
      <c r="VNG11" t="s">
        <v>15256</v>
      </c>
      <c r="VNH11" t="s">
        <v>15257</v>
      </c>
      <c r="VNI11" t="s">
        <v>15258</v>
      </c>
      <c r="VNJ11" t="s">
        <v>15259</v>
      </c>
      <c r="VNK11" t="s">
        <v>15260</v>
      </c>
      <c r="VNL11" t="s">
        <v>15261</v>
      </c>
      <c r="VNM11" t="s">
        <v>15262</v>
      </c>
      <c r="VNN11" t="s">
        <v>15263</v>
      </c>
      <c r="VNO11" t="s">
        <v>15264</v>
      </c>
      <c r="VNP11" t="s">
        <v>15265</v>
      </c>
      <c r="VNQ11" t="s">
        <v>15266</v>
      </c>
      <c r="VNR11" t="s">
        <v>15267</v>
      </c>
      <c r="VNS11" t="s">
        <v>15268</v>
      </c>
      <c r="VNT11" t="s">
        <v>15269</v>
      </c>
      <c r="VNU11" t="s">
        <v>15270</v>
      </c>
      <c r="VNV11" t="s">
        <v>15271</v>
      </c>
      <c r="VNW11" t="s">
        <v>15272</v>
      </c>
      <c r="VNX11" t="s">
        <v>15273</v>
      </c>
      <c r="VNY11" t="s">
        <v>15274</v>
      </c>
      <c r="VNZ11" t="s">
        <v>15275</v>
      </c>
      <c r="VOA11" t="s">
        <v>15276</v>
      </c>
      <c r="VOB11" t="s">
        <v>15277</v>
      </c>
      <c r="VOC11" t="s">
        <v>15278</v>
      </c>
      <c r="VOD11" t="s">
        <v>15279</v>
      </c>
      <c r="VOE11" t="s">
        <v>15280</v>
      </c>
      <c r="VOF11" t="s">
        <v>15281</v>
      </c>
      <c r="VOG11" t="s">
        <v>15282</v>
      </c>
      <c r="VOH11" t="s">
        <v>15283</v>
      </c>
      <c r="VOI11" t="s">
        <v>15284</v>
      </c>
      <c r="VOJ11" t="s">
        <v>15285</v>
      </c>
      <c r="VOK11" t="s">
        <v>15286</v>
      </c>
      <c r="VOL11" t="s">
        <v>15287</v>
      </c>
      <c r="VOM11" t="s">
        <v>15288</v>
      </c>
      <c r="VON11" t="s">
        <v>15289</v>
      </c>
      <c r="VOO11" t="s">
        <v>15290</v>
      </c>
      <c r="VOP11" t="s">
        <v>15291</v>
      </c>
      <c r="VOQ11" t="s">
        <v>15292</v>
      </c>
      <c r="VOR11" t="s">
        <v>15293</v>
      </c>
      <c r="VOS11" t="s">
        <v>15294</v>
      </c>
      <c r="VOT11" t="s">
        <v>15295</v>
      </c>
      <c r="VOU11" t="s">
        <v>15296</v>
      </c>
      <c r="VOV11" t="s">
        <v>15297</v>
      </c>
      <c r="VOW11" t="s">
        <v>15298</v>
      </c>
      <c r="VOX11" t="s">
        <v>15299</v>
      </c>
      <c r="VOY11" t="s">
        <v>15300</v>
      </c>
      <c r="VOZ11" t="s">
        <v>15301</v>
      </c>
      <c r="VPA11" t="s">
        <v>15302</v>
      </c>
      <c r="VPB11" t="s">
        <v>15303</v>
      </c>
      <c r="VPC11" t="s">
        <v>15304</v>
      </c>
      <c r="VPD11" t="s">
        <v>15305</v>
      </c>
      <c r="VPE11" t="s">
        <v>15306</v>
      </c>
      <c r="VPF11" t="s">
        <v>15307</v>
      </c>
      <c r="VPG11" t="s">
        <v>15308</v>
      </c>
      <c r="VPH11" t="s">
        <v>15309</v>
      </c>
      <c r="VPI11" t="s">
        <v>15310</v>
      </c>
      <c r="VPJ11" t="s">
        <v>15311</v>
      </c>
      <c r="VPK11" t="s">
        <v>15312</v>
      </c>
      <c r="VPL11" t="s">
        <v>15313</v>
      </c>
      <c r="VPM11" t="s">
        <v>15314</v>
      </c>
      <c r="VPN11" t="s">
        <v>15315</v>
      </c>
      <c r="VPO11" t="s">
        <v>15316</v>
      </c>
      <c r="VPP11" t="s">
        <v>15317</v>
      </c>
      <c r="VPQ11" t="s">
        <v>15318</v>
      </c>
      <c r="VPR11" t="s">
        <v>15319</v>
      </c>
      <c r="VPS11" t="s">
        <v>15320</v>
      </c>
      <c r="VPT11" t="s">
        <v>15321</v>
      </c>
      <c r="VPU11" t="s">
        <v>15322</v>
      </c>
      <c r="VPV11" t="s">
        <v>15323</v>
      </c>
      <c r="VPW11" t="s">
        <v>15324</v>
      </c>
      <c r="VPX11" t="s">
        <v>15325</v>
      </c>
      <c r="VPY11" t="s">
        <v>15326</v>
      </c>
      <c r="VPZ11" t="s">
        <v>15327</v>
      </c>
      <c r="VQA11" t="s">
        <v>15328</v>
      </c>
      <c r="VQB11" t="s">
        <v>15329</v>
      </c>
      <c r="VQC11" t="s">
        <v>15330</v>
      </c>
      <c r="VQD11" t="s">
        <v>15331</v>
      </c>
      <c r="VQE11" t="s">
        <v>15332</v>
      </c>
      <c r="VQF11" t="s">
        <v>15333</v>
      </c>
      <c r="VQG11" t="s">
        <v>15334</v>
      </c>
      <c r="VQH11" t="s">
        <v>15335</v>
      </c>
      <c r="VQI11" t="s">
        <v>15336</v>
      </c>
      <c r="VQJ11" t="s">
        <v>15337</v>
      </c>
      <c r="VQK11" t="s">
        <v>15338</v>
      </c>
      <c r="VQL11" t="s">
        <v>15339</v>
      </c>
      <c r="VQM11" t="s">
        <v>15340</v>
      </c>
      <c r="VQN11" t="s">
        <v>15341</v>
      </c>
      <c r="VQO11" t="s">
        <v>15342</v>
      </c>
      <c r="VQP11" t="s">
        <v>15343</v>
      </c>
      <c r="VQQ11" t="s">
        <v>15344</v>
      </c>
      <c r="VQR11" t="s">
        <v>15345</v>
      </c>
      <c r="VQS11" t="s">
        <v>15346</v>
      </c>
      <c r="VQT11" t="s">
        <v>15347</v>
      </c>
      <c r="VQU11" t="s">
        <v>15348</v>
      </c>
      <c r="VQV11" t="s">
        <v>15349</v>
      </c>
      <c r="VQW11" t="s">
        <v>15350</v>
      </c>
      <c r="VQX11" t="s">
        <v>15351</v>
      </c>
      <c r="VQY11" t="s">
        <v>15352</v>
      </c>
      <c r="VQZ11" t="s">
        <v>15353</v>
      </c>
      <c r="VRA11" t="s">
        <v>15354</v>
      </c>
      <c r="VRB11" t="s">
        <v>15355</v>
      </c>
      <c r="VRC11" t="s">
        <v>15356</v>
      </c>
      <c r="VRD11" t="s">
        <v>15357</v>
      </c>
      <c r="VRE11" t="s">
        <v>15358</v>
      </c>
      <c r="VRF11" t="s">
        <v>15359</v>
      </c>
      <c r="VRG11" t="s">
        <v>15360</v>
      </c>
      <c r="VRH11" t="s">
        <v>15361</v>
      </c>
      <c r="VRI11" t="s">
        <v>15362</v>
      </c>
      <c r="VRJ11" t="s">
        <v>15363</v>
      </c>
      <c r="VRK11" t="s">
        <v>15364</v>
      </c>
      <c r="VRL11" t="s">
        <v>15365</v>
      </c>
      <c r="VRM11" t="s">
        <v>15366</v>
      </c>
      <c r="VRN11" t="s">
        <v>15367</v>
      </c>
      <c r="VRO11" t="s">
        <v>15368</v>
      </c>
      <c r="VRP11" t="s">
        <v>15369</v>
      </c>
      <c r="VRQ11" t="s">
        <v>15370</v>
      </c>
      <c r="VRR11" t="s">
        <v>15371</v>
      </c>
      <c r="VRS11" t="s">
        <v>15372</v>
      </c>
      <c r="VRT11" t="s">
        <v>15373</v>
      </c>
      <c r="VRU11" t="s">
        <v>15374</v>
      </c>
      <c r="VRV11" t="s">
        <v>15375</v>
      </c>
      <c r="VRW11" t="s">
        <v>15376</v>
      </c>
      <c r="VRX11" t="s">
        <v>15377</v>
      </c>
      <c r="VRY11" t="s">
        <v>15378</v>
      </c>
      <c r="VRZ11" t="s">
        <v>15379</v>
      </c>
      <c r="VSA11" t="s">
        <v>15380</v>
      </c>
      <c r="VSB11" t="s">
        <v>15381</v>
      </c>
      <c r="VSC11" t="s">
        <v>15382</v>
      </c>
      <c r="VSD11" t="s">
        <v>15383</v>
      </c>
      <c r="VSE11" t="s">
        <v>15384</v>
      </c>
      <c r="VSF11" t="s">
        <v>15385</v>
      </c>
      <c r="VSG11" t="s">
        <v>15386</v>
      </c>
      <c r="VSH11" t="s">
        <v>15387</v>
      </c>
      <c r="VSI11" t="s">
        <v>15388</v>
      </c>
      <c r="VSJ11" t="s">
        <v>15389</v>
      </c>
      <c r="VSK11" t="s">
        <v>15390</v>
      </c>
      <c r="VSL11" t="s">
        <v>15391</v>
      </c>
      <c r="VSM11" t="s">
        <v>15392</v>
      </c>
      <c r="VSN11" t="s">
        <v>15393</v>
      </c>
      <c r="VSO11" t="s">
        <v>15394</v>
      </c>
      <c r="VSP11" t="s">
        <v>15395</v>
      </c>
      <c r="VSQ11" t="s">
        <v>15396</v>
      </c>
      <c r="VSR11" t="s">
        <v>15397</v>
      </c>
      <c r="VSS11" t="s">
        <v>15398</v>
      </c>
      <c r="VST11" t="s">
        <v>15399</v>
      </c>
      <c r="VSU11" t="s">
        <v>15400</v>
      </c>
      <c r="VSV11" t="s">
        <v>15401</v>
      </c>
      <c r="VSW11" t="s">
        <v>15402</v>
      </c>
      <c r="VSX11" t="s">
        <v>15403</v>
      </c>
      <c r="VSY11" t="s">
        <v>15404</v>
      </c>
      <c r="VSZ11" t="s">
        <v>15405</v>
      </c>
      <c r="VTA11" t="s">
        <v>15406</v>
      </c>
      <c r="VTB11" t="s">
        <v>15407</v>
      </c>
      <c r="VTC11" t="s">
        <v>15408</v>
      </c>
      <c r="VTD11" t="s">
        <v>15409</v>
      </c>
      <c r="VTE11" t="s">
        <v>15410</v>
      </c>
      <c r="VTF11" t="s">
        <v>15411</v>
      </c>
      <c r="VTG11" t="s">
        <v>15412</v>
      </c>
      <c r="VTH11" t="s">
        <v>15413</v>
      </c>
      <c r="VTI11" t="s">
        <v>15414</v>
      </c>
      <c r="VTJ11" t="s">
        <v>15415</v>
      </c>
      <c r="VTK11" t="s">
        <v>15416</v>
      </c>
      <c r="VTL11" t="s">
        <v>15417</v>
      </c>
      <c r="VTM11" t="s">
        <v>15418</v>
      </c>
      <c r="VTN11" t="s">
        <v>15419</v>
      </c>
      <c r="VTO11" t="s">
        <v>15420</v>
      </c>
      <c r="VTP11" t="s">
        <v>15421</v>
      </c>
      <c r="VTQ11" t="s">
        <v>15422</v>
      </c>
      <c r="VTR11" t="s">
        <v>15423</v>
      </c>
      <c r="VTS11" t="s">
        <v>15424</v>
      </c>
      <c r="VTT11" t="s">
        <v>15425</v>
      </c>
      <c r="VTU11" t="s">
        <v>15426</v>
      </c>
      <c r="VTV11" t="s">
        <v>15427</v>
      </c>
      <c r="VTW11" t="s">
        <v>15428</v>
      </c>
      <c r="VTX11" t="s">
        <v>15429</v>
      </c>
      <c r="VTY11" t="s">
        <v>15430</v>
      </c>
      <c r="VTZ11" t="s">
        <v>15431</v>
      </c>
      <c r="VUA11" t="s">
        <v>15432</v>
      </c>
      <c r="VUB11" t="s">
        <v>15433</v>
      </c>
      <c r="VUC11" t="s">
        <v>15434</v>
      </c>
      <c r="VUD11" t="s">
        <v>15435</v>
      </c>
      <c r="VUE11" t="s">
        <v>15436</v>
      </c>
      <c r="VUF11" t="s">
        <v>15437</v>
      </c>
      <c r="VUG11" t="s">
        <v>15438</v>
      </c>
      <c r="VUH11" t="s">
        <v>15439</v>
      </c>
      <c r="VUI11" t="s">
        <v>15440</v>
      </c>
      <c r="VUJ11" t="s">
        <v>15441</v>
      </c>
      <c r="VUK11" t="s">
        <v>15442</v>
      </c>
      <c r="VUL11" t="s">
        <v>15443</v>
      </c>
      <c r="VUM11" t="s">
        <v>15444</v>
      </c>
      <c r="VUN11" t="s">
        <v>15445</v>
      </c>
      <c r="VUO11" t="s">
        <v>15446</v>
      </c>
      <c r="VUP11" t="s">
        <v>15447</v>
      </c>
      <c r="VUQ11" t="s">
        <v>15448</v>
      </c>
      <c r="VUR11" t="s">
        <v>15449</v>
      </c>
      <c r="VUS11" t="s">
        <v>15450</v>
      </c>
      <c r="VUT11" t="s">
        <v>15451</v>
      </c>
      <c r="VUU11" t="s">
        <v>15452</v>
      </c>
      <c r="VUV11" t="s">
        <v>15453</v>
      </c>
      <c r="VUW11" t="s">
        <v>15454</v>
      </c>
      <c r="VUX11" t="s">
        <v>15455</v>
      </c>
      <c r="VUY11" t="s">
        <v>15456</v>
      </c>
      <c r="VUZ11" t="s">
        <v>15457</v>
      </c>
      <c r="VVA11" t="s">
        <v>15458</v>
      </c>
      <c r="VVB11" t="s">
        <v>15459</v>
      </c>
      <c r="VVC11" t="s">
        <v>15460</v>
      </c>
      <c r="VVD11" t="s">
        <v>15461</v>
      </c>
      <c r="VVE11" t="s">
        <v>15462</v>
      </c>
      <c r="VVF11" t="s">
        <v>15463</v>
      </c>
      <c r="VVG11" t="s">
        <v>15464</v>
      </c>
      <c r="VVH11" t="s">
        <v>15465</v>
      </c>
      <c r="VVI11" t="s">
        <v>15466</v>
      </c>
      <c r="VVJ11" t="s">
        <v>15467</v>
      </c>
      <c r="VVK11" t="s">
        <v>15468</v>
      </c>
      <c r="VVL11" t="s">
        <v>15469</v>
      </c>
      <c r="VVM11" t="s">
        <v>15470</v>
      </c>
      <c r="VVN11" t="s">
        <v>15471</v>
      </c>
      <c r="VVO11" t="s">
        <v>15472</v>
      </c>
      <c r="VVP11" t="s">
        <v>15473</v>
      </c>
      <c r="VVQ11" t="s">
        <v>15474</v>
      </c>
      <c r="VVR11" t="s">
        <v>15475</v>
      </c>
      <c r="VVS11" t="s">
        <v>15476</v>
      </c>
      <c r="VVT11" t="s">
        <v>15477</v>
      </c>
      <c r="VVU11" t="s">
        <v>15478</v>
      </c>
      <c r="VVV11" t="s">
        <v>15479</v>
      </c>
      <c r="VVW11" t="s">
        <v>15480</v>
      </c>
      <c r="VVX11" t="s">
        <v>15481</v>
      </c>
      <c r="VVY11" t="s">
        <v>15482</v>
      </c>
      <c r="VVZ11" t="s">
        <v>15483</v>
      </c>
      <c r="VWA11" t="s">
        <v>15484</v>
      </c>
      <c r="VWB11" t="s">
        <v>15485</v>
      </c>
      <c r="VWC11" t="s">
        <v>15486</v>
      </c>
      <c r="VWD11" t="s">
        <v>15487</v>
      </c>
      <c r="VWE11" t="s">
        <v>15488</v>
      </c>
      <c r="VWF11" t="s">
        <v>15489</v>
      </c>
      <c r="VWG11" t="s">
        <v>15490</v>
      </c>
      <c r="VWH11" t="s">
        <v>15491</v>
      </c>
      <c r="VWI11" t="s">
        <v>15492</v>
      </c>
      <c r="VWJ11" t="s">
        <v>15493</v>
      </c>
      <c r="VWK11" t="s">
        <v>15494</v>
      </c>
      <c r="VWL11" t="s">
        <v>15495</v>
      </c>
      <c r="VWM11" t="s">
        <v>15496</v>
      </c>
      <c r="VWN11" t="s">
        <v>15497</v>
      </c>
      <c r="VWO11" t="s">
        <v>15498</v>
      </c>
      <c r="VWP11" t="s">
        <v>15499</v>
      </c>
      <c r="VWQ11" t="s">
        <v>15500</v>
      </c>
      <c r="VWR11" t="s">
        <v>15501</v>
      </c>
      <c r="VWS11" t="s">
        <v>15502</v>
      </c>
      <c r="VWT11" t="s">
        <v>15503</v>
      </c>
      <c r="VWU11" t="s">
        <v>15504</v>
      </c>
      <c r="VWV11" t="s">
        <v>15505</v>
      </c>
      <c r="VWW11" t="s">
        <v>15506</v>
      </c>
      <c r="VWX11" t="s">
        <v>15507</v>
      </c>
      <c r="VWY11" t="s">
        <v>15508</v>
      </c>
      <c r="VWZ11" t="s">
        <v>15509</v>
      </c>
      <c r="VXA11" t="s">
        <v>15510</v>
      </c>
      <c r="VXB11" t="s">
        <v>15511</v>
      </c>
      <c r="VXC11" t="s">
        <v>15512</v>
      </c>
      <c r="VXD11" t="s">
        <v>15513</v>
      </c>
      <c r="VXE11" t="s">
        <v>15514</v>
      </c>
      <c r="VXF11" t="s">
        <v>15515</v>
      </c>
      <c r="VXG11" t="s">
        <v>15516</v>
      </c>
      <c r="VXH11" t="s">
        <v>15517</v>
      </c>
      <c r="VXI11" t="s">
        <v>15518</v>
      </c>
      <c r="VXJ11" t="s">
        <v>15519</v>
      </c>
      <c r="VXK11" t="s">
        <v>15520</v>
      </c>
      <c r="VXL11" t="s">
        <v>15521</v>
      </c>
      <c r="VXM11" t="s">
        <v>15522</v>
      </c>
      <c r="VXN11" t="s">
        <v>15523</v>
      </c>
      <c r="VXO11" t="s">
        <v>15524</v>
      </c>
      <c r="VXP11" t="s">
        <v>15525</v>
      </c>
      <c r="VXQ11" t="s">
        <v>15526</v>
      </c>
      <c r="VXR11" t="s">
        <v>15527</v>
      </c>
      <c r="VXS11" t="s">
        <v>15528</v>
      </c>
      <c r="VXT11" t="s">
        <v>15529</v>
      </c>
      <c r="VXU11" t="s">
        <v>15530</v>
      </c>
      <c r="VXV11" t="s">
        <v>15531</v>
      </c>
      <c r="VXW11" t="s">
        <v>15532</v>
      </c>
      <c r="VXX11" t="s">
        <v>15533</v>
      </c>
      <c r="VXY11" t="s">
        <v>15534</v>
      </c>
      <c r="VXZ11" t="s">
        <v>15535</v>
      </c>
      <c r="VYA11" t="s">
        <v>15536</v>
      </c>
      <c r="VYB11" t="s">
        <v>15537</v>
      </c>
      <c r="VYC11" t="s">
        <v>15538</v>
      </c>
      <c r="VYD11" t="s">
        <v>15539</v>
      </c>
      <c r="VYE11" t="s">
        <v>15540</v>
      </c>
      <c r="VYF11" t="s">
        <v>15541</v>
      </c>
      <c r="VYG11" t="s">
        <v>15542</v>
      </c>
      <c r="VYH11" t="s">
        <v>15543</v>
      </c>
      <c r="VYI11" t="s">
        <v>15544</v>
      </c>
      <c r="VYJ11" t="s">
        <v>15545</v>
      </c>
      <c r="VYK11" t="s">
        <v>15546</v>
      </c>
      <c r="VYL11" t="s">
        <v>15547</v>
      </c>
      <c r="VYM11" t="s">
        <v>15548</v>
      </c>
      <c r="VYN11" t="s">
        <v>15549</v>
      </c>
      <c r="VYO11" t="s">
        <v>15550</v>
      </c>
      <c r="VYP11" t="s">
        <v>15551</v>
      </c>
      <c r="VYQ11" t="s">
        <v>15552</v>
      </c>
      <c r="VYR11" t="s">
        <v>15553</v>
      </c>
      <c r="VYS11" t="s">
        <v>15554</v>
      </c>
      <c r="VYT11" t="s">
        <v>15555</v>
      </c>
      <c r="VYU11" t="s">
        <v>15556</v>
      </c>
      <c r="VYV11" t="s">
        <v>15557</v>
      </c>
      <c r="VYW11" t="s">
        <v>15558</v>
      </c>
      <c r="VYX11" t="s">
        <v>15559</v>
      </c>
      <c r="VYY11" t="s">
        <v>15560</v>
      </c>
      <c r="VYZ11" t="s">
        <v>15561</v>
      </c>
      <c r="VZA11" t="s">
        <v>15562</v>
      </c>
      <c r="VZB11" t="s">
        <v>15563</v>
      </c>
      <c r="VZC11" t="s">
        <v>15564</v>
      </c>
      <c r="VZD11" t="s">
        <v>15565</v>
      </c>
      <c r="VZE11" t="s">
        <v>15566</v>
      </c>
      <c r="VZF11" t="s">
        <v>15567</v>
      </c>
      <c r="VZG11" t="s">
        <v>15568</v>
      </c>
      <c r="VZH11" t="s">
        <v>15569</v>
      </c>
      <c r="VZI11" t="s">
        <v>15570</v>
      </c>
      <c r="VZJ11" t="s">
        <v>15571</v>
      </c>
      <c r="VZK11" t="s">
        <v>15572</v>
      </c>
      <c r="VZL11" t="s">
        <v>15573</v>
      </c>
      <c r="VZM11" t="s">
        <v>15574</v>
      </c>
      <c r="VZN11" t="s">
        <v>15575</v>
      </c>
      <c r="VZO11" t="s">
        <v>15576</v>
      </c>
      <c r="VZP11" t="s">
        <v>15577</v>
      </c>
      <c r="VZQ11" t="s">
        <v>15578</v>
      </c>
      <c r="VZR11" t="s">
        <v>15579</v>
      </c>
      <c r="VZS11" t="s">
        <v>15580</v>
      </c>
      <c r="VZT11" t="s">
        <v>15581</v>
      </c>
      <c r="VZU11" t="s">
        <v>15582</v>
      </c>
      <c r="VZV11" t="s">
        <v>15583</v>
      </c>
      <c r="VZW11" t="s">
        <v>15584</v>
      </c>
      <c r="VZX11" t="s">
        <v>15585</v>
      </c>
      <c r="VZY11" t="s">
        <v>15586</v>
      </c>
      <c r="VZZ11" t="s">
        <v>15587</v>
      </c>
      <c r="WAA11" t="s">
        <v>15588</v>
      </c>
      <c r="WAB11" t="s">
        <v>15589</v>
      </c>
      <c r="WAC11" t="s">
        <v>15590</v>
      </c>
      <c r="WAD11" t="s">
        <v>15591</v>
      </c>
      <c r="WAE11" t="s">
        <v>15592</v>
      </c>
      <c r="WAF11" t="s">
        <v>15593</v>
      </c>
      <c r="WAG11" t="s">
        <v>15594</v>
      </c>
      <c r="WAH11" t="s">
        <v>15595</v>
      </c>
      <c r="WAI11" t="s">
        <v>15596</v>
      </c>
      <c r="WAJ11" t="s">
        <v>15597</v>
      </c>
      <c r="WAK11" t="s">
        <v>15598</v>
      </c>
      <c r="WAL11" t="s">
        <v>15599</v>
      </c>
      <c r="WAM11" t="s">
        <v>15600</v>
      </c>
      <c r="WAN11" t="s">
        <v>15601</v>
      </c>
      <c r="WAO11" t="s">
        <v>15602</v>
      </c>
      <c r="WAP11" t="s">
        <v>15603</v>
      </c>
      <c r="WAQ11" t="s">
        <v>15604</v>
      </c>
      <c r="WAR11" t="s">
        <v>15605</v>
      </c>
      <c r="WAS11" t="s">
        <v>15606</v>
      </c>
      <c r="WAT11" t="s">
        <v>15607</v>
      </c>
      <c r="WAU11" t="s">
        <v>15608</v>
      </c>
      <c r="WAV11" t="s">
        <v>15609</v>
      </c>
      <c r="WAW11" t="s">
        <v>15610</v>
      </c>
      <c r="WAX11" t="s">
        <v>15611</v>
      </c>
      <c r="WAY11" t="s">
        <v>15612</v>
      </c>
      <c r="WAZ11" t="s">
        <v>15613</v>
      </c>
      <c r="WBA11" t="s">
        <v>15614</v>
      </c>
      <c r="WBB11" t="s">
        <v>15615</v>
      </c>
      <c r="WBC11" t="s">
        <v>15616</v>
      </c>
      <c r="WBD11" t="s">
        <v>15617</v>
      </c>
      <c r="WBE11" t="s">
        <v>15618</v>
      </c>
      <c r="WBF11" t="s">
        <v>15619</v>
      </c>
      <c r="WBG11" t="s">
        <v>15620</v>
      </c>
      <c r="WBH11" t="s">
        <v>15621</v>
      </c>
      <c r="WBI11" t="s">
        <v>15622</v>
      </c>
      <c r="WBJ11" t="s">
        <v>15623</v>
      </c>
      <c r="WBK11" t="s">
        <v>15624</v>
      </c>
      <c r="WBL11" t="s">
        <v>15625</v>
      </c>
      <c r="WBM11" t="s">
        <v>15626</v>
      </c>
      <c r="WBN11" t="s">
        <v>15627</v>
      </c>
      <c r="WBO11" t="s">
        <v>15628</v>
      </c>
      <c r="WBP11" t="s">
        <v>15629</v>
      </c>
      <c r="WBQ11" t="s">
        <v>15630</v>
      </c>
      <c r="WBR11" t="s">
        <v>15631</v>
      </c>
      <c r="WBS11" t="s">
        <v>15632</v>
      </c>
      <c r="WBT11" t="s">
        <v>15633</v>
      </c>
      <c r="WBU11" t="s">
        <v>15634</v>
      </c>
      <c r="WBV11" t="s">
        <v>15635</v>
      </c>
      <c r="WBW11" t="s">
        <v>15636</v>
      </c>
      <c r="WBX11" t="s">
        <v>15637</v>
      </c>
      <c r="WBY11" t="s">
        <v>15638</v>
      </c>
      <c r="WBZ11" t="s">
        <v>15639</v>
      </c>
      <c r="WCA11" t="s">
        <v>15640</v>
      </c>
      <c r="WCB11" t="s">
        <v>15641</v>
      </c>
      <c r="WCC11" t="s">
        <v>15642</v>
      </c>
      <c r="WCD11" t="s">
        <v>15643</v>
      </c>
      <c r="WCE11" t="s">
        <v>15644</v>
      </c>
      <c r="WCF11" t="s">
        <v>15645</v>
      </c>
      <c r="WCG11" t="s">
        <v>15646</v>
      </c>
      <c r="WCH11" t="s">
        <v>15647</v>
      </c>
      <c r="WCI11" t="s">
        <v>15648</v>
      </c>
      <c r="WCJ11" t="s">
        <v>15649</v>
      </c>
      <c r="WCK11" t="s">
        <v>15650</v>
      </c>
      <c r="WCL11" t="s">
        <v>15651</v>
      </c>
      <c r="WCM11" t="s">
        <v>15652</v>
      </c>
      <c r="WCN11" t="s">
        <v>15653</v>
      </c>
      <c r="WCO11" t="s">
        <v>15654</v>
      </c>
      <c r="WCP11" t="s">
        <v>15655</v>
      </c>
      <c r="WCQ11" t="s">
        <v>15656</v>
      </c>
      <c r="WCR11" t="s">
        <v>15657</v>
      </c>
      <c r="WCS11" t="s">
        <v>15658</v>
      </c>
      <c r="WCT11" t="s">
        <v>15659</v>
      </c>
      <c r="WCU11" t="s">
        <v>15660</v>
      </c>
      <c r="WCV11" t="s">
        <v>15661</v>
      </c>
      <c r="WCW11" t="s">
        <v>15662</v>
      </c>
      <c r="WCX11" t="s">
        <v>15663</v>
      </c>
      <c r="WCY11" t="s">
        <v>15664</v>
      </c>
      <c r="WCZ11" t="s">
        <v>15665</v>
      </c>
      <c r="WDA11" t="s">
        <v>15666</v>
      </c>
      <c r="WDB11" t="s">
        <v>15667</v>
      </c>
      <c r="WDC11" t="s">
        <v>15668</v>
      </c>
      <c r="WDD11" t="s">
        <v>15669</v>
      </c>
      <c r="WDE11" t="s">
        <v>15670</v>
      </c>
      <c r="WDF11" t="s">
        <v>15671</v>
      </c>
      <c r="WDG11" t="s">
        <v>15672</v>
      </c>
      <c r="WDH11" t="s">
        <v>15673</v>
      </c>
      <c r="WDI11" t="s">
        <v>15674</v>
      </c>
      <c r="WDJ11" t="s">
        <v>15675</v>
      </c>
      <c r="WDK11" t="s">
        <v>15676</v>
      </c>
      <c r="WDL11" t="s">
        <v>15677</v>
      </c>
      <c r="WDM11" t="s">
        <v>15678</v>
      </c>
      <c r="WDN11" t="s">
        <v>15679</v>
      </c>
      <c r="WDO11" t="s">
        <v>15680</v>
      </c>
      <c r="WDP11" t="s">
        <v>15681</v>
      </c>
      <c r="WDQ11" t="s">
        <v>15682</v>
      </c>
      <c r="WDR11" t="s">
        <v>15683</v>
      </c>
      <c r="WDS11" t="s">
        <v>15684</v>
      </c>
      <c r="WDT11" t="s">
        <v>15685</v>
      </c>
      <c r="WDU11" t="s">
        <v>15686</v>
      </c>
      <c r="WDV11" t="s">
        <v>15687</v>
      </c>
      <c r="WDW11" t="s">
        <v>15688</v>
      </c>
      <c r="WDX11" t="s">
        <v>15689</v>
      </c>
      <c r="WDY11" t="s">
        <v>15690</v>
      </c>
      <c r="WDZ11" t="s">
        <v>15691</v>
      </c>
      <c r="WEA11" t="s">
        <v>15692</v>
      </c>
      <c r="WEB11" t="s">
        <v>15693</v>
      </c>
      <c r="WEC11" t="s">
        <v>15694</v>
      </c>
      <c r="WED11" t="s">
        <v>15695</v>
      </c>
      <c r="WEE11" t="s">
        <v>15696</v>
      </c>
      <c r="WEF11" t="s">
        <v>15697</v>
      </c>
      <c r="WEG11" t="s">
        <v>15698</v>
      </c>
      <c r="WEH11" t="s">
        <v>15699</v>
      </c>
      <c r="WEI11" t="s">
        <v>15700</v>
      </c>
      <c r="WEJ11" t="s">
        <v>15701</v>
      </c>
      <c r="WEK11" t="s">
        <v>15702</v>
      </c>
      <c r="WEL11" t="s">
        <v>15703</v>
      </c>
      <c r="WEM11" t="s">
        <v>15704</v>
      </c>
      <c r="WEN11" t="s">
        <v>15705</v>
      </c>
      <c r="WEO11" t="s">
        <v>15706</v>
      </c>
      <c r="WEP11" t="s">
        <v>15707</v>
      </c>
      <c r="WEQ11" t="s">
        <v>15708</v>
      </c>
      <c r="WER11" t="s">
        <v>15709</v>
      </c>
      <c r="WES11" t="s">
        <v>15710</v>
      </c>
      <c r="WET11" t="s">
        <v>15711</v>
      </c>
      <c r="WEU11" t="s">
        <v>15712</v>
      </c>
      <c r="WEV11" t="s">
        <v>15713</v>
      </c>
      <c r="WEW11" t="s">
        <v>15714</v>
      </c>
      <c r="WEX11" t="s">
        <v>15715</v>
      </c>
      <c r="WEY11" t="s">
        <v>15716</v>
      </c>
      <c r="WEZ11" t="s">
        <v>15717</v>
      </c>
      <c r="WFA11" t="s">
        <v>15718</v>
      </c>
      <c r="WFB11" t="s">
        <v>15719</v>
      </c>
      <c r="WFC11" t="s">
        <v>15720</v>
      </c>
      <c r="WFD11" t="s">
        <v>15721</v>
      </c>
      <c r="WFE11" t="s">
        <v>15722</v>
      </c>
      <c r="WFF11" t="s">
        <v>15723</v>
      </c>
      <c r="WFG11" t="s">
        <v>15724</v>
      </c>
      <c r="WFH11" t="s">
        <v>15725</v>
      </c>
      <c r="WFI11" t="s">
        <v>15726</v>
      </c>
      <c r="WFJ11" t="s">
        <v>15727</v>
      </c>
      <c r="WFK11" t="s">
        <v>15728</v>
      </c>
      <c r="WFL11" t="s">
        <v>15729</v>
      </c>
      <c r="WFM11" t="s">
        <v>15730</v>
      </c>
      <c r="WFN11" t="s">
        <v>15731</v>
      </c>
      <c r="WFO11" t="s">
        <v>15732</v>
      </c>
      <c r="WFP11" t="s">
        <v>15733</v>
      </c>
      <c r="WFQ11" t="s">
        <v>15734</v>
      </c>
      <c r="WFR11" t="s">
        <v>15735</v>
      </c>
      <c r="WFS11" t="s">
        <v>15736</v>
      </c>
      <c r="WFT11" t="s">
        <v>15737</v>
      </c>
      <c r="WFU11" t="s">
        <v>15738</v>
      </c>
      <c r="WFV11" t="s">
        <v>15739</v>
      </c>
      <c r="WFW11" t="s">
        <v>15740</v>
      </c>
      <c r="WFX11" t="s">
        <v>15741</v>
      </c>
      <c r="WFY11" t="s">
        <v>15742</v>
      </c>
      <c r="WFZ11" t="s">
        <v>15743</v>
      </c>
      <c r="WGA11" t="s">
        <v>15744</v>
      </c>
      <c r="WGB11" t="s">
        <v>15745</v>
      </c>
      <c r="WGC11" t="s">
        <v>15746</v>
      </c>
      <c r="WGD11" t="s">
        <v>15747</v>
      </c>
      <c r="WGE11" t="s">
        <v>15748</v>
      </c>
      <c r="WGF11" t="s">
        <v>15749</v>
      </c>
      <c r="WGG11" t="s">
        <v>15750</v>
      </c>
      <c r="WGH11" t="s">
        <v>15751</v>
      </c>
      <c r="WGI11" t="s">
        <v>15752</v>
      </c>
      <c r="WGJ11" t="s">
        <v>15753</v>
      </c>
      <c r="WGK11" t="s">
        <v>15754</v>
      </c>
      <c r="WGL11" t="s">
        <v>15755</v>
      </c>
      <c r="WGM11" t="s">
        <v>15756</v>
      </c>
      <c r="WGN11" t="s">
        <v>15757</v>
      </c>
      <c r="WGO11" t="s">
        <v>15758</v>
      </c>
      <c r="WGP11" t="s">
        <v>15759</v>
      </c>
      <c r="WGQ11" t="s">
        <v>15760</v>
      </c>
      <c r="WGR11" t="s">
        <v>15761</v>
      </c>
      <c r="WGS11" t="s">
        <v>15762</v>
      </c>
      <c r="WGT11" t="s">
        <v>15763</v>
      </c>
      <c r="WGU11" t="s">
        <v>15764</v>
      </c>
      <c r="WGV11" t="s">
        <v>15765</v>
      </c>
      <c r="WGW11" t="s">
        <v>15766</v>
      </c>
      <c r="WGX11" t="s">
        <v>15767</v>
      </c>
      <c r="WGY11" t="s">
        <v>15768</v>
      </c>
      <c r="WGZ11" t="s">
        <v>15769</v>
      </c>
      <c r="WHA11" t="s">
        <v>15770</v>
      </c>
      <c r="WHB11" t="s">
        <v>15771</v>
      </c>
      <c r="WHC11" t="s">
        <v>15772</v>
      </c>
      <c r="WHD11" t="s">
        <v>15773</v>
      </c>
      <c r="WHE11" t="s">
        <v>15774</v>
      </c>
      <c r="WHF11" t="s">
        <v>15775</v>
      </c>
      <c r="WHG11" t="s">
        <v>15776</v>
      </c>
      <c r="WHH11" t="s">
        <v>15777</v>
      </c>
      <c r="WHI11" t="s">
        <v>15778</v>
      </c>
      <c r="WHJ11" t="s">
        <v>15779</v>
      </c>
      <c r="WHK11" t="s">
        <v>15780</v>
      </c>
      <c r="WHL11" t="s">
        <v>15781</v>
      </c>
      <c r="WHM11" t="s">
        <v>15782</v>
      </c>
      <c r="WHN11" t="s">
        <v>15783</v>
      </c>
      <c r="WHO11" t="s">
        <v>15784</v>
      </c>
      <c r="WHP11" t="s">
        <v>15785</v>
      </c>
      <c r="WHQ11" t="s">
        <v>15786</v>
      </c>
      <c r="WHR11" t="s">
        <v>15787</v>
      </c>
      <c r="WHS11" t="s">
        <v>15788</v>
      </c>
      <c r="WHT11" t="s">
        <v>15789</v>
      </c>
      <c r="WHU11" t="s">
        <v>15790</v>
      </c>
      <c r="WHV11" t="s">
        <v>15791</v>
      </c>
      <c r="WHW11" t="s">
        <v>15792</v>
      </c>
      <c r="WHX11" t="s">
        <v>15793</v>
      </c>
      <c r="WHY11" t="s">
        <v>15794</v>
      </c>
      <c r="WHZ11" t="s">
        <v>15795</v>
      </c>
      <c r="WIA11" t="s">
        <v>15796</v>
      </c>
      <c r="WIB11" t="s">
        <v>15797</v>
      </c>
      <c r="WIC11" t="s">
        <v>15798</v>
      </c>
      <c r="WID11" t="s">
        <v>15799</v>
      </c>
      <c r="WIE11" t="s">
        <v>15800</v>
      </c>
      <c r="WIF11" t="s">
        <v>15801</v>
      </c>
      <c r="WIG11" t="s">
        <v>15802</v>
      </c>
      <c r="WIH11" t="s">
        <v>15803</v>
      </c>
      <c r="WII11" t="s">
        <v>15804</v>
      </c>
      <c r="WIJ11" t="s">
        <v>15805</v>
      </c>
      <c r="WIK11" t="s">
        <v>15806</v>
      </c>
      <c r="WIL11" t="s">
        <v>15807</v>
      </c>
      <c r="WIM11" t="s">
        <v>15808</v>
      </c>
      <c r="WIN11" t="s">
        <v>15809</v>
      </c>
      <c r="WIO11" t="s">
        <v>15810</v>
      </c>
      <c r="WIP11" t="s">
        <v>15811</v>
      </c>
      <c r="WIQ11" t="s">
        <v>15812</v>
      </c>
      <c r="WIR11" t="s">
        <v>15813</v>
      </c>
      <c r="WIS11" t="s">
        <v>15814</v>
      </c>
      <c r="WIT11" t="s">
        <v>15815</v>
      </c>
      <c r="WIU11" t="s">
        <v>15816</v>
      </c>
      <c r="WIV11" t="s">
        <v>15817</v>
      </c>
      <c r="WIW11" t="s">
        <v>15818</v>
      </c>
      <c r="WIX11" t="s">
        <v>15819</v>
      </c>
      <c r="WIY11" t="s">
        <v>15820</v>
      </c>
      <c r="WIZ11" t="s">
        <v>15821</v>
      </c>
      <c r="WJA11" t="s">
        <v>15822</v>
      </c>
      <c r="WJB11" t="s">
        <v>15823</v>
      </c>
      <c r="WJC11" t="s">
        <v>15824</v>
      </c>
      <c r="WJD11" t="s">
        <v>15825</v>
      </c>
      <c r="WJE11" t="s">
        <v>15826</v>
      </c>
      <c r="WJF11" t="s">
        <v>15827</v>
      </c>
      <c r="WJG11" t="s">
        <v>15828</v>
      </c>
      <c r="WJH11" t="s">
        <v>15829</v>
      </c>
      <c r="WJI11" t="s">
        <v>15830</v>
      </c>
      <c r="WJJ11" t="s">
        <v>15831</v>
      </c>
      <c r="WJK11" t="s">
        <v>15832</v>
      </c>
      <c r="WJL11" t="s">
        <v>15833</v>
      </c>
      <c r="WJM11" t="s">
        <v>15834</v>
      </c>
      <c r="WJN11" t="s">
        <v>15835</v>
      </c>
      <c r="WJO11" t="s">
        <v>15836</v>
      </c>
      <c r="WJP11" t="s">
        <v>15837</v>
      </c>
      <c r="WJQ11" t="s">
        <v>15838</v>
      </c>
      <c r="WJR11" t="s">
        <v>15839</v>
      </c>
      <c r="WJS11" t="s">
        <v>15840</v>
      </c>
      <c r="WJT11" t="s">
        <v>15841</v>
      </c>
      <c r="WJU11" t="s">
        <v>15842</v>
      </c>
      <c r="WJV11" t="s">
        <v>15843</v>
      </c>
      <c r="WJW11" t="s">
        <v>15844</v>
      </c>
      <c r="WJX11" t="s">
        <v>15845</v>
      </c>
      <c r="WJY11" t="s">
        <v>15846</v>
      </c>
      <c r="WJZ11" t="s">
        <v>15847</v>
      </c>
      <c r="WKA11" t="s">
        <v>15848</v>
      </c>
      <c r="WKB11" t="s">
        <v>15849</v>
      </c>
      <c r="WKC11" t="s">
        <v>15850</v>
      </c>
      <c r="WKD11" t="s">
        <v>15851</v>
      </c>
      <c r="WKE11" t="s">
        <v>15852</v>
      </c>
      <c r="WKF11" t="s">
        <v>15853</v>
      </c>
      <c r="WKG11" t="s">
        <v>15854</v>
      </c>
      <c r="WKH11" t="s">
        <v>15855</v>
      </c>
      <c r="WKI11" t="s">
        <v>15856</v>
      </c>
      <c r="WKJ11" t="s">
        <v>15857</v>
      </c>
      <c r="WKK11" t="s">
        <v>15858</v>
      </c>
      <c r="WKL11" t="s">
        <v>15859</v>
      </c>
      <c r="WKM11" t="s">
        <v>15860</v>
      </c>
      <c r="WKN11" t="s">
        <v>15861</v>
      </c>
      <c r="WKO11" t="s">
        <v>15862</v>
      </c>
      <c r="WKP11" t="s">
        <v>15863</v>
      </c>
      <c r="WKQ11" t="s">
        <v>15864</v>
      </c>
      <c r="WKR11" t="s">
        <v>15865</v>
      </c>
      <c r="WKS11" t="s">
        <v>15866</v>
      </c>
      <c r="WKT11" t="s">
        <v>15867</v>
      </c>
      <c r="WKU11" t="s">
        <v>15868</v>
      </c>
      <c r="WKV11" t="s">
        <v>15869</v>
      </c>
      <c r="WKW11" t="s">
        <v>15870</v>
      </c>
      <c r="WKX11" t="s">
        <v>15871</v>
      </c>
      <c r="WKY11" t="s">
        <v>15872</v>
      </c>
      <c r="WKZ11" t="s">
        <v>15873</v>
      </c>
      <c r="WLA11" t="s">
        <v>15874</v>
      </c>
      <c r="WLB11" t="s">
        <v>15875</v>
      </c>
      <c r="WLC11" t="s">
        <v>15876</v>
      </c>
      <c r="WLD11" t="s">
        <v>15877</v>
      </c>
      <c r="WLE11" t="s">
        <v>15878</v>
      </c>
      <c r="WLF11" t="s">
        <v>15879</v>
      </c>
      <c r="WLG11" t="s">
        <v>15880</v>
      </c>
      <c r="WLH11" t="s">
        <v>15881</v>
      </c>
      <c r="WLI11" t="s">
        <v>15882</v>
      </c>
      <c r="WLJ11" t="s">
        <v>15883</v>
      </c>
      <c r="WLK11" t="s">
        <v>15884</v>
      </c>
      <c r="WLL11" t="s">
        <v>15885</v>
      </c>
      <c r="WLM11" t="s">
        <v>15886</v>
      </c>
      <c r="WLN11" t="s">
        <v>15887</v>
      </c>
      <c r="WLO11" t="s">
        <v>15888</v>
      </c>
      <c r="WLP11" t="s">
        <v>15889</v>
      </c>
      <c r="WLQ11" t="s">
        <v>15890</v>
      </c>
      <c r="WLR11" t="s">
        <v>15891</v>
      </c>
      <c r="WLS11" t="s">
        <v>15892</v>
      </c>
      <c r="WLT11" t="s">
        <v>15893</v>
      </c>
      <c r="WLU11" t="s">
        <v>15894</v>
      </c>
      <c r="WLV11" t="s">
        <v>15895</v>
      </c>
      <c r="WLW11" t="s">
        <v>15896</v>
      </c>
      <c r="WLX11" t="s">
        <v>15897</v>
      </c>
      <c r="WLY11" t="s">
        <v>15898</v>
      </c>
      <c r="WLZ11" t="s">
        <v>15899</v>
      </c>
      <c r="WMA11" t="s">
        <v>15900</v>
      </c>
      <c r="WMB11" t="s">
        <v>15901</v>
      </c>
      <c r="WMC11" t="s">
        <v>15902</v>
      </c>
      <c r="WMD11" t="s">
        <v>15903</v>
      </c>
      <c r="WME11" t="s">
        <v>15904</v>
      </c>
      <c r="WMF11" t="s">
        <v>15905</v>
      </c>
      <c r="WMG11" t="s">
        <v>15906</v>
      </c>
      <c r="WMH11" t="s">
        <v>15907</v>
      </c>
      <c r="WMI11" t="s">
        <v>15908</v>
      </c>
      <c r="WMJ11" t="s">
        <v>15909</v>
      </c>
      <c r="WMK11" t="s">
        <v>15910</v>
      </c>
      <c r="WML11" t="s">
        <v>15911</v>
      </c>
      <c r="WMM11" t="s">
        <v>15912</v>
      </c>
      <c r="WMN11" t="s">
        <v>15913</v>
      </c>
      <c r="WMO11" t="s">
        <v>15914</v>
      </c>
      <c r="WMP11" t="s">
        <v>15915</v>
      </c>
      <c r="WMQ11" t="s">
        <v>15916</v>
      </c>
      <c r="WMR11" t="s">
        <v>15917</v>
      </c>
      <c r="WMS11" t="s">
        <v>15918</v>
      </c>
      <c r="WMT11" t="s">
        <v>15919</v>
      </c>
      <c r="WMU11" t="s">
        <v>15920</v>
      </c>
      <c r="WMV11" t="s">
        <v>15921</v>
      </c>
      <c r="WMW11" t="s">
        <v>15922</v>
      </c>
      <c r="WMX11" t="s">
        <v>15923</v>
      </c>
      <c r="WMY11" t="s">
        <v>15924</v>
      </c>
      <c r="WMZ11" t="s">
        <v>15925</v>
      </c>
      <c r="WNA11" t="s">
        <v>15926</v>
      </c>
      <c r="WNB11" t="s">
        <v>15927</v>
      </c>
      <c r="WNC11" t="s">
        <v>15928</v>
      </c>
      <c r="WND11" t="s">
        <v>15929</v>
      </c>
      <c r="WNE11" t="s">
        <v>15930</v>
      </c>
      <c r="WNF11" t="s">
        <v>15931</v>
      </c>
      <c r="WNG11" t="s">
        <v>15932</v>
      </c>
      <c r="WNH11" t="s">
        <v>15933</v>
      </c>
      <c r="WNI11" t="s">
        <v>15934</v>
      </c>
      <c r="WNJ11" t="s">
        <v>15935</v>
      </c>
      <c r="WNK11" t="s">
        <v>15936</v>
      </c>
      <c r="WNL11" t="s">
        <v>15937</v>
      </c>
      <c r="WNM11" t="s">
        <v>15938</v>
      </c>
      <c r="WNN11" t="s">
        <v>15939</v>
      </c>
      <c r="WNO11" t="s">
        <v>15940</v>
      </c>
      <c r="WNP11" t="s">
        <v>15941</v>
      </c>
      <c r="WNQ11" t="s">
        <v>15942</v>
      </c>
      <c r="WNR11" t="s">
        <v>15943</v>
      </c>
      <c r="WNS11" t="s">
        <v>15944</v>
      </c>
      <c r="WNT11" t="s">
        <v>15945</v>
      </c>
      <c r="WNU11" t="s">
        <v>15946</v>
      </c>
      <c r="WNV11" t="s">
        <v>15947</v>
      </c>
      <c r="WNW11" t="s">
        <v>15948</v>
      </c>
      <c r="WNX11" t="s">
        <v>15949</v>
      </c>
      <c r="WNY11" t="s">
        <v>15950</v>
      </c>
      <c r="WNZ11" t="s">
        <v>15951</v>
      </c>
      <c r="WOA11" t="s">
        <v>15952</v>
      </c>
      <c r="WOB11" t="s">
        <v>15953</v>
      </c>
      <c r="WOC11" t="s">
        <v>15954</v>
      </c>
      <c r="WOD11" t="s">
        <v>15955</v>
      </c>
      <c r="WOE11" t="s">
        <v>15956</v>
      </c>
      <c r="WOF11" t="s">
        <v>15957</v>
      </c>
      <c r="WOG11" t="s">
        <v>15958</v>
      </c>
      <c r="WOH11" t="s">
        <v>15959</v>
      </c>
      <c r="WOI11" t="s">
        <v>15960</v>
      </c>
      <c r="WOJ11" t="s">
        <v>15961</v>
      </c>
      <c r="WOK11" t="s">
        <v>15962</v>
      </c>
      <c r="WOL11" t="s">
        <v>15963</v>
      </c>
      <c r="WOM11" t="s">
        <v>15964</v>
      </c>
      <c r="WON11" t="s">
        <v>15965</v>
      </c>
      <c r="WOO11" t="s">
        <v>15966</v>
      </c>
      <c r="WOP11" t="s">
        <v>15967</v>
      </c>
      <c r="WOQ11" t="s">
        <v>15968</v>
      </c>
      <c r="WOR11" t="s">
        <v>15969</v>
      </c>
      <c r="WOS11" t="s">
        <v>15970</v>
      </c>
      <c r="WOT11" t="s">
        <v>15971</v>
      </c>
      <c r="WOU11" t="s">
        <v>15972</v>
      </c>
      <c r="WOV11" t="s">
        <v>15973</v>
      </c>
      <c r="WOW11" t="s">
        <v>15974</v>
      </c>
      <c r="WOX11" t="s">
        <v>15975</v>
      </c>
      <c r="WOY11" t="s">
        <v>15976</v>
      </c>
      <c r="WOZ11" t="s">
        <v>15977</v>
      </c>
      <c r="WPA11" t="s">
        <v>15978</v>
      </c>
      <c r="WPB11" t="s">
        <v>15979</v>
      </c>
      <c r="WPC11" t="s">
        <v>15980</v>
      </c>
      <c r="WPD11" t="s">
        <v>15981</v>
      </c>
      <c r="WPE11" t="s">
        <v>15982</v>
      </c>
      <c r="WPF11" t="s">
        <v>15983</v>
      </c>
      <c r="WPG11" t="s">
        <v>15984</v>
      </c>
      <c r="WPH11" t="s">
        <v>15985</v>
      </c>
      <c r="WPI11" t="s">
        <v>15986</v>
      </c>
      <c r="WPJ11" t="s">
        <v>15987</v>
      </c>
      <c r="WPK11" t="s">
        <v>15988</v>
      </c>
      <c r="WPL11" t="s">
        <v>15989</v>
      </c>
      <c r="WPM11" t="s">
        <v>15990</v>
      </c>
      <c r="WPN11" t="s">
        <v>15991</v>
      </c>
      <c r="WPO11" t="s">
        <v>15992</v>
      </c>
      <c r="WPP11" t="s">
        <v>15993</v>
      </c>
      <c r="WPQ11" t="s">
        <v>15994</v>
      </c>
      <c r="WPR11" t="s">
        <v>15995</v>
      </c>
      <c r="WPS11" t="s">
        <v>15996</v>
      </c>
      <c r="WPT11" t="s">
        <v>15997</v>
      </c>
      <c r="WPU11" t="s">
        <v>15998</v>
      </c>
      <c r="WPV11" t="s">
        <v>15999</v>
      </c>
      <c r="WPW11" t="s">
        <v>16000</v>
      </c>
      <c r="WPX11" t="s">
        <v>16001</v>
      </c>
      <c r="WPY11" t="s">
        <v>16002</v>
      </c>
      <c r="WPZ11" t="s">
        <v>16003</v>
      </c>
      <c r="WQA11" t="s">
        <v>16004</v>
      </c>
      <c r="WQB11" t="s">
        <v>16005</v>
      </c>
      <c r="WQC11" t="s">
        <v>16006</v>
      </c>
      <c r="WQD11" t="s">
        <v>16007</v>
      </c>
      <c r="WQE11" t="s">
        <v>16008</v>
      </c>
      <c r="WQF11" t="s">
        <v>16009</v>
      </c>
      <c r="WQG11" t="s">
        <v>16010</v>
      </c>
      <c r="WQH11" t="s">
        <v>16011</v>
      </c>
      <c r="WQI11" t="s">
        <v>16012</v>
      </c>
      <c r="WQJ11" t="s">
        <v>16013</v>
      </c>
      <c r="WQK11" t="s">
        <v>16014</v>
      </c>
      <c r="WQL11" t="s">
        <v>16015</v>
      </c>
      <c r="WQM11" t="s">
        <v>16016</v>
      </c>
      <c r="WQN11" t="s">
        <v>16017</v>
      </c>
      <c r="WQO11" t="s">
        <v>16018</v>
      </c>
      <c r="WQP11" t="s">
        <v>16019</v>
      </c>
      <c r="WQQ11" t="s">
        <v>16020</v>
      </c>
      <c r="WQR11" t="s">
        <v>16021</v>
      </c>
      <c r="WQS11" t="s">
        <v>16022</v>
      </c>
      <c r="WQT11" t="s">
        <v>16023</v>
      </c>
      <c r="WQU11" t="s">
        <v>16024</v>
      </c>
      <c r="WQV11" t="s">
        <v>16025</v>
      </c>
      <c r="WQW11" t="s">
        <v>16026</v>
      </c>
      <c r="WQX11" t="s">
        <v>16027</v>
      </c>
      <c r="WQY11" t="s">
        <v>16028</v>
      </c>
      <c r="WQZ11" t="s">
        <v>16029</v>
      </c>
      <c r="WRA11" t="s">
        <v>16030</v>
      </c>
      <c r="WRB11" t="s">
        <v>16031</v>
      </c>
      <c r="WRC11" t="s">
        <v>16032</v>
      </c>
      <c r="WRD11" t="s">
        <v>16033</v>
      </c>
      <c r="WRE11" t="s">
        <v>16034</v>
      </c>
      <c r="WRF11" t="s">
        <v>16035</v>
      </c>
      <c r="WRG11" t="s">
        <v>16036</v>
      </c>
      <c r="WRH11" t="s">
        <v>16037</v>
      </c>
      <c r="WRI11" t="s">
        <v>16038</v>
      </c>
      <c r="WRJ11" t="s">
        <v>16039</v>
      </c>
      <c r="WRK11" t="s">
        <v>16040</v>
      </c>
      <c r="WRL11" t="s">
        <v>16041</v>
      </c>
      <c r="WRM11" t="s">
        <v>16042</v>
      </c>
      <c r="WRN11" t="s">
        <v>16043</v>
      </c>
      <c r="WRO11" t="s">
        <v>16044</v>
      </c>
      <c r="WRP11" t="s">
        <v>16045</v>
      </c>
      <c r="WRQ11" t="s">
        <v>16046</v>
      </c>
      <c r="WRR11" t="s">
        <v>16047</v>
      </c>
      <c r="WRS11" t="s">
        <v>16048</v>
      </c>
      <c r="WRT11" t="s">
        <v>16049</v>
      </c>
      <c r="WRU11" t="s">
        <v>16050</v>
      </c>
      <c r="WRV11" t="s">
        <v>16051</v>
      </c>
      <c r="WRW11" t="s">
        <v>16052</v>
      </c>
      <c r="WRX11" t="s">
        <v>16053</v>
      </c>
      <c r="WRY11" t="s">
        <v>16054</v>
      </c>
      <c r="WRZ11" t="s">
        <v>16055</v>
      </c>
      <c r="WSA11" t="s">
        <v>16056</v>
      </c>
      <c r="WSB11" t="s">
        <v>16057</v>
      </c>
      <c r="WSC11" t="s">
        <v>16058</v>
      </c>
      <c r="WSD11" t="s">
        <v>16059</v>
      </c>
      <c r="WSE11" t="s">
        <v>16060</v>
      </c>
      <c r="WSF11" t="s">
        <v>16061</v>
      </c>
      <c r="WSG11" t="s">
        <v>16062</v>
      </c>
      <c r="WSH11" t="s">
        <v>16063</v>
      </c>
      <c r="WSI11" t="s">
        <v>16064</v>
      </c>
      <c r="WSJ11" t="s">
        <v>16065</v>
      </c>
      <c r="WSK11" t="s">
        <v>16066</v>
      </c>
      <c r="WSL11" t="s">
        <v>16067</v>
      </c>
      <c r="WSM11" t="s">
        <v>16068</v>
      </c>
      <c r="WSN11" t="s">
        <v>16069</v>
      </c>
      <c r="WSO11" t="s">
        <v>16070</v>
      </c>
      <c r="WSP11" t="s">
        <v>16071</v>
      </c>
      <c r="WSQ11" t="s">
        <v>16072</v>
      </c>
      <c r="WSR11" t="s">
        <v>16073</v>
      </c>
      <c r="WSS11" t="s">
        <v>16074</v>
      </c>
      <c r="WST11" t="s">
        <v>16075</v>
      </c>
      <c r="WSU11" t="s">
        <v>16076</v>
      </c>
      <c r="WSV11" t="s">
        <v>16077</v>
      </c>
      <c r="WSW11" t="s">
        <v>16078</v>
      </c>
      <c r="WSX11" t="s">
        <v>16079</v>
      </c>
      <c r="WSY11" t="s">
        <v>16080</v>
      </c>
      <c r="WSZ11" t="s">
        <v>16081</v>
      </c>
      <c r="WTA11" t="s">
        <v>16082</v>
      </c>
      <c r="WTB11" t="s">
        <v>16083</v>
      </c>
      <c r="WTC11" t="s">
        <v>16084</v>
      </c>
      <c r="WTD11" t="s">
        <v>16085</v>
      </c>
      <c r="WTE11" t="s">
        <v>16086</v>
      </c>
      <c r="WTF11" t="s">
        <v>16087</v>
      </c>
      <c r="WTG11" t="s">
        <v>16088</v>
      </c>
      <c r="WTH11" t="s">
        <v>16089</v>
      </c>
      <c r="WTI11" t="s">
        <v>16090</v>
      </c>
      <c r="WTJ11" t="s">
        <v>16091</v>
      </c>
      <c r="WTK11" t="s">
        <v>16092</v>
      </c>
      <c r="WTL11" t="s">
        <v>16093</v>
      </c>
      <c r="WTM11" t="s">
        <v>16094</v>
      </c>
      <c r="WTN11" t="s">
        <v>16095</v>
      </c>
      <c r="WTO11" t="s">
        <v>16096</v>
      </c>
      <c r="WTP11" t="s">
        <v>16097</v>
      </c>
      <c r="WTQ11" t="s">
        <v>16098</v>
      </c>
      <c r="WTR11" t="s">
        <v>16099</v>
      </c>
      <c r="WTS11" t="s">
        <v>16100</v>
      </c>
      <c r="WTT11" t="s">
        <v>16101</v>
      </c>
      <c r="WTU11" t="s">
        <v>16102</v>
      </c>
      <c r="WTV11" t="s">
        <v>16103</v>
      </c>
      <c r="WTW11" t="s">
        <v>16104</v>
      </c>
      <c r="WTX11" t="s">
        <v>16105</v>
      </c>
      <c r="WTY11" t="s">
        <v>16106</v>
      </c>
      <c r="WTZ11" t="s">
        <v>16107</v>
      </c>
      <c r="WUA11" t="s">
        <v>16108</v>
      </c>
      <c r="WUB11" t="s">
        <v>16109</v>
      </c>
      <c r="WUC11" t="s">
        <v>16110</v>
      </c>
      <c r="WUD11" t="s">
        <v>16111</v>
      </c>
      <c r="WUE11" t="s">
        <v>16112</v>
      </c>
      <c r="WUF11" t="s">
        <v>16113</v>
      </c>
      <c r="WUG11" t="s">
        <v>16114</v>
      </c>
      <c r="WUH11" t="s">
        <v>16115</v>
      </c>
      <c r="WUI11" t="s">
        <v>16116</v>
      </c>
      <c r="WUJ11" t="s">
        <v>16117</v>
      </c>
      <c r="WUK11" t="s">
        <v>16118</v>
      </c>
      <c r="WUL11" t="s">
        <v>16119</v>
      </c>
      <c r="WUM11" t="s">
        <v>16120</v>
      </c>
      <c r="WUN11" t="s">
        <v>16121</v>
      </c>
      <c r="WUO11" t="s">
        <v>16122</v>
      </c>
      <c r="WUP11" t="s">
        <v>16123</v>
      </c>
      <c r="WUQ11" t="s">
        <v>16124</v>
      </c>
      <c r="WUR11" t="s">
        <v>16125</v>
      </c>
      <c r="WUS11" t="s">
        <v>16126</v>
      </c>
      <c r="WUT11" t="s">
        <v>16127</v>
      </c>
      <c r="WUU11" t="s">
        <v>16128</v>
      </c>
      <c r="WUV11" t="s">
        <v>16129</v>
      </c>
      <c r="WUW11" t="s">
        <v>16130</v>
      </c>
      <c r="WUX11" t="s">
        <v>16131</v>
      </c>
      <c r="WUY11" t="s">
        <v>16132</v>
      </c>
      <c r="WUZ11" t="s">
        <v>16133</v>
      </c>
      <c r="WVA11" t="s">
        <v>16134</v>
      </c>
      <c r="WVB11" t="s">
        <v>16135</v>
      </c>
      <c r="WVC11" t="s">
        <v>16136</v>
      </c>
      <c r="WVD11" t="s">
        <v>16137</v>
      </c>
      <c r="WVE11" t="s">
        <v>16138</v>
      </c>
      <c r="WVF11" t="s">
        <v>16139</v>
      </c>
      <c r="WVG11" t="s">
        <v>16140</v>
      </c>
      <c r="WVH11" t="s">
        <v>16141</v>
      </c>
      <c r="WVI11" t="s">
        <v>16142</v>
      </c>
      <c r="WVJ11" t="s">
        <v>16143</v>
      </c>
      <c r="WVK11" t="s">
        <v>16144</v>
      </c>
      <c r="WVL11" t="s">
        <v>16145</v>
      </c>
      <c r="WVM11" t="s">
        <v>16146</v>
      </c>
      <c r="WVN11" t="s">
        <v>16147</v>
      </c>
      <c r="WVO11" t="s">
        <v>16148</v>
      </c>
      <c r="WVP11" t="s">
        <v>16149</v>
      </c>
      <c r="WVQ11" t="s">
        <v>16150</v>
      </c>
      <c r="WVR11" t="s">
        <v>16151</v>
      </c>
      <c r="WVS11" t="s">
        <v>16152</v>
      </c>
      <c r="WVT11" t="s">
        <v>16153</v>
      </c>
      <c r="WVU11" t="s">
        <v>16154</v>
      </c>
      <c r="WVV11" t="s">
        <v>16155</v>
      </c>
      <c r="WVW11" t="s">
        <v>16156</v>
      </c>
      <c r="WVX11" t="s">
        <v>16157</v>
      </c>
      <c r="WVY11" t="s">
        <v>16158</v>
      </c>
      <c r="WVZ11" t="s">
        <v>16159</v>
      </c>
      <c r="WWA11" t="s">
        <v>16160</v>
      </c>
      <c r="WWB11" t="s">
        <v>16161</v>
      </c>
      <c r="WWC11" t="s">
        <v>16162</v>
      </c>
      <c r="WWD11" t="s">
        <v>16163</v>
      </c>
      <c r="WWE11" t="s">
        <v>16164</v>
      </c>
      <c r="WWF11" t="s">
        <v>16165</v>
      </c>
      <c r="WWG11" t="s">
        <v>16166</v>
      </c>
      <c r="WWH11" t="s">
        <v>16167</v>
      </c>
      <c r="WWI11" t="s">
        <v>16168</v>
      </c>
      <c r="WWJ11" t="s">
        <v>16169</v>
      </c>
      <c r="WWK11" t="s">
        <v>16170</v>
      </c>
      <c r="WWL11" t="s">
        <v>16171</v>
      </c>
      <c r="WWM11" t="s">
        <v>16172</v>
      </c>
      <c r="WWN11" t="s">
        <v>16173</v>
      </c>
      <c r="WWO11" t="s">
        <v>16174</v>
      </c>
      <c r="WWP11" t="s">
        <v>16175</v>
      </c>
      <c r="WWQ11" t="s">
        <v>16176</v>
      </c>
      <c r="WWR11" t="s">
        <v>16177</v>
      </c>
      <c r="WWS11" t="s">
        <v>16178</v>
      </c>
      <c r="WWT11" t="s">
        <v>16179</v>
      </c>
      <c r="WWU11" t="s">
        <v>16180</v>
      </c>
      <c r="WWV11" t="s">
        <v>16181</v>
      </c>
      <c r="WWW11" t="s">
        <v>16182</v>
      </c>
      <c r="WWX11" t="s">
        <v>16183</v>
      </c>
      <c r="WWY11" t="s">
        <v>16184</v>
      </c>
      <c r="WWZ11" t="s">
        <v>16185</v>
      </c>
      <c r="WXA11" t="s">
        <v>16186</v>
      </c>
      <c r="WXB11" t="s">
        <v>16187</v>
      </c>
      <c r="WXC11" t="s">
        <v>16188</v>
      </c>
      <c r="WXD11" t="s">
        <v>16189</v>
      </c>
      <c r="WXE11" t="s">
        <v>16190</v>
      </c>
      <c r="WXF11" t="s">
        <v>16191</v>
      </c>
      <c r="WXG11" t="s">
        <v>16192</v>
      </c>
      <c r="WXH11" t="s">
        <v>16193</v>
      </c>
      <c r="WXI11" t="s">
        <v>16194</v>
      </c>
      <c r="WXJ11" t="s">
        <v>16195</v>
      </c>
      <c r="WXK11" t="s">
        <v>16196</v>
      </c>
      <c r="WXL11" t="s">
        <v>16197</v>
      </c>
      <c r="WXM11" t="s">
        <v>16198</v>
      </c>
      <c r="WXN11" t="s">
        <v>16199</v>
      </c>
      <c r="WXO11" t="s">
        <v>16200</v>
      </c>
      <c r="WXP11" t="s">
        <v>16201</v>
      </c>
      <c r="WXQ11" t="s">
        <v>16202</v>
      </c>
      <c r="WXR11" t="s">
        <v>16203</v>
      </c>
      <c r="WXS11" t="s">
        <v>16204</v>
      </c>
      <c r="WXT11" t="s">
        <v>16205</v>
      </c>
      <c r="WXU11" t="s">
        <v>16206</v>
      </c>
      <c r="WXV11" t="s">
        <v>16207</v>
      </c>
      <c r="WXW11" t="s">
        <v>16208</v>
      </c>
      <c r="WXX11" t="s">
        <v>16209</v>
      </c>
      <c r="WXY11" t="s">
        <v>16210</v>
      </c>
      <c r="WXZ11" t="s">
        <v>16211</v>
      </c>
      <c r="WYA11" t="s">
        <v>16212</v>
      </c>
      <c r="WYB11" t="s">
        <v>16213</v>
      </c>
      <c r="WYC11" t="s">
        <v>16214</v>
      </c>
      <c r="WYD11" t="s">
        <v>16215</v>
      </c>
      <c r="WYE11" t="s">
        <v>16216</v>
      </c>
      <c r="WYF11" t="s">
        <v>16217</v>
      </c>
      <c r="WYG11" t="s">
        <v>16218</v>
      </c>
      <c r="WYH11" t="s">
        <v>16219</v>
      </c>
      <c r="WYI11" t="s">
        <v>16220</v>
      </c>
      <c r="WYJ11" t="s">
        <v>16221</v>
      </c>
      <c r="WYK11" t="s">
        <v>16222</v>
      </c>
      <c r="WYL11" t="s">
        <v>16223</v>
      </c>
      <c r="WYM11" t="s">
        <v>16224</v>
      </c>
      <c r="WYN11" t="s">
        <v>16225</v>
      </c>
      <c r="WYO11" t="s">
        <v>16226</v>
      </c>
      <c r="WYP11" t="s">
        <v>16227</v>
      </c>
      <c r="WYQ11" t="s">
        <v>16228</v>
      </c>
      <c r="WYR11" t="s">
        <v>16229</v>
      </c>
      <c r="WYS11" t="s">
        <v>16230</v>
      </c>
      <c r="WYT11" t="s">
        <v>16231</v>
      </c>
      <c r="WYU11" t="s">
        <v>16232</v>
      </c>
      <c r="WYV11" t="s">
        <v>16233</v>
      </c>
      <c r="WYW11" t="s">
        <v>16234</v>
      </c>
      <c r="WYX11" t="s">
        <v>16235</v>
      </c>
      <c r="WYY11" t="s">
        <v>16236</v>
      </c>
      <c r="WYZ11" t="s">
        <v>16237</v>
      </c>
      <c r="WZA11" t="s">
        <v>16238</v>
      </c>
      <c r="WZB11" t="s">
        <v>16239</v>
      </c>
      <c r="WZC11" t="s">
        <v>16240</v>
      </c>
      <c r="WZD11" t="s">
        <v>16241</v>
      </c>
      <c r="WZE11" t="s">
        <v>16242</v>
      </c>
      <c r="WZF11" t="s">
        <v>16243</v>
      </c>
      <c r="WZG11" t="s">
        <v>16244</v>
      </c>
      <c r="WZH11" t="s">
        <v>16245</v>
      </c>
      <c r="WZI11" t="s">
        <v>16246</v>
      </c>
      <c r="WZJ11" t="s">
        <v>16247</v>
      </c>
      <c r="WZK11" t="s">
        <v>16248</v>
      </c>
      <c r="WZL11" t="s">
        <v>16249</v>
      </c>
      <c r="WZM11" t="s">
        <v>16250</v>
      </c>
      <c r="WZN11" t="s">
        <v>16251</v>
      </c>
      <c r="WZO11" t="s">
        <v>16252</v>
      </c>
      <c r="WZP11" t="s">
        <v>16253</v>
      </c>
      <c r="WZQ11" t="s">
        <v>16254</v>
      </c>
      <c r="WZR11" t="s">
        <v>16255</v>
      </c>
      <c r="WZS11" t="s">
        <v>16256</v>
      </c>
      <c r="WZT11" t="s">
        <v>16257</v>
      </c>
      <c r="WZU11" t="s">
        <v>16258</v>
      </c>
      <c r="WZV11" t="s">
        <v>16259</v>
      </c>
      <c r="WZW11" t="s">
        <v>16260</v>
      </c>
      <c r="WZX11" t="s">
        <v>16261</v>
      </c>
      <c r="WZY11" t="s">
        <v>16262</v>
      </c>
      <c r="WZZ11" t="s">
        <v>16263</v>
      </c>
      <c r="XAA11" t="s">
        <v>16264</v>
      </c>
      <c r="XAB11" t="s">
        <v>16265</v>
      </c>
      <c r="XAC11" t="s">
        <v>16266</v>
      </c>
      <c r="XAD11" t="s">
        <v>16267</v>
      </c>
      <c r="XAE11" t="s">
        <v>16268</v>
      </c>
      <c r="XAF11" t="s">
        <v>16269</v>
      </c>
      <c r="XAG11" t="s">
        <v>16270</v>
      </c>
      <c r="XAH11" t="s">
        <v>16271</v>
      </c>
      <c r="XAI11" t="s">
        <v>16272</v>
      </c>
      <c r="XAJ11" t="s">
        <v>16273</v>
      </c>
      <c r="XAK11" t="s">
        <v>16274</v>
      </c>
      <c r="XAL11" t="s">
        <v>16275</v>
      </c>
      <c r="XAM11" t="s">
        <v>16276</v>
      </c>
      <c r="XAN11" t="s">
        <v>16277</v>
      </c>
      <c r="XAO11" t="s">
        <v>16278</v>
      </c>
      <c r="XAP11" t="s">
        <v>16279</v>
      </c>
      <c r="XAQ11" t="s">
        <v>16280</v>
      </c>
      <c r="XAR11" t="s">
        <v>16281</v>
      </c>
      <c r="XAS11" t="s">
        <v>16282</v>
      </c>
      <c r="XAT11" t="s">
        <v>16283</v>
      </c>
      <c r="XAU11" t="s">
        <v>16284</v>
      </c>
      <c r="XAV11" t="s">
        <v>16285</v>
      </c>
      <c r="XAW11" t="s">
        <v>16286</v>
      </c>
      <c r="XAX11" t="s">
        <v>16287</v>
      </c>
      <c r="XAY11" t="s">
        <v>16288</v>
      </c>
      <c r="XAZ11" t="s">
        <v>16289</v>
      </c>
      <c r="XBA11" t="s">
        <v>16290</v>
      </c>
      <c r="XBB11" t="s">
        <v>16291</v>
      </c>
      <c r="XBC11" t="s">
        <v>16292</v>
      </c>
      <c r="XBD11" t="s">
        <v>16293</v>
      </c>
      <c r="XBE11" t="s">
        <v>16294</v>
      </c>
      <c r="XBF11" t="s">
        <v>16295</v>
      </c>
      <c r="XBG11" t="s">
        <v>16296</v>
      </c>
      <c r="XBH11" t="s">
        <v>16297</v>
      </c>
      <c r="XBI11" t="s">
        <v>16298</v>
      </c>
      <c r="XBJ11" t="s">
        <v>16299</v>
      </c>
      <c r="XBK11" t="s">
        <v>16300</v>
      </c>
      <c r="XBL11" t="s">
        <v>16301</v>
      </c>
      <c r="XBM11" t="s">
        <v>16302</v>
      </c>
      <c r="XBN11" t="s">
        <v>16303</v>
      </c>
      <c r="XBO11" t="s">
        <v>16304</v>
      </c>
      <c r="XBP11" t="s">
        <v>16305</v>
      </c>
      <c r="XBQ11" t="s">
        <v>16306</v>
      </c>
      <c r="XBR11" t="s">
        <v>16307</v>
      </c>
      <c r="XBS11" t="s">
        <v>16308</v>
      </c>
      <c r="XBT11" t="s">
        <v>16309</v>
      </c>
      <c r="XBU11" t="s">
        <v>16310</v>
      </c>
      <c r="XBV11" t="s">
        <v>16311</v>
      </c>
      <c r="XBW11" t="s">
        <v>16312</v>
      </c>
      <c r="XBX11" t="s">
        <v>16313</v>
      </c>
      <c r="XBY11" t="s">
        <v>16314</v>
      </c>
      <c r="XBZ11" t="s">
        <v>16315</v>
      </c>
      <c r="XCA11" t="s">
        <v>16316</v>
      </c>
      <c r="XCB11" t="s">
        <v>16317</v>
      </c>
      <c r="XCC11" t="s">
        <v>16318</v>
      </c>
      <c r="XCD11" t="s">
        <v>16319</v>
      </c>
      <c r="XCE11" t="s">
        <v>16320</v>
      </c>
      <c r="XCF11" t="s">
        <v>16321</v>
      </c>
      <c r="XCG11" t="s">
        <v>16322</v>
      </c>
      <c r="XCH11" t="s">
        <v>16323</v>
      </c>
      <c r="XCI11" t="s">
        <v>16324</v>
      </c>
      <c r="XCJ11" t="s">
        <v>16325</v>
      </c>
      <c r="XCK11" t="s">
        <v>16326</v>
      </c>
      <c r="XCL11" t="s">
        <v>16327</v>
      </c>
      <c r="XCM11" t="s">
        <v>16328</v>
      </c>
      <c r="XCN11" t="s">
        <v>16329</v>
      </c>
      <c r="XCO11" t="s">
        <v>16330</v>
      </c>
      <c r="XCP11" t="s">
        <v>16331</v>
      </c>
      <c r="XCQ11" t="s">
        <v>16332</v>
      </c>
      <c r="XCR11" t="s">
        <v>16333</v>
      </c>
      <c r="XCS11" t="s">
        <v>16334</v>
      </c>
      <c r="XCT11" t="s">
        <v>16335</v>
      </c>
      <c r="XCU11" t="s">
        <v>16336</v>
      </c>
      <c r="XCV11" t="s">
        <v>16337</v>
      </c>
      <c r="XCW11" t="s">
        <v>16338</v>
      </c>
      <c r="XCX11" t="s">
        <v>16339</v>
      </c>
      <c r="XCY11" t="s">
        <v>16340</v>
      </c>
      <c r="XCZ11" t="s">
        <v>16341</v>
      </c>
      <c r="XDA11" t="s">
        <v>16342</v>
      </c>
      <c r="XDB11" t="s">
        <v>16343</v>
      </c>
      <c r="XDC11" t="s">
        <v>16344</v>
      </c>
      <c r="XDD11" t="s">
        <v>16345</v>
      </c>
      <c r="XDE11" t="s">
        <v>16346</v>
      </c>
      <c r="XDF11" t="s">
        <v>16347</v>
      </c>
      <c r="XDG11" t="s">
        <v>16348</v>
      </c>
      <c r="XDH11" t="s">
        <v>16349</v>
      </c>
      <c r="XDI11" t="s">
        <v>16350</v>
      </c>
      <c r="XDJ11" t="s">
        <v>16351</v>
      </c>
      <c r="XDK11" t="s">
        <v>16352</v>
      </c>
      <c r="XDL11" t="s">
        <v>16353</v>
      </c>
      <c r="XDM11" t="s">
        <v>16354</v>
      </c>
      <c r="XDN11" t="s">
        <v>16355</v>
      </c>
      <c r="XDO11" t="s">
        <v>16356</v>
      </c>
      <c r="XDP11" t="s">
        <v>16357</v>
      </c>
      <c r="XDQ11" t="s">
        <v>16358</v>
      </c>
      <c r="XDR11" t="s">
        <v>16359</v>
      </c>
      <c r="XDS11" t="s">
        <v>16360</v>
      </c>
      <c r="XDT11" t="s">
        <v>16361</v>
      </c>
      <c r="XDU11" t="s">
        <v>16362</v>
      </c>
      <c r="XDV11" t="s">
        <v>16363</v>
      </c>
      <c r="XDW11" t="s">
        <v>16364</v>
      </c>
      <c r="XDX11" t="s">
        <v>16365</v>
      </c>
      <c r="XDY11" t="s">
        <v>16366</v>
      </c>
      <c r="XDZ11" t="s">
        <v>16367</v>
      </c>
      <c r="XEA11" t="s">
        <v>16368</v>
      </c>
      <c r="XEB11" t="s">
        <v>16369</v>
      </c>
      <c r="XEC11" t="s">
        <v>16370</v>
      </c>
      <c r="XED11" t="s">
        <v>16371</v>
      </c>
      <c r="XEE11" t="s">
        <v>16372</v>
      </c>
      <c r="XEF11" t="s">
        <v>16373</v>
      </c>
      <c r="XEG11" t="s">
        <v>16374</v>
      </c>
      <c r="XEH11" t="s">
        <v>16375</v>
      </c>
      <c r="XEI11" t="s">
        <v>16376</v>
      </c>
      <c r="XEJ11" t="s">
        <v>16377</v>
      </c>
      <c r="XEK11" t="s">
        <v>16378</v>
      </c>
      <c r="XEL11" t="s">
        <v>16379</v>
      </c>
      <c r="XEM11" t="s">
        <v>16380</v>
      </c>
      <c r="XEN11" t="s">
        <v>16381</v>
      </c>
      <c r="XEO11" t="s">
        <v>16382</v>
      </c>
      <c r="XEP11" t="s">
        <v>16383</v>
      </c>
      <c r="XEQ11" t="s">
        <v>16384</v>
      </c>
      <c r="XER11" t="s">
        <v>16385</v>
      </c>
      <c r="XES11" t="s">
        <v>16386</v>
      </c>
      <c r="XET11" t="s">
        <v>16387</v>
      </c>
      <c r="XEU11" t="s">
        <v>16388</v>
      </c>
      <c r="XEV11" t="s">
        <v>16389</v>
      </c>
      <c r="XEW11" t="s">
        <v>16390</v>
      </c>
      <c r="XEX11" t="s">
        <v>16391</v>
      </c>
      <c r="XEY11" t="s">
        <v>16392</v>
      </c>
      <c r="XEZ11" t="s">
        <v>16393</v>
      </c>
      <c r="XFA11" t="s">
        <v>16394</v>
      </c>
      <c r="XFB11" t="s">
        <v>16395</v>
      </c>
      <c r="XFC11" t="s">
        <v>16396</v>
      </c>
      <c r="XFD11" t="s">
        <v>16397</v>
      </c>
    </row>
    <row r="12" spans="1:16384" x14ac:dyDescent="0.25">
      <c r="A12" s="3" t="s">
        <v>16398</v>
      </c>
      <c r="B12" t="s">
        <v>16399</v>
      </c>
      <c r="C12" s="3" t="str">
        <f>IF(B5="ACM_2.00","",_xlfn.CONCAT("(",B6,"-",B3,"_",B4,"-SE) ",B6,"_",B8,"_",B2,"-Faceplate.gfx"))</f>
        <v>(raC-1_07-SE) raC_Dvc_440R_ENETR-Faceplate.gfx</v>
      </c>
      <c r="D12" s="4" t="s">
        <v>16400</v>
      </c>
    </row>
    <row r="13" spans="1:16384" ht="30" x14ac:dyDescent="0.25">
      <c r="A13" s="3" t="s">
        <v>16401</v>
      </c>
      <c r="B13" t="s">
        <v>16399</v>
      </c>
      <c r="C13" s="3" t="str">
        <f>IF(B5="ACM_2.00","",_xlfn.CONCAT("(",B6,"-",B3,"-SE) Graphic Symbols - ",,B5," Device.ggfx"))</f>
        <v>(raC-1-SE) Graphic Symbols - Safety Device.ggfx</v>
      </c>
      <c r="D13" s="4" t="s">
        <v>16402</v>
      </c>
    </row>
    <row r="14" spans="1:16384" x14ac:dyDescent="0.25">
      <c r="A14" s="3" t="s">
        <v>16403</v>
      </c>
      <c r="B14" t="s">
        <v>16399</v>
      </c>
      <c r="C14" s="3" t="str">
        <f>IF(B5="ACM_2.00","",_xlfn.CONCAT("(",B6,"-",B3,"-SE) Toolbox - ",B5," Device.ggfx"))</f>
        <v>(raC-1-SE) Toolbox - Safety Device.ggfx</v>
      </c>
      <c r="D14" s="4" t="s">
        <v>16402</v>
      </c>
    </row>
    <row r="15" spans="1:16384" x14ac:dyDescent="0.25">
      <c r="A15" s="3" t="s">
        <v>16404</v>
      </c>
      <c r="B15" t="s">
        <v>16405</v>
      </c>
      <c r="C15" s="3" t="str">
        <f>IF(B5="ACM_2.00","",_xlfn.CONCAT("(",B6,"-",B3,"_",B4,"-ME) ",B6,"_",B8,"_",B2,"-Faceplate.gfx"))</f>
        <v>(raC-1_07-ME) raC_Dvc_440R_ENETR-Faceplate.gfx</v>
      </c>
      <c r="D15" s="4" t="s">
        <v>16400</v>
      </c>
    </row>
    <row r="16" spans="1:16384" x14ac:dyDescent="0.25">
      <c r="A16" s="3" t="s">
        <v>16406</v>
      </c>
      <c r="B16" t="s">
        <v>16405</v>
      </c>
      <c r="C16" s="3" t="str">
        <f>IF(B5="ACM_2.00","",_xlfn.CONCAT("(",B6,"-",B3,"-ME) Graphic Symbols - ",,B5," Device.ggfx"))</f>
        <v>(raC-1-ME) Graphic Symbols - Safety Device.ggfx</v>
      </c>
      <c r="D16" s="4" t="s">
        <v>16402</v>
      </c>
    </row>
    <row r="17" spans="1:5" x14ac:dyDescent="0.25">
      <c r="A17" s="3" t="s">
        <v>16407</v>
      </c>
      <c r="B17" t="s">
        <v>16405</v>
      </c>
      <c r="C17" s="3" t="str">
        <f>IF(B5="ACM_2.00","",_xlfn.CONCAT("(",B6,"-",B3,"-ME) Toolbox - ",B5," Device.ggfx"))</f>
        <v>(raC-1-ME) Toolbox - Safety Device.ggfx</v>
      </c>
      <c r="D17" s="4" t="s">
        <v>16402</v>
      </c>
    </row>
    <row r="18" spans="1:5" x14ac:dyDescent="0.25">
      <c r="A18" s="3" t="s">
        <v>16408</v>
      </c>
      <c r="B18" t="s">
        <v>16409</v>
      </c>
      <c r="C18" s="3" t="str">
        <f>IF(B5="ACM_2.00","",_xlfn.CONCAT("(",B6,"-",B3,"_",B4,"-VD) ",B6,"_",B8,"_",B5,".vpd"))</f>
        <v>(raC-1_07-VD) raC_Dvc_Safety.vpd</v>
      </c>
      <c r="D18" s="4" t="s">
        <v>16410</v>
      </c>
    </row>
    <row r="19" spans="1:5" x14ac:dyDescent="0.25">
      <c r="A19" s="3" t="s">
        <v>16411</v>
      </c>
      <c r="B19" t="s">
        <v>16409</v>
      </c>
      <c r="C19" s="3" t="str">
        <f>IF(B5="ACM_2.00","",_xlfn.CONCAT(B6,"_",B8,"_",B2,"_FP"))</f>
        <v>raC_Dvc_440R_ENETR_FP</v>
      </c>
      <c r="D19" s="4"/>
    </row>
    <row r="20" spans="1:5" x14ac:dyDescent="0.25">
      <c r="A20" s="3" t="s">
        <v>16412</v>
      </c>
      <c r="B20" t="s">
        <v>16413</v>
      </c>
      <c r="C20" s="3" t="str">
        <f>IF(B5="ACM_2.00","",_xlfn.CONCAT("(RA-LIB)_",IF(B5="ACM_2.00",B5,"Device_Asset-Control_"),B9,"_",B6,"_",B8,"_",B2,"_(",B3,".",VALUE(B4),").HSL4"))</f>
        <v>(RA-LIB)_Device_Asset-Control_Safety_raC_Dvc_440R_ENETR_(1.7).HSL4</v>
      </c>
      <c r="D20" s="4" t="s">
        <v>16414</v>
      </c>
    </row>
    <row r="21" spans="1:5" x14ac:dyDescent="0.25">
      <c r="A21" s="5" t="s">
        <v>16415</v>
      </c>
      <c r="B21" t="s">
        <v>16413</v>
      </c>
      <c r="C21" s="5" t="str">
        <f>_xlfn.CONCAT("(RA-LIB)_",IF(B5="ACM_2.00",B5,"Device"),"_",B7,"_",B9,"_",IF(B5="ACM_2.00","",_xlfn.CONCAT(B6,"_LD_",B8,"_")),B2,"_(",B3,".",VALUE(B4),").HSL4")</f>
        <v>(RA-LIB)_Device_Device_Safety_raC_LD_Dvc_440R_ENETR_(1.7).HSL4</v>
      </c>
      <c r="D21" s="6" t="s">
        <v>16414</v>
      </c>
    </row>
    <row r="22" spans="1:5" s="13" customFormat="1" ht="14.25" customHeight="1" x14ac:dyDescent="0.25">
      <c r="A22" s="14" t="s">
        <v>16416</v>
      </c>
      <c r="B22" s="13" t="s">
        <v>16417</v>
      </c>
      <c r="C22" s="14" t="str">
        <f>IF(B5="ACM_2.00","",_xlfn.CONCAT(B6,"_",B8,"_",B2))</f>
        <v>raC_Dvc_440R_ENETR</v>
      </c>
      <c r="D22" s="15" t="s">
        <v>16418</v>
      </c>
    </row>
    <row r="23" spans="1:5" x14ac:dyDescent="0.25">
      <c r="A23" s="3" t="s">
        <v>16419</v>
      </c>
      <c r="B23" t="s">
        <v>16417</v>
      </c>
      <c r="C23" s="3" t="str">
        <f>IF(B5="ACM_2.00","",_xlfn.CONCAT(B6,"_",B8,"_",B2,"_",B3,".",B4,"_RUNG.L5X"))</f>
        <v>raC_Dvc_440R_ENETR_1.07_RUNG.L5X</v>
      </c>
      <c r="D23" s="4" t="s">
        <v>16418</v>
      </c>
    </row>
    <row r="24" spans="1:5" x14ac:dyDescent="0.25">
      <c r="A24" s="3" t="s">
        <v>16420</v>
      </c>
      <c r="B24" t="s">
        <v>16417</v>
      </c>
      <c r="C24" s="3" t="str">
        <f>_xlfn.CONCAT(B6,"_",B8,"_",B2,"_",B3,".",B4,"_AOI.L5X")</f>
        <v>raC_Dvc_440R_ENETR_1.07_AOI.L5X</v>
      </c>
      <c r="D24" s="4" t="s">
        <v>16418</v>
      </c>
    </row>
    <row r="25" spans="1:5" x14ac:dyDescent="0.25">
      <c r="A25" s="10" t="s">
        <v>16421</v>
      </c>
      <c r="B25" s="11" t="s">
        <v>16417</v>
      </c>
      <c r="C25" s="10" t="str">
        <f>IF(B5="ACM_2.00","",_xlfn.CONCAT("(RA-LIB)CS_",B2,"_",B3,"_",B4,"_ROUTINE.L5X"))</f>
        <v>(RA-LIB)CS_440R_ENETR_1_07_ROUTINE.L5X</v>
      </c>
      <c r="D25" s="12" t="s">
        <v>16418</v>
      </c>
      <c r="E25" s="11" t="s">
        <v>16422</v>
      </c>
    </row>
    <row r="26" spans="1:5" x14ac:dyDescent="0.25">
      <c r="A26" s="10" t="s">
        <v>16423</v>
      </c>
      <c r="B26" s="11" t="s">
        <v>16417</v>
      </c>
      <c r="C26" s="10" t="str">
        <f>IF(B5="ACM_2.00","",_xlfn.CONCAT("(RA-LIB)CS_",B2,"_",B3,"_",B4,"_PROGRAM.L5X"))</f>
        <v>(RA-LIB)CS_440R_ENETR_1_07_PROGRAM.L5X</v>
      </c>
      <c r="D26" s="12" t="s">
        <v>16418</v>
      </c>
      <c r="E26" s="11" t="s">
        <v>16422</v>
      </c>
    </row>
  </sheetData>
  <phoneticPr fontId="3" type="noConversion"/>
  <pageMargins left="0.7" right="0.7" top="0.75" bottom="0.75" header="0.3" footer="0.3"/>
  <pageSetup orientation="portrait" horizontalDpi="4294967293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69BCF89-761A-4E8F-AD92-55BF9B7868DB}">
          <x14:formula1>
            <xm:f>Lookups!$B:$B</xm:f>
          </x14:formula1>
          <xm:sqref>B3</xm:sqref>
        </x14:dataValidation>
        <x14:dataValidation type="list" allowBlank="1" showInputMessage="1" showErrorMessage="1" xr:uid="{2F7E2BF4-7773-4AF0-A577-01F45184FB1A}">
          <x14:formula1>
            <xm:f>Lookups!$C:$C</xm:f>
          </x14:formula1>
          <xm:sqref>B4</xm:sqref>
        </x14:dataValidation>
        <x14:dataValidation type="list" allowBlank="1" showInputMessage="1" showErrorMessage="1" xr:uid="{E571CBAF-9A42-425F-AFF9-34FD464A7640}">
          <x14:formula1>
            <xm:f>Lookups!$E:$E</xm:f>
          </x14:formula1>
          <xm:sqref>B5</xm:sqref>
        </x14:dataValidation>
        <x14:dataValidation type="list" allowBlank="1" showInputMessage="1" showErrorMessage="1" xr:uid="{B6BAC0C8-0678-49F9-80FB-6C020E1D2CFC}">
          <x14:formula1>
            <xm:f>Lookups!$F:$F</xm:f>
          </x14:formula1>
          <xm:sqref>B7</xm:sqref>
        </x14:dataValidation>
        <x14:dataValidation type="list" allowBlank="1" showInputMessage="1" showErrorMessage="1" xr:uid="{CFF852A1-3554-4A68-BBBB-040E17CC4E9F}">
          <x14:formula1>
            <xm:f>Lookups!$G:$G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6456-4496-499E-A89C-1AC9ED29047C}">
  <dimension ref="A1:G16"/>
  <sheetViews>
    <sheetView workbookViewId="0">
      <selection activeCell="F18" sqref="F18"/>
    </sheetView>
  </sheetViews>
  <sheetFormatPr defaultRowHeight="15" x14ac:dyDescent="0.25"/>
  <cols>
    <col min="1" max="1" width="12.28515625" bestFit="1" customWidth="1"/>
    <col min="2" max="3" width="12.42578125" bestFit="1" customWidth="1"/>
    <col min="4" max="4" width="18.42578125" bestFit="1" customWidth="1"/>
    <col min="5" max="5" width="18.7109375" bestFit="1" customWidth="1"/>
    <col min="6" max="6" width="11.28515625" bestFit="1" customWidth="1"/>
    <col min="7" max="7" width="14.28515625" bestFit="1" customWidth="1"/>
  </cols>
  <sheetData>
    <row r="1" spans="1:7" x14ac:dyDescent="0.25">
      <c r="A1" t="s">
        <v>16424</v>
      </c>
      <c r="B1" t="s">
        <v>16425</v>
      </c>
      <c r="C1" t="s">
        <v>16426</v>
      </c>
      <c r="D1" t="s">
        <v>16427</v>
      </c>
      <c r="E1" t="s">
        <v>16428</v>
      </c>
      <c r="F1" t="s">
        <v>16429</v>
      </c>
      <c r="G1" t="s">
        <v>16430</v>
      </c>
    </row>
    <row r="2" spans="1:7" x14ac:dyDescent="0.25">
      <c r="B2" s="1">
        <v>1</v>
      </c>
      <c r="C2" s="1" t="s">
        <v>16431</v>
      </c>
      <c r="D2" s="1" t="s">
        <v>16431</v>
      </c>
      <c r="E2" t="s">
        <v>16432</v>
      </c>
      <c r="F2" s="1" t="s">
        <v>11</v>
      </c>
      <c r="G2" s="1" t="s">
        <v>16433</v>
      </c>
    </row>
    <row r="3" spans="1:7" x14ac:dyDescent="0.25">
      <c r="B3" s="1">
        <v>2</v>
      </c>
      <c r="C3" s="1" t="s">
        <v>16434</v>
      </c>
      <c r="D3" s="1" t="s">
        <v>16434</v>
      </c>
      <c r="E3" t="s">
        <v>16435</v>
      </c>
      <c r="F3" s="1" t="s">
        <v>16436</v>
      </c>
      <c r="G3" s="1" t="s">
        <v>16437</v>
      </c>
    </row>
    <row r="4" spans="1:7" x14ac:dyDescent="0.25">
      <c r="B4" s="1">
        <v>3</v>
      </c>
      <c r="C4" s="1" t="s">
        <v>16438</v>
      </c>
      <c r="D4" s="1" t="s">
        <v>16438</v>
      </c>
      <c r="E4" t="s">
        <v>16439</v>
      </c>
      <c r="F4" s="1" t="s">
        <v>16440</v>
      </c>
      <c r="G4" s="1" t="s">
        <v>16441</v>
      </c>
    </row>
    <row r="5" spans="1:7" x14ac:dyDescent="0.25">
      <c r="B5" s="1">
        <v>4</v>
      </c>
      <c r="C5" s="1" t="s">
        <v>16442</v>
      </c>
      <c r="D5" s="1" t="s">
        <v>16442</v>
      </c>
      <c r="E5" t="s">
        <v>16443</v>
      </c>
      <c r="F5" s="1" t="s">
        <v>16444</v>
      </c>
      <c r="G5" s="1" t="s">
        <v>16445</v>
      </c>
    </row>
    <row r="6" spans="1:7" x14ac:dyDescent="0.25">
      <c r="B6" s="1">
        <v>5</v>
      </c>
      <c r="C6" s="1" t="s">
        <v>16446</v>
      </c>
      <c r="D6" s="1" t="s">
        <v>16446</v>
      </c>
      <c r="E6" t="s">
        <v>7</v>
      </c>
      <c r="G6" s="1" t="s">
        <v>16447</v>
      </c>
    </row>
    <row r="7" spans="1:7" x14ac:dyDescent="0.25">
      <c r="B7" s="1">
        <v>6</v>
      </c>
      <c r="C7" s="1" t="s">
        <v>16448</v>
      </c>
      <c r="D7" s="1" t="s">
        <v>16448</v>
      </c>
      <c r="E7" t="s">
        <v>16449</v>
      </c>
      <c r="G7" s="1" t="s">
        <v>16450</v>
      </c>
    </row>
    <row r="8" spans="1:7" x14ac:dyDescent="0.25">
      <c r="B8" s="1">
        <v>7</v>
      </c>
      <c r="C8" s="1" t="s">
        <v>16451</v>
      </c>
      <c r="D8" s="1" t="s">
        <v>16451</v>
      </c>
      <c r="E8" t="s">
        <v>16452</v>
      </c>
      <c r="G8" s="1" t="s">
        <v>16453</v>
      </c>
    </row>
    <row r="9" spans="1:7" x14ac:dyDescent="0.25">
      <c r="B9" s="1">
        <v>8</v>
      </c>
      <c r="C9" s="1" t="s">
        <v>5</v>
      </c>
      <c r="D9" s="1" t="s">
        <v>5</v>
      </c>
      <c r="E9" t="s">
        <v>16454</v>
      </c>
      <c r="G9" s="1" t="s">
        <v>16455</v>
      </c>
    </row>
    <row r="10" spans="1:7" x14ac:dyDescent="0.25">
      <c r="B10" s="1">
        <v>9</v>
      </c>
      <c r="C10" s="1" t="s">
        <v>16456</v>
      </c>
      <c r="D10" s="1" t="s">
        <v>16456</v>
      </c>
      <c r="E10" t="s">
        <v>16457</v>
      </c>
      <c r="G10" s="1" t="s">
        <v>7</v>
      </c>
    </row>
    <row r="11" spans="1:7" x14ac:dyDescent="0.25">
      <c r="B11" s="1">
        <v>10</v>
      </c>
      <c r="C11" s="1" t="s">
        <v>16458</v>
      </c>
      <c r="D11" s="1" t="s">
        <v>16458</v>
      </c>
      <c r="E11" t="s">
        <v>16459</v>
      </c>
      <c r="G11" s="1" t="s">
        <v>16460</v>
      </c>
    </row>
    <row r="12" spans="1:7" x14ac:dyDescent="0.25">
      <c r="B12" s="1">
        <v>11</v>
      </c>
      <c r="C12" s="1" t="s">
        <v>16461</v>
      </c>
      <c r="D12" s="1" t="s">
        <v>16461</v>
      </c>
      <c r="E12" t="s">
        <v>16462</v>
      </c>
      <c r="G12" s="1" t="s">
        <v>16463</v>
      </c>
    </row>
    <row r="13" spans="1:7" x14ac:dyDescent="0.25">
      <c r="B13" s="1">
        <v>12</v>
      </c>
      <c r="C13" s="1" t="s">
        <v>16464</v>
      </c>
      <c r="D13" s="1" t="s">
        <v>16464</v>
      </c>
      <c r="G13" t="s">
        <v>16459</v>
      </c>
    </row>
    <row r="14" spans="1:7" x14ac:dyDescent="0.25">
      <c r="B14" s="1">
        <v>13</v>
      </c>
      <c r="C14" s="1" t="s">
        <v>16465</v>
      </c>
      <c r="D14" s="1" t="s">
        <v>16465</v>
      </c>
      <c r="G14" t="s">
        <v>16439</v>
      </c>
    </row>
    <row r="15" spans="1:7" x14ac:dyDescent="0.25">
      <c r="G15" s="1" t="s">
        <v>16462</v>
      </c>
    </row>
    <row r="16" spans="1:7" x14ac:dyDescent="0.25">
      <c r="G16" t="s">
        <v>16454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B4C3-7BB8-4C1C-973C-C86A09F03B32}">
  <dimension ref="A2:G183"/>
  <sheetViews>
    <sheetView workbookViewId="0">
      <pane xSplit="2" ySplit="2" topLeftCell="C148" activePane="bottomRight" state="frozen"/>
      <selection pane="topRight" activeCell="C1" sqref="C1"/>
      <selection pane="bottomLeft" activeCell="A3" sqref="A3"/>
      <selection pane="bottomRight" activeCell="A148" sqref="A148"/>
    </sheetView>
  </sheetViews>
  <sheetFormatPr defaultRowHeight="15" x14ac:dyDescent="0.25"/>
  <cols>
    <col min="1" max="1" width="27.140625" bestFit="1" customWidth="1"/>
    <col min="2" max="2" width="21" style="24" bestFit="1" customWidth="1"/>
    <col min="3" max="7" width="65.85546875" customWidth="1"/>
  </cols>
  <sheetData>
    <row r="2" spans="1:7" s="22" customFormat="1" x14ac:dyDescent="0.25">
      <c r="B2" s="23"/>
      <c r="C2" s="22" t="s">
        <v>16466</v>
      </c>
      <c r="D2" s="22" t="s">
        <v>16467</v>
      </c>
      <c r="E2" s="22" t="s">
        <v>16468</v>
      </c>
      <c r="F2" s="22" t="s">
        <v>16469</v>
      </c>
      <c r="G2" s="22" t="s">
        <v>16470</v>
      </c>
    </row>
    <row r="4" spans="1:7" x14ac:dyDescent="0.25">
      <c r="A4" s="9" t="s">
        <v>16471</v>
      </c>
    </row>
    <row r="7" spans="1:7" ht="30" x14ac:dyDescent="0.25">
      <c r="B7" s="24" t="s">
        <v>16472</v>
      </c>
    </row>
    <row r="26" spans="2:4" x14ac:dyDescent="0.25">
      <c r="D26" t="s">
        <v>16473</v>
      </c>
    </row>
    <row r="27" spans="2:4" x14ac:dyDescent="0.25">
      <c r="D27" t="s">
        <v>16474</v>
      </c>
    </row>
    <row r="30" spans="2:4" x14ac:dyDescent="0.25">
      <c r="B30" s="24" t="s">
        <v>16475</v>
      </c>
    </row>
    <row r="37" spans="2:6" x14ac:dyDescent="0.25">
      <c r="E37" t="s">
        <v>16476</v>
      </c>
    </row>
    <row r="42" spans="2:6" x14ac:dyDescent="0.25">
      <c r="F42" t="s">
        <v>16477</v>
      </c>
    </row>
    <row r="44" spans="2:6" x14ac:dyDescent="0.25">
      <c r="D44" t="s">
        <v>16478</v>
      </c>
    </row>
    <row r="47" spans="2:6" x14ac:dyDescent="0.25">
      <c r="B47" s="24" t="s">
        <v>16479</v>
      </c>
    </row>
    <row r="67" spans="4:5" x14ac:dyDescent="0.25">
      <c r="D67" s="25" t="s">
        <v>16480</v>
      </c>
      <c r="E67" s="25" t="s">
        <v>16481</v>
      </c>
    </row>
    <row r="107" spans="2:2" x14ac:dyDescent="0.25">
      <c r="B107" s="24" t="s">
        <v>16482</v>
      </c>
    </row>
    <row r="117" spans="1:1" x14ac:dyDescent="0.25">
      <c r="A117" s="9" t="s">
        <v>16483</v>
      </c>
    </row>
    <row r="130" spans="1:2" x14ac:dyDescent="0.25">
      <c r="A130" s="9" t="s">
        <v>16484</v>
      </c>
    </row>
    <row r="131" spans="1:2" ht="30" x14ac:dyDescent="0.25">
      <c r="B131" s="24" t="s">
        <v>16485</v>
      </c>
    </row>
    <row r="146" spans="2:7" x14ac:dyDescent="0.25">
      <c r="B146" s="24" t="s">
        <v>16486</v>
      </c>
    </row>
    <row r="156" spans="2:7" x14ac:dyDescent="0.25">
      <c r="C156" t="s">
        <v>16487</v>
      </c>
    </row>
    <row r="157" spans="2:7" x14ac:dyDescent="0.25">
      <c r="E157" s="9" t="s">
        <v>16488</v>
      </c>
    </row>
    <row r="158" spans="2:7" x14ac:dyDescent="0.25">
      <c r="G158" t="s">
        <v>16489</v>
      </c>
    </row>
    <row r="167" spans="2:5" x14ac:dyDescent="0.25">
      <c r="B167" s="24" t="s">
        <v>16475</v>
      </c>
    </row>
    <row r="174" spans="2:5" x14ac:dyDescent="0.25">
      <c r="E174" t="s">
        <v>16476</v>
      </c>
    </row>
    <row r="179" spans="3:6" x14ac:dyDescent="0.25">
      <c r="F179" t="s">
        <v>16477</v>
      </c>
    </row>
    <row r="181" spans="3:6" x14ac:dyDescent="0.25">
      <c r="D181" t="s">
        <v>16478</v>
      </c>
    </row>
    <row r="183" spans="3:6" x14ac:dyDescent="0.25">
      <c r="C183" t="s">
        <v>16490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D717-341C-449B-BF7C-B79179BE446A}">
  <dimension ref="A1:G85"/>
  <sheetViews>
    <sheetView topLeftCell="C6" workbookViewId="0">
      <selection activeCell="C6" sqref="C6"/>
    </sheetView>
  </sheetViews>
  <sheetFormatPr defaultRowHeight="15" x14ac:dyDescent="0.25"/>
  <cols>
    <col min="1" max="1" width="35.7109375" customWidth="1"/>
    <col min="2" max="2" width="12.5703125" customWidth="1"/>
    <col min="3" max="3" width="71.5703125" customWidth="1"/>
    <col min="4" max="4" width="62.85546875" bestFit="1" customWidth="1"/>
    <col min="5" max="5" width="61.7109375" customWidth="1"/>
    <col min="6" max="6" width="46.5703125" customWidth="1"/>
    <col min="7" max="7" width="65.7109375" bestFit="1" customWidth="1"/>
  </cols>
  <sheetData>
    <row r="1" spans="1:7" x14ac:dyDescent="0.25">
      <c r="A1" s="16" t="s">
        <v>16491</v>
      </c>
      <c r="B1" s="17" t="s">
        <v>14</v>
      </c>
      <c r="C1" s="17" t="s">
        <v>16492</v>
      </c>
      <c r="D1" s="9" t="s">
        <v>16493</v>
      </c>
      <c r="E1" s="9" t="s">
        <v>16494</v>
      </c>
      <c r="F1" s="9" t="s">
        <v>16495</v>
      </c>
      <c r="G1" s="9" t="s">
        <v>16496</v>
      </c>
    </row>
    <row r="2" spans="1:7" ht="45" x14ac:dyDescent="0.25">
      <c r="A2" s="18" t="s">
        <v>16398</v>
      </c>
      <c r="B2" s="18" t="s">
        <v>16400</v>
      </c>
      <c r="C2" s="18" t="s">
        <v>16497</v>
      </c>
      <c r="D2" s="18" t="s">
        <v>16498</v>
      </c>
      <c r="E2" s="18" t="s">
        <v>16499</v>
      </c>
      <c r="F2" s="18" t="s">
        <v>16500</v>
      </c>
      <c r="G2" t="s">
        <v>16501</v>
      </c>
    </row>
    <row r="3" spans="1:7" ht="30" x14ac:dyDescent="0.25">
      <c r="A3" s="18" t="s">
        <v>16401</v>
      </c>
      <c r="B3" s="18" t="s">
        <v>16402</v>
      </c>
      <c r="C3" s="19" t="s">
        <v>16502</v>
      </c>
      <c r="D3" s="18" t="s">
        <v>16503</v>
      </c>
      <c r="E3" s="19" t="s">
        <v>16504</v>
      </c>
      <c r="F3" s="18" t="s">
        <v>16505</v>
      </c>
      <c r="G3" t="s">
        <v>16506</v>
      </c>
    </row>
    <row r="4" spans="1:7" x14ac:dyDescent="0.25">
      <c r="A4" s="18" t="s">
        <v>16403</v>
      </c>
      <c r="B4" s="18" t="s">
        <v>16402</v>
      </c>
      <c r="C4" s="18" t="s">
        <v>16507</v>
      </c>
      <c r="D4" t="s">
        <v>16508</v>
      </c>
      <c r="E4" s="18" t="s">
        <v>16509</v>
      </c>
      <c r="F4" s="18" t="s">
        <v>16510</v>
      </c>
      <c r="G4" t="s">
        <v>16511</v>
      </c>
    </row>
    <row r="5" spans="1:7" x14ac:dyDescent="0.25">
      <c r="A5" s="18" t="s">
        <v>16512</v>
      </c>
      <c r="B5" s="18" t="s">
        <v>16402</v>
      </c>
      <c r="C5" s="18" t="s">
        <v>16513</v>
      </c>
      <c r="D5" t="s">
        <v>16514</v>
      </c>
      <c r="E5" s="18" t="s">
        <v>16513</v>
      </c>
      <c r="F5" s="18" t="s">
        <v>16515</v>
      </c>
      <c r="G5" t="s">
        <v>16511</v>
      </c>
    </row>
    <row r="6" spans="1:7" ht="45" x14ac:dyDescent="0.25">
      <c r="A6" s="18" t="s">
        <v>16404</v>
      </c>
      <c r="B6" s="18" t="s">
        <v>16400</v>
      </c>
      <c r="C6" s="18" t="s">
        <v>16516</v>
      </c>
      <c r="D6" s="20" t="s">
        <v>16517</v>
      </c>
      <c r="E6" t="s">
        <v>16518</v>
      </c>
      <c r="F6" s="18" t="s">
        <v>16511</v>
      </c>
      <c r="G6" t="s">
        <v>16519</v>
      </c>
    </row>
    <row r="7" spans="1:7" ht="30" x14ac:dyDescent="0.25">
      <c r="A7" s="18" t="s">
        <v>16406</v>
      </c>
      <c r="B7" s="18" t="s">
        <v>16402</v>
      </c>
      <c r="C7" s="19" t="s">
        <v>16520</v>
      </c>
      <c r="D7" s="18" t="s">
        <v>16521</v>
      </c>
      <c r="E7" s="19" t="s">
        <v>16522</v>
      </c>
      <c r="F7" s="18" t="s">
        <v>16511</v>
      </c>
      <c r="G7" t="s">
        <v>16523</v>
      </c>
    </row>
    <row r="8" spans="1:7" x14ac:dyDescent="0.25">
      <c r="A8" s="18" t="s">
        <v>16407</v>
      </c>
      <c r="B8" s="18" t="s">
        <v>16402</v>
      </c>
      <c r="C8" s="18" t="s">
        <v>16524</v>
      </c>
      <c r="D8" t="s">
        <v>16525</v>
      </c>
      <c r="E8" s="18" t="s">
        <v>16526</v>
      </c>
      <c r="F8" s="18" t="s">
        <v>16511</v>
      </c>
      <c r="G8" t="s">
        <v>16511</v>
      </c>
    </row>
    <row r="9" spans="1:7" x14ac:dyDescent="0.25">
      <c r="A9" s="18" t="s">
        <v>16527</v>
      </c>
      <c r="B9" s="18" t="s">
        <v>16402</v>
      </c>
      <c r="C9" s="18" t="s">
        <v>16528</v>
      </c>
      <c r="D9" t="s">
        <v>16529</v>
      </c>
      <c r="E9" s="18" t="s">
        <v>16528</v>
      </c>
      <c r="F9" s="18" t="s">
        <v>16511</v>
      </c>
      <c r="G9" t="s">
        <v>16511</v>
      </c>
    </row>
    <row r="10" spans="1:7" ht="30" x14ac:dyDescent="0.25">
      <c r="A10" s="18" t="s">
        <v>16530</v>
      </c>
      <c r="B10" s="18" t="s">
        <v>16410</v>
      </c>
      <c r="C10" s="19" t="s">
        <v>16531</v>
      </c>
      <c r="D10" s="20" t="s">
        <v>16532</v>
      </c>
      <c r="E10" s="19" t="s">
        <v>16533</v>
      </c>
      <c r="F10" t="s">
        <v>16511</v>
      </c>
      <c r="G10" t="s">
        <v>16534</v>
      </c>
    </row>
    <row r="11" spans="1:7" x14ac:dyDescent="0.25">
      <c r="A11" s="18" t="s">
        <v>16419</v>
      </c>
      <c r="B11" s="18" t="s">
        <v>16418</v>
      </c>
      <c r="C11" s="18" t="s">
        <v>16535</v>
      </c>
      <c r="D11" t="s">
        <v>16536</v>
      </c>
      <c r="E11" s="18" t="s">
        <v>16537</v>
      </c>
      <c r="F11" t="s">
        <v>16511</v>
      </c>
      <c r="G11" t="s">
        <v>16511</v>
      </c>
    </row>
    <row r="12" spans="1:7" x14ac:dyDescent="0.25">
      <c r="A12" s="18" t="s">
        <v>16421</v>
      </c>
      <c r="B12" s="18" t="s">
        <v>16418</v>
      </c>
      <c r="C12" s="18" t="s">
        <v>16538</v>
      </c>
      <c r="D12" t="s">
        <v>16511</v>
      </c>
      <c r="E12" s="18" t="s">
        <v>16539</v>
      </c>
      <c r="F12" s="18" t="s">
        <v>16540</v>
      </c>
      <c r="G12" t="s">
        <v>16511</v>
      </c>
    </row>
    <row r="13" spans="1:7" ht="30" x14ac:dyDescent="0.25">
      <c r="A13" s="18" t="s">
        <v>16423</v>
      </c>
      <c r="B13" s="18" t="s">
        <v>16418</v>
      </c>
      <c r="C13" s="18" t="s">
        <v>16541</v>
      </c>
      <c r="D13" t="s">
        <v>16511</v>
      </c>
      <c r="E13" s="18" t="s">
        <v>16542</v>
      </c>
      <c r="F13" s="18" t="s">
        <v>16543</v>
      </c>
      <c r="G13" t="s">
        <v>16511</v>
      </c>
    </row>
    <row r="14" spans="1:7" ht="30" x14ac:dyDescent="0.25">
      <c r="A14" s="18" t="s">
        <v>16544</v>
      </c>
      <c r="B14" s="18" t="s">
        <v>16418</v>
      </c>
      <c r="C14" s="19" t="s">
        <v>16545</v>
      </c>
      <c r="D14" s="20" t="s">
        <v>16546</v>
      </c>
      <c r="E14" s="19" t="s">
        <v>16547</v>
      </c>
      <c r="F14" s="18" t="s">
        <v>16547</v>
      </c>
      <c r="G14" t="s">
        <v>16548</v>
      </c>
    </row>
    <row r="15" spans="1:7" x14ac:dyDescent="0.25">
      <c r="A15" s="18" t="s">
        <v>16412</v>
      </c>
      <c r="B15" s="18" t="s">
        <v>16414</v>
      </c>
      <c r="C15" t="s">
        <v>16549</v>
      </c>
      <c r="D15" t="s">
        <v>16550</v>
      </c>
      <c r="E15" t="s">
        <v>16551</v>
      </c>
      <c r="F15" t="s">
        <v>16511</v>
      </c>
      <c r="G15" t="s">
        <v>16552</v>
      </c>
    </row>
    <row r="16" spans="1:7" ht="45" x14ac:dyDescent="0.25">
      <c r="A16" s="18" t="s">
        <v>16415</v>
      </c>
      <c r="B16" s="18" t="s">
        <v>16414</v>
      </c>
      <c r="C16" t="s">
        <v>16553</v>
      </c>
      <c r="D16" s="20" t="s">
        <v>16554</v>
      </c>
      <c r="E16" t="s">
        <v>16555</v>
      </c>
      <c r="F16" t="s">
        <v>16556</v>
      </c>
      <c r="G16" t="s">
        <v>16557</v>
      </c>
    </row>
    <row r="18" spans="1:6" x14ac:dyDescent="0.25">
      <c r="F18" s="21" t="s">
        <v>16558</v>
      </c>
    </row>
    <row r="19" spans="1:6" x14ac:dyDescent="0.25">
      <c r="A19" s="9" t="s">
        <v>16559</v>
      </c>
    </row>
    <row r="20" spans="1:6" x14ac:dyDescent="0.25">
      <c r="A20" t="s">
        <v>16560</v>
      </c>
      <c r="B20" t="s">
        <v>16561</v>
      </c>
    </row>
    <row r="21" spans="1:6" x14ac:dyDescent="0.25">
      <c r="A21" t="s">
        <v>16562</v>
      </c>
      <c r="B21" t="s">
        <v>16563</v>
      </c>
    </row>
    <row r="22" spans="1:6" x14ac:dyDescent="0.25">
      <c r="A22" t="s">
        <v>16564</v>
      </c>
      <c r="B22" t="s">
        <v>16565</v>
      </c>
    </row>
    <row r="23" spans="1:6" x14ac:dyDescent="0.25">
      <c r="A23" t="s">
        <v>16566</v>
      </c>
      <c r="B23" t="s">
        <v>16567</v>
      </c>
    </row>
    <row r="24" spans="1:6" x14ac:dyDescent="0.25">
      <c r="A24" t="s">
        <v>16568</v>
      </c>
      <c r="B24" t="s">
        <v>16569</v>
      </c>
    </row>
    <row r="25" spans="1:6" x14ac:dyDescent="0.25">
      <c r="A25" t="s">
        <v>16570</v>
      </c>
      <c r="B25" t="s">
        <v>16571</v>
      </c>
    </row>
    <row r="26" spans="1:6" x14ac:dyDescent="0.25">
      <c r="A26" t="s">
        <v>16572</v>
      </c>
      <c r="B26" t="s">
        <v>16573</v>
      </c>
    </row>
    <row r="27" spans="1:6" x14ac:dyDescent="0.25">
      <c r="A27" t="s">
        <v>16574</v>
      </c>
      <c r="B27" t="s">
        <v>16575</v>
      </c>
    </row>
    <row r="28" spans="1:6" x14ac:dyDescent="0.25">
      <c r="A28" t="s">
        <v>16576</v>
      </c>
      <c r="B28" t="s">
        <v>16577</v>
      </c>
    </row>
    <row r="30" spans="1:6" x14ac:dyDescent="0.25">
      <c r="A30" s="9" t="s">
        <v>16578</v>
      </c>
    </row>
    <row r="31" spans="1:6" x14ac:dyDescent="0.25">
      <c r="A31" s="9"/>
    </row>
    <row r="32" spans="1:6" x14ac:dyDescent="0.25">
      <c r="A32" s="22" t="s">
        <v>16579</v>
      </c>
    </row>
    <row r="33" spans="1:2" x14ac:dyDescent="0.25">
      <c r="A33" t="s">
        <v>16580</v>
      </c>
      <c r="B33" t="s">
        <v>16581</v>
      </c>
    </row>
    <row r="34" spans="1:2" x14ac:dyDescent="0.25">
      <c r="A34" t="s">
        <v>16582</v>
      </c>
      <c r="B34" t="s">
        <v>16583</v>
      </c>
    </row>
    <row r="35" spans="1:2" x14ac:dyDescent="0.25">
      <c r="A35" t="s">
        <v>16584</v>
      </c>
      <c r="B35" t="s">
        <v>16585</v>
      </c>
    </row>
    <row r="38" spans="1:2" x14ac:dyDescent="0.25">
      <c r="A38" s="22" t="s">
        <v>16586</v>
      </c>
    </row>
    <row r="39" spans="1:2" x14ac:dyDescent="0.25">
      <c r="A39" t="s">
        <v>16587</v>
      </c>
      <c r="B39" t="s">
        <v>16588</v>
      </c>
    </row>
    <row r="40" spans="1:2" x14ac:dyDescent="0.25">
      <c r="A40" t="s">
        <v>16589</v>
      </c>
      <c r="B40" t="s">
        <v>16590</v>
      </c>
    </row>
    <row r="41" spans="1:2" x14ac:dyDescent="0.25">
      <c r="A41" t="s">
        <v>16591</v>
      </c>
      <c r="B41" t="s">
        <v>16592</v>
      </c>
    </row>
    <row r="42" spans="1:2" x14ac:dyDescent="0.25">
      <c r="A42" t="s">
        <v>16593</v>
      </c>
      <c r="B42" t="s">
        <v>16594</v>
      </c>
    </row>
    <row r="43" spans="1:2" x14ac:dyDescent="0.25">
      <c r="A43" t="s">
        <v>16595</v>
      </c>
      <c r="B43" t="s">
        <v>16596</v>
      </c>
    </row>
    <row r="44" spans="1:2" x14ac:dyDescent="0.25">
      <c r="A44" t="s">
        <v>16597</v>
      </c>
    </row>
    <row r="45" spans="1:2" x14ac:dyDescent="0.25">
      <c r="A45" t="s">
        <v>16598</v>
      </c>
      <c r="B45" t="s">
        <v>16599</v>
      </c>
    </row>
    <row r="46" spans="1:2" x14ac:dyDescent="0.25">
      <c r="A46" t="s">
        <v>16600</v>
      </c>
    </row>
    <row r="47" spans="1:2" x14ac:dyDescent="0.25">
      <c r="A47" t="s">
        <v>16601</v>
      </c>
    </row>
    <row r="48" spans="1:2" x14ac:dyDescent="0.25">
      <c r="A48" t="s">
        <v>16602</v>
      </c>
    </row>
    <row r="49" spans="1:2" x14ac:dyDescent="0.25">
      <c r="A49" t="s">
        <v>16603</v>
      </c>
    </row>
    <row r="50" spans="1:2" x14ac:dyDescent="0.25">
      <c r="A50" t="s">
        <v>16604</v>
      </c>
    </row>
    <row r="51" spans="1:2" x14ac:dyDescent="0.25">
      <c r="A51" t="s">
        <v>16605</v>
      </c>
    </row>
    <row r="52" spans="1:2" x14ac:dyDescent="0.25">
      <c r="A52" t="s">
        <v>16444</v>
      </c>
    </row>
    <row r="54" spans="1:2" x14ac:dyDescent="0.25">
      <c r="A54" s="22" t="s">
        <v>16606</v>
      </c>
    </row>
    <row r="55" spans="1:2" x14ac:dyDescent="0.25">
      <c r="A55" t="s">
        <v>16607</v>
      </c>
      <c r="B55" t="s">
        <v>16608</v>
      </c>
    </row>
    <row r="56" spans="1:2" x14ac:dyDescent="0.25">
      <c r="A56" t="s">
        <v>16609</v>
      </c>
      <c r="B56" t="s">
        <v>16610</v>
      </c>
    </row>
    <row r="57" spans="1:2" x14ac:dyDescent="0.25">
      <c r="A57" t="s">
        <v>9</v>
      </c>
      <c r="B57" t="s">
        <v>16611</v>
      </c>
    </row>
    <row r="59" spans="1:2" x14ac:dyDescent="0.25">
      <c r="A59" s="22" t="s">
        <v>16612</v>
      </c>
    </row>
    <row r="60" spans="1:2" x14ac:dyDescent="0.25">
      <c r="A60" t="s">
        <v>16613</v>
      </c>
      <c r="B60" t="s">
        <v>16614</v>
      </c>
    </row>
    <row r="61" spans="1:2" x14ac:dyDescent="0.25">
      <c r="A61" t="s">
        <v>16615</v>
      </c>
      <c r="B61" t="s">
        <v>16616</v>
      </c>
    </row>
    <row r="62" spans="1:2" x14ac:dyDescent="0.25">
      <c r="A62" t="s">
        <v>16617</v>
      </c>
      <c r="B62" t="s">
        <v>16618</v>
      </c>
    </row>
    <row r="64" spans="1:2" x14ac:dyDescent="0.25">
      <c r="A64" s="9" t="s">
        <v>16619</v>
      </c>
      <c r="B64" t="s">
        <v>16620</v>
      </c>
    </row>
    <row r="65" spans="1:2" x14ac:dyDescent="0.25">
      <c r="A65" t="s">
        <v>16621</v>
      </c>
      <c r="B65" t="s">
        <v>16432</v>
      </c>
    </row>
    <row r="66" spans="1:2" x14ac:dyDescent="0.25">
      <c r="A66" t="s">
        <v>16622</v>
      </c>
      <c r="B66" t="s">
        <v>16439</v>
      </c>
    </row>
    <row r="67" spans="1:2" x14ac:dyDescent="0.25">
      <c r="A67" s="2"/>
      <c r="B67" t="s">
        <v>7</v>
      </c>
    </row>
    <row r="68" spans="1:2" x14ac:dyDescent="0.25">
      <c r="A68" s="2"/>
      <c r="B68" t="s">
        <v>16435</v>
      </c>
    </row>
    <row r="69" spans="1:2" x14ac:dyDescent="0.25">
      <c r="A69" s="2"/>
      <c r="B69" t="s">
        <v>16443</v>
      </c>
    </row>
    <row r="70" spans="1:2" x14ac:dyDescent="0.25">
      <c r="A70" t="s">
        <v>16623</v>
      </c>
      <c r="B70" t="s">
        <v>16624</v>
      </c>
    </row>
    <row r="71" spans="1:2" x14ac:dyDescent="0.25">
      <c r="A71" t="s">
        <v>16625</v>
      </c>
      <c r="B71" t="s">
        <v>16624</v>
      </c>
    </row>
    <row r="72" spans="1:2" x14ac:dyDescent="0.25">
      <c r="A72" t="s">
        <v>16626</v>
      </c>
      <c r="B72" t="s">
        <v>16624</v>
      </c>
    </row>
    <row r="73" spans="1:2" x14ac:dyDescent="0.25">
      <c r="A73" t="s">
        <v>16627</v>
      </c>
      <c r="B73" t="s">
        <v>16624</v>
      </c>
    </row>
    <row r="74" spans="1:2" x14ac:dyDescent="0.25">
      <c r="A74" t="s">
        <v>16628</v>
      </c>
      <c r="B74" t="s">
        <v>16624</v>
      </c>
    </row>
    <row r="75" spans="1:2" x14ac:dyDescent="0.25">
      <c r="A75" t="s">
        <v>16629</v>
      </c>
      <c r="B75" t="s">
        <v>16624</v>
      </c>
    </row>
    <row r="76" spans="1:2" x14ac:dyDescent="0.25">
      <c r="A76" t="s">
        <v>16630</v>
      </c>
      <c r="B76" t="s">
        <v>16624</v>
      </c>
    </row>
    <row r="77" spans="1:2" x14ac:dyDescent="0.25">
      <c r="A77" t="s">
        <v>16631</v>
      </c>
      <c r="B77" t="s">
        <v>16624</v>
      </c>
    </row>
    <row r="78" spans="1:2" x14ac:dyDescent="0.25">
      <c r="A78" t="s">
        <v>16632</v>
      </c>
      <c r="B78" t="s">
        <v>16624</v>
      </c>
    </row>
    <row r="79" spans="1:2" x14ac:dyDescent="0.25">
      <c r="A79" t="s">
        <v>16633</v>
      </c>
      <c r="B79" t="s">
        <v>16624</v>
      </c>
    </row>
    <row r="80" spans="1:2" x14ac:dyDescent="0.25">
      <c r="A80" t="s">
        <v>16634</v>
      </c>
      <c r="B80" t="s">
        <v>16624</v>
      </c>
    </row>
    <row r="81" spans="1:2" x14ac:dyDescent="0.25">
      <c r="A81" t="s">
        <v>16635</v>
      </c>
      <c r="B81" t="s">
        <v>16624</v>
      </c>
    </row>
    <row r="82" spans="1:2" x14ac:dyDescent="0.25">
      <c r="A82" t="s">
        <v>16636</v>
      </c>
      <c r="B82" t="s">
        <v>16624</v>
      </c>
    </row>
    <row r="83" spans="1:2" x14ac:dyDescent="0.25">
      <c r="A83" t="s">
        <v>16637</v>
      </c>
      <c r="B83" t="s">
        <v>16624</v>
      </c>
    </row>
    <row r="84" spans="1:2" x14ac:dyDescent="0.25">
      <c r="A84" t="s">
        <v>16638</v>
      </c>
      <c r="B84" t="s">
        <v>16624</v>
      </c>
    </row>
    <row r="85" spans="1:2" x14ac:dyDescent="0.25">
      <c r="A85" t="s">
        <v>16639</v>
      </c>
      <c r="B85" t="s">
        <v>16624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E13B-DD91-4C69-B1E3-65AB347F0899}">
  <dimension ref="C4:H25"/>
  <sheetViews>
    <sheetView tabSelected="1" workbookViewId="0">
      <selection activeCell="F5" sqref="F5"/>
    </sheetView>
  </sheetViews>
  <sheetFormatPr defaultRowHeight="15" x14ac:dyDescent="0.25"/>
  <cols>
    <col min="3" max="3" width="31" bestFit="1" customWidth="1"/>
    <col min="4" max="4" width="27.85546875" customWidth="1"/>
    <col min="5" max="5" width="41.7109375" bestFit="1" customWidth="1"/>
    <col min="6" max="6" width="22" bestFit="1" customWidth="1"/>
    <col min="8" max="8" width="14.5703125" bestFit="1" customWidth="1"/>
  </cols>
  <sheetData>
    <row r="4" spans="3:8" x14ac:dyDescent="0.25">
      <c r="C4" s="28" t="s">
        <v>16640</v>
      </c>
      <c r="D4" s="28" t="s">
        <v>16641</v>
      </c>
      <c r="E4" s="28" t="s">
        <v>16642</v>
      </c>
      <c r="F4" s="28" t="s">
        <v>16641</v>
      </c>
    </row>
    <row r="5" spans="3:8" x14ac:dyDescent="0.25">
      <c r="C5" t="s">
        <v>16643</v>
      </c>
      <c r="D5" t="str">
        <f>VLOOKUP(C5,Data!P:Q,2,FALSE)</f>
        <v>Ref_MsgXxxx</v>
      </c>
      <c r="E5" t="s">
        <v>16644</v>
      </c>
      <c r="F5" t="str">
        <f>VLOOKUP(E5,Data!I6:J15,2,FALSE)</f>
        <v>Ref_MsgGetAttrSgl</v>
      </c>
      <c r="H5" t="s">
        <v>16645</v>
      </c>
    </row>
    <row r="6" spans="3:8" x14ac:dyDescent="0.25">
      <c r="C6" t="s">
        <v>16643</v>
      </c>
      <c r="D6" t="str">
        <f>VLOOKUP(C6,Data!P:Q,2,FALSE)</f>
        <v>Ref_MsgXxxx</v>
      </c>
      <c r="E6" t="s">
        <v>16646</v>
      </c>
      <c r="F6" t="str">
        <f>VLOOKUP(E6,Data!I7:J16,2,FALSE)</f>
        <v>Ref_MsgCustGetSubIdx</v>
      </c>
      <c r="H6" t="s">
        <v>16647</v>
      </c>
    </row>
    <row r="7" spans="3:8" x14ac:dyDescent="0.25">
      <c r="C7" t="s">
        <v>16643</v>
      </c>
      <c r="D7" t="str">
        <f>VLOOKUP(C7,Data!P:Q,2,FALSE)</f>
        <v>Ref_MsgXxxx</v>
      </c>
      <c r="E7" t="s">
        <v>16648</v>
      </c>
      <c r="F7" t="str">
        <f>VLOOKUP(E7,Data!I8:J17,2,FALSE)</f>
        <v>Ref_MsgCustSetIdx</v>
      </c>
      <c r="H7" t="s">
        <v>16649</v>
      </c>
    </row>
    <row r="8" spans="3:8" x14ac:dyDescent="0.25">
      <c r="C8" t="s">
        <v>16643</v>
      </c>
      <c r="D8" t="str">
        <f>VLOOKUP(C8,Data!P:Q,2,FALSE)</f>
        <v>Ref_MsgXxxx</v>
      </c>
      <c r="E8" t="s">
        <v>16650</v>
      </c>
      <c r="F8" t="str">
        <f>VLOOKUP(E8,Data!I9:J18,2,FALSE)</f>
        <v>Ref_MsgCustSetSubIdx</v>
      </c>
      <c r="H8" t="s">
        <v>16651</v>
      </c>
    </row>
    <row r="9" spans="3:8" x14ac:dyDescent="0.25">
      <c r="C9" t="s">
        <v>16444</v>
      </c>
      <c r="D9" t="str">
        <f>VLOOKUP(C9,Data!P:Q,2,FALSE)</f>
        <v>Ref_Module</v>
      </c>
    </row>
    <row r="10" spans="3:8" x14ac:dyDescent="0.25">
      <c r="C10" t="s">
        <v>16652</v>
      </c>
      <c r="D10" t="str">
        <f>VLOOKUP(C10,Data!P:Q,2,FALSE)</f>
        <v>Ref_Ctrl_Xxx</v>
      </c>
    </row>
    <row r="11" spans="3:8" x14ac:dyDescent="0.25">
      <c r="C11" t="s">
        <v>16653</v>
      </c>
      <c r="D11" t="str">
        <f>VLOOKUP(C11,Data!P:Q,2,FALSE)</f>
        <v>Inp_Xxxx</v>
      </c>
    </row>
    <row r="12" spans="3:8" x14ac:dyDescent="0.25">
      <c r="C12" t="s">
        <v>16654</v>
      </c>
      <c r="D12" t="str">
        <f>VLOOKUP(C12,Data!P:Q,2,FALSE)</f>
        <v>Out_Xxxx</v>
      </c>
    </row>
    <row r="13" spans="3:8" x14ac:dyDescent="0.25">
      <c r="C13" t="s">
        <v>16655</v>
      </c>
      <c r="D13" t="str">
        <f>VLOOKUP(C13,Data!P:Q,2,FALSE)</f>
        <v>Inf_Lookup</v>
      </c>
    </row>
    <row r="14" spans="3:8" x14ac:dyDescent="0.25">
      <c r="C14" t="s">
        <v>16656</v>
      </c>
      <c r="D14" t="str">
        <f>VLOOKUP(C14,Data!P:Q,2,FALSE)</f>
        <v>Set_Xxxx</v>
      </c>
    </row>
    <row r="15" spans="3:8" x14ac:dyDescent="0.25">
      <c r="C15" t="s">
        <v>16657</v>
      </c>
      <c r="D15" t="str">
        <f>VLOOKUP(C15,Data!P:Q,2,FALSE)</f>
        <v>Sts_Xxxx</v>
      </c>
    </row>
    <row r="16" spans="3:8" x14ac:dyDescent="0.25">
      <c r="C16" t="s">
        <v>16658</v>
      </c>
      <c r="D16" t="str">
        <f>VLOOKUP(C16,Data!P:Q,2,FALSE)</f>
        <v>Val_Xxxx</v>
      </c>
    </row>
    <row r="17" spans="3:4" x14ac:dyDescent="0.25">
      <c r="C17" t="s">
        <v>16659</v>
      </c>
      <c r="D17" t="str">
        <f>VLOOKUP(C17,Data!P:Q,2,FALSE)</f>
        <v>Ref_MsgDataXxx</v>
      </c>
    </row>
    <row r="19" spans="3:4" x14ac:dyDescent="0.25">
      <c r="C19" t="s">
        <v>16660</v>
      </c>
      <c r="D19" t="str">
        <f>VLOOKUP(C19,Data!P:Q,2,FALSE)</f>
        <v>Cmd_Xxx</v>
      </c>
    </row>
    <row r="20" spans="3:4" x14ac:dyDescent="0.25">
      <c r="C20" s="2" t="s">
        <v>16661</v>
      </c>
      <c r="D20" t="str">
        <f>VLOOKUP(C20,Data!P:Q,2,FALSE)</f>
        <v>Sts_Xxx</v>
      </c>
    </row>
    <row r="21" spans="3:4" x14ac:dyDescent="0.25">
      <c r="C21" s="2" t="s">
        <v>16662</v>
      </c>
      <c r="D21" t="str">
        <f>VLOOKUP(C21,Data!P:Q,2,FALSE)</f>
        <v>Sts_eXxx</v>
      </c>
    </row>
    <row r="22" spans="3:4" x14ac:dyDescent="0.25">
      <c r="C22" s="2" t="s">
        <v>16663</v>
      </c>
      <c r="D22" t="str">
        <f>VLOOKUP(C22,Data!P:Q,2,FALSE)</f>
        <v>Val_Xxx</v>
      </c>
    </row>
    <row r="23" spans="3:4" x14ac:dyDescent="0.25">
      <c r="C23" t="s">
        <v>16664</v>
      </c>
      <c r="D23" t="str">
        <f>VLOOKUP(C23,Data!P:Q,2,FALSE)</f>
        <v>Cfg_Xxx</v>
      </c>
    </row>
    <row r="24" spans="3:4" x14ac:dyDescent="0.25">
      <c r="C24" t="s">
        <v>16665</v>
      </c>
      <c r="D24" t="str">
        <f>VLOOKUP(C24,Data!P:Q,2,FALSE)</f>
        <v>Set_Xxx</v>
      </c>
    </row>
    <row r="25" spans="3:4" x14ac:dyDescent="0.25">
      <c r="C25" t="s">
        <v>16666</v>
      </c>
      <c r="D25" t="str">
        <f>VLOOKUP(C25,Data!P:Q,2,FALSE)</f>
        <v>Wrk_Xxx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216E4A-DB61-4B05-9D22-A8536DB0C24C}">
          <x14:formula1>
            <xm:f>Data!$P$5:$P$26</xm:f>
          </x14:formula1>
          <xm:sqref>C5:C25</xm:sqref>
        </x14:dataValidation>
        <x14:dataValidation type="list" allowBlank="1" showInputMessage="1" showErrorMessage="1" xr:uid="{60BE1355-4C98-4ECB-A973-9436D3BA7F4A}">
          <x14:formula1>
            <xm:f>IF(C5="MSG",Data!$I$6:$I$12, )</xm:f>
          </x14:formula1>
          <xm:sqref>E5:E8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055F-2C97-467B-9620-D193252FE51F}">
  <dimension ref="G4:Q23"/>
  <sheetViews>
    <sheetView workbookViewId="0">
      <selection activeCell="P16" sqref="P16"/>
    </sheetView>
  </sheetViews>
  <sheetFormatPr defaultRowHeight="15" x14ac:dyDescent="0.25"/>
  <cols>
    <col min="9" max="9" width="12.7109375" bestFit="1" customWidth="1"/>
    <col min="10" max="10" width="20.140625" bestFit="1" customWidth="1"/>
    <col min="16" max="16" width="31" bestFit="1" customWidth="1"/>
  </cols>
  <sheetData>
    <row r="4" spans="7:17" x14ac:dyDescent="0.25">
      <c r="I4" t="s">
        <v>19</v>
      </c>
      <c r="J4" t="s">
        <v>20</v>
      </c>
    </row>
    <row r="5" spans="7:17" x14ac:dyDescent="0.25">
      <c r="G5" t="s">
        <v>16667</v>
      </c>
      <c r="H5" t="s">
        <v>16668</v>
      </c>
      <c r="I5" t="s">
        <v>16669</v>
      </c>
      <c r="P5" s="26" t="s">
        <v>16643</v>
      </c>
      <c r="Q5" s="26" t="s">
        <v>16670</v>
      </c>
    </row>
    <row r="6" spans="7:17" x14ac:dyDescent="0.25">
      <c r="G6" t="s">
        <v>16667</v>
      </c>
      <c r="H6" t="s">
        <v>16668</v>
      </c>
      <c r="I6" t="s">
        <v>16644</v>
      </c>
      <c r="J6" t="str">
        <f t="shared" ref="J6:J12" si="0">G5&amp;H5&amp;I6</f>
        <v>Ref_MsgGetAttrSgl</v>
      </c>
      <c r="P6" s="26" t="s">
        <v>16444</v>
      </c>
      <c r="Q6" s="26" t="s">
        <v>16671</v>
      </c>
    </row>
    <row r="7" spans="7:17" x14ac:dyDescent="0.25">
      <c r="G7" t="s">
        <v>16667</v>
      </c>
      <c r="H7" t="s">
        <v>16668</v>
      </c>
      <c r="I7" t="s">
        <v>16672</v>
      </c>
      <c r="J7" t="str">
        <f t="shared" si="0"/>
        <v>Ref_MsgSetAttrSgl</v>
      </c>
      <c r="P7" s="26" t="s">
        <v>16652</v>
      </c>
      <c r="Q7" s="26" t="s">
        <v>16673</v>
      </c>
    </row>
    <row r="8" spans="7:17" x14ac:dyDescent="0.25">
      <c r="G8" t="s">
        <v>16667</v>
      </c>
      <c r="H8" t="s">
        <v>16668</v>
      </c>
      <c r="I8" t="s">
        <v>16648</v>
      </c>
      <c r="J8" t="str">
        <f t="shared" si="0"/>
        <v>Ref_MsgCustSetIdx</v>
      </c>
      <c r="P8" s="26" t="s">
        <v>16653</v>
      </c>
      <c r="Q8" s="26" t="s">
        <v>16674</v>
      </c>
    </row>
    <row r="9" spans="7:17" x14ac:dyDescent="0.25">
      <c r="G9" t="s">
        <v>16667</v>
      </c>
      <c r="H9" t="s">
        <v>16668</v>
      </c>
      <c r="I9" t="s">
        <v>16675</v>
      </c>
      <c r="J9" t="str">
        <f t="shared" si="0"/>
        <v>Ref_MsgCustGetIdx</v>
      </c>
      <c r="P9" s="26" t="s">
        <v>16654</v>
      </c>
      <c r="Q9" s="26" t="s">
        <v>16676</v>
      </c>
    </row>
    <row r="10" spans="7:17" x14ac:dyDescent="0.25">
      <c r="G10" t="s">
        <v>16667</v>
      </c>
      <c r="H10" t="s">
        <v>16668</v>
      </c>
      <c r="I10" t="s">
        <v>16650</v>
      </c>
      <c r="J10" t="str">
        <f t="shared" si="0"/>
        <v>Ref_MsgCustSetSubIdx</v>
      </c>
      <c r="P10" s="26" t="s">
        <v>16655</v>
      </c>
      <c r="Q10" s="26" t="s">
        <v>16677</v>
      </c>
    </row>
    <row r="11" spans="7:17" x14ac:dyDescent="0.25">
      <c r="G11" t="s">
        <v>16667</v>
      </c>
      <c r="H11" t="s">
        <v>16668</v>
      </c>
      <c r="I11" t="s">
        <v>16646</v>
      </c>
      <c r="J11" t="str">
        <f t="shared" si="0"/>
        <v>Ref_MsgCustGetSubIdx</v>
      </c>
      <c r="P11" s="26" t="s">
        <v>16656</v>
      </c>
      <c r="Q11" s="26" t="s">
        <v>16678</v>
      </c>
    </row>
    <row r="12" spans="7:17" x14ac:dyDescent="0.25">
      <c r="I12" t="s">
        <v>16679</v>
      </c>
      <c r="J12" t="str">
        <f t="shared" si="0"/>
        <v>Ref_MsgCustGetAll</v>
      </c>
      <c r="P12" s="26" t="s">
        <v>16657</v>
      </c>
      <c r="Q12" s="26" t="s">
        <v>16680</v>
      </c>
    </row>
    <row r="13" spans="7:17" x14ac:dyDescent="0.25">
      <c r="P13" s="26" t="s">
        <v>16658</v>
      </c>
      <c r="Q13" s="26" t="s">
        <v>16681</v>
      </c>
    </row>
    <row r="14" spans="7:17" x14ac:dyDescent="0.25">
      <c r="P14" s="26" t="s">
        <v>16659</v>
      </c>
      <c r="Q14" s="26" t="s">
        <v>16682</v>
      </c>
    </row>
    <row r="16" spans="7:17" x14ac:dyDescent="0.25">
      <c r="P16" s="27" t="s">
        <v>16660</v>
      </c>
      <c r="Q16" s="27" t="s">
        <v>16683</v>
      </c>
    </row>
    <row r="17" spans="16:17" x14ac:dyDescent="0.25">
      <c r="P17" s="27" t="s">
        <v>16661</v>
      </c>
      <c r="Q17" s="27" t="s">
        <v>16684</v>
      </c>
    </row>
    <row r="18" spans="16:17" x14ac:dyDescent="0.25">
      <c r="P18" s="27" t="s">
        <v>16662</v>
      </c>
      <c r="Q18" s="27" t="s">
        <v>16685</v>
      </c>
    </row>
    <row r="19" spans="16:17" x14ac:dyDescent="0.25">
      <c r="P19" s="27" t="s">
        <v>16663</v>
      </c>
      <c r="Q19" s="27" t="s">
        <v>16686</v>
      </c>
    </row>
    <row r="20" spans="16:17" x14ac:dyDescent="0.25">
      <c r="P20" s="27" t="s">
        <v>16664</v>
      </c>
      <c r="Q20" s="27" t="s">
        <v>16687</v>
      </c>
    </row>
    <row r="21" spans="16:17" x14ac:dyDescent="0.25">
      <c r="P21" s="27" t="s">
        <v>16665</v>
      </c>
      <c r="Q21" s="27" t="s">
        <v>16688</v>
      </c>
    </row>
    <row r="23" spans="16:17" x14ac:dyDescent="0.25">
      <c r="P23" t="s">
        <v>16666</v>
      </c>
      <c r="Q23" t="s">
        <v>16689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DA69918B6F1744B0469E1A9B0B7F68" ma:contentTypeVersion="17" ma:contentTypeDescription="Create a new document." ma:contentTypeScope="" ma:versionID="7e05df594a9ccce04fbf7ad61b5ac2c0">
  <xsd:schema xmlns:xsd="http://www.w3.org/2001/XMLSchema" xmlns:xs="http://www.w3.org/2001/XMLSchema" xmlns:p="http://schemas.microsoft.com/office/2006/metadata/properties" xmlns:ns2="9fd2a7e1-fcab-4ca2-915b-b2aabd1053aa" xmlns:ns3="75681a0a-20b6-4104-94da-0b932f255edc" targetNamespace="http://schemas.microsoft.com/office/2006/metadata/properties" ma:root="true" ma:fieldsID="45cfa7163910e159bec86660eea4d0c3" ns2:_="" ns3:_="">
    <xsd:import namespace="9fd2a7e1-fcab-4ca2-915b-b2aabd1053aa"/>
    <xsd:import namespace="75681a0a-20b6-4104-94da-0b932f255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2a7e1-fcab-4ca2-915b-b2aabd105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9e513a2-ec27-4ba2-828b-964637c79d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81a0a-20b6-4104-94da-0b932f255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c0769e0-4702-46b2-8c3f-bb92c5e98107}" ma:internalName="TaxCatchAll" ma:showField="CatchAllData" ma:web="75681a0a-20b6-4104-94da-0b932f255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d2a7e1-fcab-4ca2-915b-b2aabd1053aa">
      <Terms xmlns="http://schemas.microsoft.com/office/infopath/2007/PartnerControls"/>
    </lcf76f155ced4ddcb4097134ff3c332f>
    <TaxCatchAll xmlns="75681a0a-20b6-4104-94da-0b932f255edc" xsi:nil="true"/>
  </documentManagement>
</p:properties>
</file>

<file path=customXml/itemProps1.xml><?xml version="1.0" encoding="utf-8"?>
<ds:datastoreItem xmlns:ds="http://schemas.openxmlformats.org/officeDocument/2006/customXml" ds:itemID="{4B525D9F-6580-4712-86AF-4CC47C7FE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d2a7e1-fcab-4ca2-915b-b2aabd1053aa"/>
    <ds:schemaRef ds:uri="75681a0a-20b6-4104-94da-0b932f255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373D7E-E3FE-4B98-AA44-5326FB917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CACEC4-D408-4523-A61D-E852D848AFDD}">
  <ds:schemaRefs>
    <ds:schemaRef ds:uri="http://schemas.microsoft.com/office/2006/metadata/properties"/>
    <ds:schemaRef ds:uri="http://schemas.microsoft.com/office/infopath/2007/PartnerControls"/>
    <ds:schemaRef ds:uri="9fd2a7e1-fcab-4ca2-915b-b2aabd1053aa"/>
    <ds:schemaRef ds:uri="75681a0a-20b6-4104-94da-0b932f255e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Naming Tool</vt:lpstr>
      <vt:lpstr>Lookups</vt:lpstr>
      <vt:lpstr>Version Control Research</vt:lpstr>
      <vt:lpstr>Naming Convention Research</vt:lpstr>
      <vt:lpstr>AOI_Parameter_Naming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L. St.Onge</dc:creator>
  <cp:keywords/>
  <dc:description/>
  <cp:lastModifiedBy>Vikram Rajaram Lokhande</cp:lastModifiedBy>
  <cp:revision/>
  <dcterms:created xsi:type="dcterms:W3CDTF">2022-02-10T17:56:09Z</dcterms:created>
  <dcterms:modified xsi:type="dcterms:W3CDTF">2026-03-13T07:09:11Z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0x0101007DDA69918B6F1744B0469E1A9B0B7F68</vt:lpwstr>
  </property>
  <property fmtid="{D5CDD505-2E9C-101B-9397-08002B2CF9AE}" pid="3" name="MediaServiceImageTags">
    <vt:lpwstr/>
  </property>
  <property fmtid="{D5CDD505-2E9C-101B-9397-08002B2CF9AE}" pid="4" name="MSIP_Label_e14c1950-b3a8-4278-88f1-6df69d73b9d5_Enabled">
    <vt:lpwstr>true</vt:lpwstr>
  </property>
  <property fmtid="{D5CDD505-2E9C-101B-9397-08002B2CF9AE}" pid="5" name="MSIP_Label_e14c1950-b3a8-4278-88f1-6df69d73b9d5_SetDate">
    <vt:lpwstr>2023-06-09T10:04:35Z</vt:lpwstr>
  </property>
  <property fmtid="{D5CDD505-2E9C-101B-9397-08002B2CF9AE}" pid="6" name="MSIP_Label_e14c1950-b3a8-4278-88f1-6df69d73b9d5_Method">
    <vt:lpwstr>Standard</vt:lpwstr>
  </property>
  <property fmtid="{D5CDD505-2E9C-101B-9397-08002B2CF9AE}" pid="7" name="MSIP_Label_e14c1950-b3a8-4278-88f1-6df69d73b9d5_Name">
    <vt:lpwstr>e14c1950-b3a8-4278-88f1-6df69d73b9d5</vt:lpwstr>
  </property>
  <property fmtid="{D5CDD505-2E9C-101B-9397-08002B2CF9AE}" pid="8" name="MSIP_Label_e14c1950-b3a8-4278-88f1-6df69d73b9d5_SiteId">
    <vt:lpwstr>855b093e-7340-45c7-9f0c-96150415893e</vt:lpwstr>
  </property>
  <property fmtid="{D5CDD505-2E9C-101B-9397-08002B2CF9AE}" pid="9" name="MSIP_Label_e14c1950-b3a8-4278-88f1-6df69d73b9d5_ActionId">
    <vt:lpwstr>4be835c7-df99-426a-b742-5a1f7cf94dc0</vt:lpwstr>
  </property>
  <property fmtid="{D5CDD505-2E9C-101B-9397-08002B2CF9AE}" pid="10" name="MSIP_Label_e14c1950-b3a8-4278-88f1-6df69d73b9d5_ContentBits">
    <vt:lpwstr>0</vt:lpwstr>
  </property>
</Properties>
</file>